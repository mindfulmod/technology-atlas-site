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20b8f38024d4da3" /></Relationships>
</file>

<file path=xl/workbook.xml><?xml version="1.0" encoding="utf-8"?>
<x:workbook xmlns:x="http://schemas.openxmlformats.org/spreadsheetml/2006/main">
  <x:sheets>
    <x:sheet xmlns:r="http://schemas.openxmlformats.org/officeDocument/2006/relationships" name="Overview" sheetId="1" r:id="R2cf14589d46c4c50"/>
    <x:sheet xmlns:r="http://schemas.openxmlformats.org/officeDocument/2006/relationships" name="Growth" sheetId="2" r:id="R6da8c0a018384aa5"/>
    <x:sheet xmlns:r="http://schemas.openxmlformats.org/officeDocument/2006/relationships" name="Adoption path" sheetId="3" r:id="Rc5ad676a574c480f"/>
    <x:sheet xmlns:r="http://schemas.openxmlformats.org/officeDocument/2006/relationships" name="Profiles" sheetId="4" r:id="R614fcf42eabb4289"/>
    <x:sheet xmlns:r="http://schemas.openxmlformats.org/officeDocument/2006/relationships" name="Observations" sheetId="5" r:id="R4c305df9d824443a"/>
    <x:sheet xmlns:r="http://schemas.openxmlformats.org/officeDocument/2006/relationships" name="Companies" sheetId="6" r:id="R5c41c02fd1754898"/>
    <x:sheet xmlns:r="http://schemas.openxmlformats.org/officeDocument/2006/relationships" name="News trackers" sheetId="7" r:id="Rb4b380da01e74fb1"/>
    <x:sheet xmlns:r="http://schemas.openxmlformats.org/officeDocument/2006/relationships" name="Historical milestones" sheetId="8" r:id="R5635574703d74190"/>
    <x:sheet xmlns:r="http://schemas.openxmlformats.org/officeDocument/2006/relationships" name="Evidence" sheetId="9" r:id="R403c0c3df33d4180"/>
    <x:sheet xmlns:r="http://schemas.openxmlformats.org/officeDocument/2006/relationships" name="Method" sheetId="10" r:id="Rb2306b1864054df8"/>
  </x:sheets>
</x:workbook>
</file>

<file path=xl/sharedStrings.xml><?xml version="1.0" encoding="utf-8"?>
<x:sst xmlns:x="http://schemas.openxmlformats.org/spreadsheetml/2006/main"/>
</file>

<file path=xl/styles.xml><?xml version="1.0" encoding="utf-8"?>
<x:styleSheet xmlns:x="http://schemas.openxmlformats.org/spreadsheetml/2006/main">
  <x:numFmts count="15">
    <x:numFmt numFmtId="200" formatCode="0"/>
    <x:numFmt numFmtId="201" formatCode="0.0"/>
    <x:numFmt numFmtId="202" formatCode="#,##0.###"/>
    <x:numFmt numFmtId="203" formatCode="yyyy-mm-dd"/>
    <x:numFmt numFmtId="204" formatCode="0.0%"/>
    <x:numFmt numFmtId="205" formatCode="#,##0"/>
    <x:numFmt numFmtId="206" formatCode="&quot;&gt;&quot;#,##0"/>
    <x:numFmt numFmtId="207" formatCode="#,##0.0"/>
    <x:numFmt numFmtId="208" formatCode="#,##0.000"/>
    <x:numFmt numFmtId="209" formatCode="&quot;≥&quot;#,##0"/>
    <x:numFmt numFmtId="210" formatCode="&quot;≈&quot;#,##0"/>
    <x:numFmt numFmtId="211" formatCode="&quot;≈&quot;#,##0.0"/>
    <x:numFmt numFmtId="212" formatCode="&quot;up to&quot;#,##0"/>
    <x:numFmt numFmtId="213" formatCode="#,##0.00"/>
    <x:numFmt numFmtId="214" formatCode="&quot;≥&quot;#,##0.0"/>
  </x:numFmts>
  <x:fonts count="5">
    <x:font>
      <x:sz val="11"/>
      <x:name val="Carlito"/>
    </x:font>
    <x:font>
      <x:sz val="10"/>
      <x:color rgb="FF153C2E"/>
      <x:name val="Arial"/>
    </x:font>
    <x:font>
      <x:b/>
      <x:sz val="16"/>
      <x:color rgb="FF153C2E"/>
      <x:name val="Arial"/>
    </x:font>
    <x:font>
      <x:i/>
      <x:sz val="10"/>
      <x:color rgb="FF667568"/>
      <x:name val="Arial"/>
    </x:font>
    <x:font>
      <x:b/>
      <x:sz val="10"/>
      <x:color rgb="FFFFFFFF"/>
      <x:name val="Arial"/>
    </x:font>
  </x:fonts>
  <x:fills count="4">
    <x:fill>
      <x:patternFill patternType="none"/>
    </x:fill>
    <x:fill>
      <x:patternFill patternType="gray125"/>
    </x:fill>
    <x:fill>
      <x:patternFill patternType="solid">
        <x:fgColor rgb="FF153C2E"/>
      </x:patternFill>
    </x:fill>
    <x:fill>
      <x:patternFill patternType="solid">
        <x:fgColor rgb="FF648057"/>
      </x:patternFill>
    </x:fill>
  </x:fills>
  <x:borders count="2">
    <x:border>
      <x:left/>
      <x:right/>
      <x:top/>
      <x:bottom/>
      <x:diagonal/>
    </x:border>
    <x:border>
      <x:left/>
      <x:right/>
      <x:top/>
      <x:bottom style="thin">
        <x:color rgb="FF153C2E"/>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center"/>
    </x:xf>
    <x:xf numFmtId="0" fontId="4" fillId="2" borderId="0" xfId="0" applyNumberFormat="1" applyFont="1" applyFill="1" applyBorder="1" applyAlignment="1">
      <x:alignment vertical="center"/>
    </x:xf>
    <x:xf numFmtId="0" fontId="4" fillId="2" borderId="1" xfId="0" applyNumberFormat="1" applyFont="1" applyFill="1" applyBorder="1" applyAlignment="1">
      <x:alignment vertical="center"/>
    </x:xf>
    <x:xf numFmtId="0" fontId="4" fillId="2" borderId="1" xfId="0" applyNumberFormat="1" applyFont="1" applyFill="1" applyBorder="1" applyAlignment="1">
      <x:alignment vertical="center" wrapText="1"/>
    </x:xf>
    <x:xf numFmtId="0" fontId="4" fillId="2" borderId="1"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0" fontId="4" fillId="3" borderId="1" xfId="0" applyNumberFormat="1" applyFont="1" applyFill="1" applyBorder="1" applyAlignment="1">
      <x:alignment horizontal="center" vertical="center"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205" fontId="1" fillId="0" borderId="0" xfId="0" applyNumberFormat="1" applyFont="1" applyFill="1" applyBorder="1" applyAlignment="1">
      <x:alignment vertical="top" wrapText="1"/>
    </x:xf>
    <x:xf numFmtId="206" fontId="1" fillId="0" borderId="0" xfId="0" applyNumberFormat="1" applyFont="1" applyFill="1" applyBorder="1" applyAlignment="1">
      <x:alignment vertical="top" wrapText="1"/>
    </x:xf>
    <x:xf numFmtId="207" fontId="1" fillId="0" borderId="0" xfId="0" applyNumberFormat="1" applyFont="1" applyFill="1" applyBorder="1" applyAlignment="1">
      <x:alignment vertical="top" wrapText="1"/>
    </x:xf>
    <x:xf numFmtId="208" fontId="1" fillId="0" borderId="0" xfId="0" applyNumberFormat="1" applyFont="1" applyFill="1" applyBorder="1" applyAlignment="1">
      <x:alignment vertical="top" wrapText="1"/>
    </x:xf>
    <x:xf numFmtId="209" fontId="1" fillId="0" borderId="0" xfId="0" applyNumberFormat="1" applyFont="1" applyFill="1" applyBorder="1" applyAlignment="1">
      <x:alignment vertical="top" wrapText="1"/>
    </x:xf>
    <x:xf numFmtId="210" fontId="1" fillId="0" borderId="0" xfId="0" applyNumberFormat="1" applyFont="1" applyFill="1" applyBorder="1" applyAlignment="1">
      <x:alignment vertical="top" wrapText="1"/>
    </x:xf>
    <x:xf numFmtId="211" fontId="1" fillId="0" borderId="0" xfId="0" applyNumberFormat="1" applyFont="1" applyFill="1" applyBorder="1" applyAlignment="1">
      <x:alignment vertical="top" wrapText="1"/>
    </x:xf>
    <x:xf numFmtId="212" fontId="1" fillId="0" borderId="0" xfId="0" applyNumberFormat="1" applyFont="1" applyFill="1" applyBorder="1" applyAlignment="1">
      <x:alignment vertical="top" wrapText="1"/>
    </x:xf>
    <x:xf numFmtId="213" fontId="1" fillId="0" borderId="0" xfId="0" applyNumberFormat="1" applyFont="1" applyFill="1" applyBorder="1" applyAlignment="1">
      <x:alignment vertical="top" wrapText="1"/>
    </x:xf>
    <x:xf numFmtId="214" fontId="1" fillId="0" borderId="0" xfId="0" applyNumberFormat="1" applyFont="1" applyFill="1" applyBorder="1" applyAlignment="1">
      <x:alignment vertical="top" wrapText="1"/>
    </x:xf>
  </x:cellXfs>
  <x:cellStyles count="1">
    <x:cellStyle name="Normal" xfId="0"/>
  </x:cellStyles>
  <x:dxfs count="2">
    <x:dxf>
      <x:font>
        <x:color rgb="FF965525"/>
      </x:font>
      <x:fill>
        <x:patternFill patternType="solid">
          <x:bgColor rgb="FFF8EBDD"/>
        </x:patternFill>
      </x:fill>
    </x:dxf>
    <x:dxf>
      <x:font>
        <x:color rgb="FF456439"/>
      </x:font>
      <x:fill>
        <x:patternFill patternType="solid">
          <x:bgColor rgb="FFE9F0DF"/>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c8102ea4d184099" /><Relationship Type="http://schemas.openxmlformats.org/officeDocument/2006/relationships/theme" Target="/xl/theme/theme1.xml" Id="R40eb3b3c0c5c4e59" /><Relationship Type="http://schemas.openxmlformats.org/officeDocument/2006/relationships/sharedStrings" Target="/xl/sharedStrings.xml" Id="R7d00eca9fac94c10" /><Relationship Type="http://schemas.openxmlformats.org/officeDocument/2006/relationships/worksheet" Target="/xl/worksheets/sheet1.xml" Id="R2cf14589d46c4c50" /><Relationship Type="http://schemas.openxmlformats.org/officeDocument/2006/relationships/worksheet" Target="/xl/worksheets/sheet2.xml" Id="R6da8c0a018384aa5" /><Relationship Type="http://schemas.openxmlformats.org/officeDocument/2006/relationships/worksheet" Target="/xl/worksheets/sheet3.xml" Id="Rc5ad676a574c480f" /><Relationship Type="http://schemas.openxmlformats.org/officeDocument/2006/relationships/worksheet" Target="/xl/worksheets/sheet4.xml" Id="R614fcf42eabb4289" /><Relationship Type="http://schemas.openxmlformats.org/officeDocument/2006/relationships/worksheet" Target="/xl/worksheets/sheet5.xml" Id="R4c305df9d824443a" /><Relationship Type="http://schemas.openxmlformats.org/officeDocument/2006/relationships/worksheet" Target="/xl/worksheets/sheet6.xml" Id="R5c41c02fd1754898" /><Relationship Type="http://schemas.openxmlformats.org/officeDocument/2006/relationships/worksheet" Target="/xl/worksheets/sheet7.xml" Id="Rb4b380da01e74fb1" /><Relationship Type="http://schemas.openxmlformats.org/officeDocument/2006/relationships/worksheet" Target="/xl/worksheets/sheet8.xml" Id="R5635574703d74190" /><Relationship Type="http://schemas.openxmlformats.org/officeDocument/2006/relationships/worksheet" Target="/xl/worksheets/sheet9.xml" Id="R403c0c3df33d4180" /><Relationship Type="http://schemas.openxmlformats.org/officeDocument/2006/relationships/worksheet" Target="/xl/worksheets/sheet10.xml" Id="Rb2306b1864054df8" /></Relationships>
</file>

<file path=xl/tables/table1.xml><?xml version="1.0" encoding="utf-8"?>
<x:table xmlns:x="http://schemas.openxmlformats.org/spreadsheetml/2006/main" id="1" name="AtlasOverview" displayName="AtlasOverview" ref="A5:M55" headerRowCount="1" totalsRowCount="0" totalsRowShown="0">
  <x:autoFilter ref="A5:M55"/>
  <x:tableColumns count="13">
    <x:tableColumn id="1" name="ID"/>
    <x:tableColumn id="2" name="Technology"/>
    <x:tableColumn id="3" name="Sector"/>
    <x:tableColumn id="4" name="Central year"/>
    <x:tableColumn id="5" name="Earliest year"/>
    <x:tableColumn id="6" name="Latest year"/>
    <x:tableColumn id="7" name="Confidence"/>
    <x:tableColumn id="8" name="Direction"/>
    <x:tableColumn id="9" name="2026 stage / 5"/>
    <x:tableColumn id="10" name="2035 stage / 5"/>
    <x:tableColumn id="11" name="Mainstream target market"/>
    <x:tableColumn id="12" name="Company exposures"/>
    <x:tableColumn id="13" name="News websites"/>
  </x:tableColumns>
  <x:tableStyleInfo name="TableStyleLight9" showFirstColumn="0" showLastColumn="0" showRowStripes="1" showColumnStripes="0"/>
</x:table>
</file>

<file path=xl/tables/table2.xml><?xml version="1.0" encoding="utf-8"?>
<x:table xmlns:x="http://schemas.openxmlformats.org/spreadsheetml/2006/main" id="2" name="AtlasGrowth" displayName="AtlasGrowth" ref="A5:M55" headerRowCount="1" totalsRowCount="0" totalsRowShown="0">
  <x:autoFilter ref="A5:M55"/>
  <x:tableColumns count="13">
    <x:tableColumn id="1" name="ID"/>
    <x:tableColumn id="2" name="Technology"/>
    <x:tableColumn id="3" name="KPI"/>
    <x:tableColumn id="4" name="Unit"/>
    <x:tableColumn id="5" name="First year"/>
    <x:tableColumn id="6" name="First value"/>
    <x:tableColumn id="7" name="Latest year"/>
    <x:tableColumn id="8" name="Latest value"/>
    <x:tableColumn id="9" name="Comparable endpoints"/>
    <x:tableColumn id="10" name="Change in units"/>
    <x:tableColumn id="11" name="Total change %"/>
    <x:tableColumn id="12" name="Percentage-point change"/>
    <x:tableColumn id="13" name="Interpretation / limitations"/>
  </x:tableColumns>
  <x:tableStyleInfo name="TableStyleLight9" showFirstColumn="0" showLastColumn="0" showRowStripes="1" showColumnStripes="0"/>
</x:table>
</file>

<file path=xl/tables/table3.xml><?xml version="1.0" encoding="utf-8"?>
<x:table xmlns:x="http://schemas.openxmlformats.org/spreadsheetml/2006/main" id="3" name="AtlasAdoptionpath" displayName="AtlasAdoptionpath" ref="A5:P55" headerRowCount="1" totalsRowCount="0" totalsRowShown="0">
  <x:autoFilter ref="A5:P55"/>
  <x:tableColumns count="16">
    <x:tableColumn id="1" name="ID"/>
    <x:tableColumn id="2" name="Technology"/>
    <x:tableColumn id="3" name="Sector"/>
    <x:tableColumn id="4" name="2021"/>
    <x:tableColumn id="5" name="2022"/>
    <x:tableColumn id="6" name="2023"/>
    <x:tableColumn id="7" name="2024"/>
    <x:tableColumn id="8" name="2025"/>
    <x:tableColumn id="9" name="2026"/>
    <x:tableColumn id="10" name="2028"/>
    <x:tableColumn id="11" name="2030"/>
    <x:tableColumn id="12" name="2032"/>
    <x:tableColumn id="13" name="2035"/>
    <x:tableColumn id="14" name="Mainstream year"/>
    <x:tableColumn id="15" name="Confidence"/>
    <x:tableColumn id="16" name="Rationale / conditions"/>
  </x:tableColumns>
  <x:tableStyleInfo name="TableStyleLight9" showFirstColumn="0" showLastColumn="0" showRowStripes="1" showColumnStripes="0"/>
</x:table>
</file>

<file path=xl/tables/table4.xml><?xml version="1.0" encoding="utf-8"?>
<x:table xmlns:x="http://schemas.openxmlformats.org/spreadsheetml/2006/main" id="4" name="AtlasProfiles" displayName="AtlasProfiles" ref="A5:L55" headerRowCount="1" totalsRowCount="0" totalsRowShown="0">
  <x:autoFilter ref="A5:L55"/>
  <x:tableColumns count="12">
    <x:tableColumn id="1" name="ID"/>
    <x:tableColumn id="2" name="Technology"/>
    <x:tableColumn id="3" name="What it is"/>
    <x:tableColumn id="4" name="Concrete use case"/>
    <x:tableColumn id="5" name="Why now"/>
    <x:tableColumn id="6" name="Mainstream scope"/>
    <x:tableColumn id="7" name="Forecast rationale"/>
    <x:tableColumn id="8" name="Tailwinds"/>
    <x:tableColumn id="9" name="Bottlenecks"/>
    <x:tableColumn id="10" name="What to monitor"/>
    <x:tableColumn id="11" name="Numerical forecast limitations"/>
    <x:tableColumn id="12" name="Forecast evidence URLs"/>
  </x:tableColumns>
  <x:tableStyleInfo name="TableStyleLight9" showFirstColumn="0" showLastColumn="0" showRowStripes="1" showColumnStripes="0"/>
</x:table>
</file>

<file path=xl/tables/table5.xml><?xml version="1.0" encoding="utf-8"?>
<x:table xmlns:x="http://schemas.openxmlformats.org/spreadsheetml/2006/main" id="5" name="AtlasObservations" displayName="AtlasObservations" ref="A5:M176" headerRowCount="1" totalsRowCount="0" totalsRowShown="0">
  <x:autoFilter ref="A5:M176"/>
  <x:tableColumns count="13">
    <x:tableColumn id="1" name="ID"/>
    <x:tableColumn id="2" name="Technology"/>
    <x:tableColumn id="3" name="Metric"/>
    <x:tableColumn id="4" name="Year"/>
    <x:tableColumn id="5" name="Value"/>
    <x:tableColumn id="6" name="Unit"/>
    <x:tableColumn id="7" name="Classification"/>
    <x:tableColumn id="8" name="Period / as-of detail"/>
    <x:tableColumn id="9" name="Population / scope"/>
    <x:tableColumn id="10" name="Limitations / point note"/>
    <x:tableColumn id="11" name="Publisher"/>
    <x:tableColumn id="12" name="Source URL"/>
    <x:tableColumn id="13" name="Source date"/>
  </x:tableColumns>
  <x:tableStyleInfo name="TableStyleLight9" showFirstColumn="0" showLastColumn="0" showRowStripes="1" showColumnStripes="0"/>
</x:table>
</file>

<file path=xl/tables/table6.xml><?xml version="1.0" encoding="utf-8"?>
<x:table xmlns:x="http://schemas.openxmlformats.org/spreadsheetml/2006/main" id="6" name="AtlasCompanies" displayName="AtlasCompanies" ref="A5:I528" headerRowCount="1" totalsRowCount="0" totalsRowShown="0">
  <x:autoFilter ref="A5:I528"/>
  <x:tableColumns count="9">
    <x:tableColumn id="1" name="ID"/>
    <x:tableColumn id="2" name="Technology"/>
    <x:tableColumn id="3" name="Sector"/>
    <x:tableColumn id="4" name="Company"/>
    <x:tableColumn id="5" name="Ownership / listing status"/>
    <x:tableColumn id="6" name="Ticker / listed parent"/>
    <x:tableColumn id="7" name="Role and route to benefit"/>
    <x:tableColumn id="8" name="Official URL"/>
    <x:tableColumn id="9" name="Supporting evidence URLs"/>
  </x:tableColumns>
  <x:tableStyleInfo name="TableStyleLight9" showFirstColumn="0" showLastColumn="0" showRowStripes="1" showColumnStripes="0"/>
</x:table>
</file>

<file path=xl/tables/table7.xml><?xml version="1.0" encoding="utf-8"?>
<x:table xmlns:x="http://schemas.openxmlformats.org/spreadsheetml/2006/main" id="7" name="AtlasNewstrackers" displayName="AtlasNewstrackers" ref="A5:K529" headerRowCount="1" totalsRowCount="0" totalsRowShown="0">
  <x:autoFilter ref="A5:K529"/>
  <x:tableColumns count="11">
    <x:tableColumn id="1" name="ID"/>
    <x:tableColumn id="2" name="Technology"/>
    <x:tableColumn id="3" name="Sector"/>
    <x:tableColumn id="4" name="Website / publication"/>
    <x:tableColumn id="5" name="Domain"/>
    <x:tableColumn id="6" name="Source type"/>
    <x:tableColumn id="7" name="Coverage for this trend"/>
    <x:tableColumn id="8" name="Topic / publication URL"/>
    <x:tableColumn id="9" name="Observed activity date"/>
    <x:tableColumn id="10" name="Activity evidence URL"/>
    <x:tableColumn id="11" name="Verification note"/>
  </x:tableColumns>
  <x:tableStyleInfo name="TableStyleLight9" showFirstColumn="0" showLastColumn="0" showRowStripes="1" showColumnStripes="0"/>
</x:table>
</file>

<file path=xl/tables/table8.xml><?xml version="1.0" encoding="utf-8"?>
<x:table xmlns:x="http://schemas.openxmlformats.org/spreadsheetml/2006/main" id="8" name="AtlasHistoricalmilestones" displayName="AtlasHistoricalmilestones" ref="A5:E305" headerRowCount="1" totalsRowCount="0" totalsRowShown="0">
  <x:autoFilter ref="A5:E305"/>
  <x:tableColumns count="5">
    <x:tableColumn id="1" name="ID"/>
    <x:tableColumn id="2" name="Technology"/>
    <x:tableColumn id="3" name="Year"/>
    <x:tableColumn id="4" name="Milestone / measurement gap"/>
    <x:tableColumn id="5" name="Evidence URLs"/>
  </x:tableColumns>
  <x:tableStyleInfo name="TableStyleLight9" showFirstColumn="0" showLastColumn="0" showRowStripes="1" showColumnStripes="0"/>
</x:table>
</file>

<file path=xl/tables/table9.xml><?xml version="1.0" encoding="utf-8"?>
<x:table xmlns:x="http://schemas.openxmlformats.org/spreadsheetml/2006/main" id="9" name="AtlasEvidence" displayName="AtlasEvidence" ref="A5:I761" headerRowCount="1" totalsRowCount="0" totalsRowShown="0">
  <x:autoFilter ref="A5:I761"/>
  <x:tableColumns count="9">
    <x:tableColumn id="1" name="ID"/>
    <x:tableColumn id="2" name="Technology"/>
    <x:tableColumn id="3" name="Source ID"/>
    <x:tableColumn id="4" name="Title"/>
    <x:tableColumn id="5" name="Publisher"/>
    <x:tableColumn id="6" name="Publication date"/>
    <x:tableColumn id="7" name="Type"/>
    <x:tableColumn id="8" name="What it supports"/>
    <x:tableColumn id="9" name="URL"/>
  </x:tableColumns>
  <x:tableStyleInfo name="TableStyleLight9" showFirstColumn="0" showLastColumn="0" showRowStripes="1" showColumnStripes="0"/>
</x:table>
</file>

<file path=xl/tables/table10.xml><?xml version="1.0" encoding="utf-8"?>
<x:table xmlns:x="http://schemas.openxmlformats.org/spreadsheetml/2006/main" id="10" name="AtlasMethod" displayName="AtlasMethod" ref="A5:B20" headerRowCount="1" totalsRowCount="0" totalsRowShown="0">
  <x:autoFilter ref="A5:B20"/>
  <x:tableColumns count="2">
    <x:tableColumn id="1" name="Topic"/>
    <x:tableColumn id="2" name="Definition"/>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b286c9a3e04478b" /></Relationships>
</file>

<file path=xl/worksheets/_rels/sheet2.xml.rels>&#65279;<?xml version="1.0" encoding="utf-8"?><Relationships xmlns="http://schemas.openxmlformats.org/package/2006/relationships"><Relationship Type="http://schemas.openxmlformats.org/officeDocument/2006/relationships/table" Target="/xl/tables/table2.xml" Id="Rc9ec22a52e874bf1" /></Relationships>
</file>

<file path=xl/worksheets/_rels/sheet3.xml.rels>&#65279;<?xml version="1.0" encoding="utf-8"?><Relationships xmlns="http://schemas.openxmlformats.org/package/2006/relationships"><Relationship Type="http://schemas.openxmlformats.org/officeDocument/2006/relationships/table" Target="/xl/tables/table3.xml" Id="R99920c3f4b3c4ecd" /></Relationships>
</file>

<file path=xl/worksheets/_rels/sheet4.xml.rels>&#65279;<?xml version="1.0" encoding="utf-8"?><Relationships xmlns="http://schemas.openxmlformats.org/package/2006/relationships"><Relationship Type="http://schemas.openxmlformats.org/officeDocument/2006/relationships/table" Target="/xl/tables/table4.xml" Id="Rbc63e4789adb47d2" /></Relationships>
</file>

<file path=xl/worksheets/_rels/sheet5.xml.rels>&#65279;<?xml version="1.0" encoding="utf-8"?><Relationships xmlns="http://schemas.openxmlformats.org/package/2006/relationships"><Relationship Type="http://schemas.openxmlformats.org/officeDocument/2006/relationships/table" Target="/xl/tables/table5.xml" Id="R2a8b79d3004f475e" /></Relationships>
</file>

<file path=xl/worksheets/_rels/sheet6.xml.rels>&#65279;<?xml version="1.0" encoding="utf-8"?><Relationships xmlns="http://schemas.openxmlformats.org/package/2006/relationships"><Relationship Type="http://schemas.openxmlformats.org/officeDocument/2006/relationships/table" Target="/xl/tables/table6.xml" Id="R401dbb59e5b74f17" /></Relationships>
</file>

<file path=xl/worksheets/_rels/sheet7.xml.rels>&#65279;<?xml version="1.0" encoding="utf-8"?><Relationships xmlns="http://schemas.openxmlformats.org/package/2006/relationships"><Relationship Type="http://schemas.openxmlformats.org/officeDocument/2006/relationships/table" Target="/xl/tables/table7.xml" Id="R227a4a3646084c9b" /></Relationships>
</file>

<file path=xl/worksheets/_rels/sheet8.xml.rels>&#65279;<?xml version="1.0" encoding="utf-8"?><Relationships xmlns="http://schemas.openxmlformats.org/package/2006/relationships"><Relationship Type="http://schemas.openxmlformats.org/officeDocument/2006/relationships/table" Target="/xl/tables/table8.xml" Id="R118bf87657a34285" /></Relationships>
</file>

<file path=xl/worksheets/_rels/sheet9.xml.rels>&#65279;<?xml version="1.0" encoding="utf-8"?><Relationships xmlns="http://schemas.openxmlformats.org/package/2006/relationships"><Relationship Type="http://schemas.openxmlformats.org/officeDocument/2006/relationships/table" Target="/xl/tables/table9.xml" Id="R891e833d1ec94b76" /></Relationships>
</file>

<file path=xl/worksheets/_rels/sheet10.xml.rels>&#65279;<?xml version="1.0" encoding="utf-8"?><Relationships xmlns="http://schemas.openxmlformats.org/package/2006/relationships"><Relationship Type="http://schemas.openxmlformats.org/officeDocument/2006/relationships/table" Target="/xl/tables/table10.xml" Id="Rb285c97cf02348b5" /></Relationships>
</file>

<file path=xl/worksheets/sheet1.xml><?xml version="1.0" encoding="utf-8"?>
<x:worksheet xmlns:x="http://schemas.openxmlformats.org/spreadsheetml/2006/main">
  <x:sheetPr>
    <x:tabColor rgb="FF153C2E"/>
  </x:sheetPr>
  <x:sheetViews>
    <x:sheetView showGridLines="0" workbookViewId="0">
      <x:pane xSplit="2" ySplit="5" topLeftCell="C6" activePane="bottomRight" state="frozen"/>
    </x:sheetView>
  </x:sheetViews>
  <x:sheetFormatPr defaultRowHeight="15"/>
  <x:cols>
    <x:col min="1" max="1" width="6" hidden="0" customWidth="1"/>
    <x:col min="2" max="2" width="43" hidden="0" customWidth="1"/>
    <x:col min="3" max="3" width="24" hidden="0" customWidth="1"/>
    <x:col min="4" max="4" width="12" hidden="0" customWidth="1"/>
    <x:col min="5" max="5" width="12" hidden="0" customWidth="1"/>
    <x:col min="6" max="6" width="12" hidden="0" customWidth="1"/>
    <x:col min="7" max="7" width="13" hidden="0" customWidth="1"/>
    <x:col min="8" max="8" width="24" hidden="0" customWidth="1"/>
    <x:col min="9" max="9" width="13" hidden="0" customWidth="1"/>
    <x:col min="10" max="10" width="13" hidden="0" customWidth="1"/>
    <x:col min="11" max="11" width="80" hidden="0" customWidth="1"/>
    <x:col min="12" max="12" width="14" hidden="0" customWidth="1"/>
    <x:col min="13" max="13" width="14" hidden="0" customWidth="1"/>
  </x:cols>
  <x:sheetData>
    <x:row r="1" ht="15" hidden="0" customHeight="1">
      <x:c r="A1" s="2"/>
      <x:c r="B1" s="2"/>
      <x:c r="C1" s="2"/>
      <x:c r="D1" s="2"/>
      <x:c r="E1" s="2"/>
      <x:c r="F1" s="2"/>
      <x:c r="G1" s="2"/>
      <x:c r="H1" s="2"/>
      <x:c r="I1" s="2"/>
      <x:c r="J1" s="2"/>
      <x:c r="K1" s="2"/>
      <x:c r="L1" s="2"/>
      <x:c r="M1" s="2"/>
    </x:row>
    <x:row r="2" ht="28" hidden="0" customHeight="1">
      <x:c r="A2" s="3" t="str">
        <x:v>The 2035 Technology Atlas</x:v>
      </x:c>
      <x:c r="B2" s="2"/>
      <x:c r="C2" s="2"/>
      <x:c r="D2" s="2"/>
      <x:c r="E2" s="2"/>
      <x:c r="F2" s="2"/>
      <x:c r="G2" s="2"/>
      <x:c r="H2" s="2"/>
      <x:c r="I2" s="2"/>
      <x:c r="J2" s="2"/>
      <x:c r="K2" s="2"/>
      <x:c r="L2" s="2"/>
      <x:c r="M2" s="2"/>
    </x:row>
    <x:row r="3" ht="25" hidden="0" customHeight="1">
      <x:c r="A3" s="4" t="str">
        <x:v>50 emerging technologies. Mainstream years and maturity scores are analyst estimates; scope and evidence are in the supporting sheets.</x:v>
      </x:c>
      <x:c r="B3" s="2"/>
      <x:c r="C3" s="2"/>
      <x:c r="D3" s="2"/>
      <x:c r="E3" s="2"/>
      <x:c r="F3" s="2"/>
      <x:c r="G3" s="2"/>
      <x:c r="H3" s="2"/>
      <x:c r="I3" s="2"/>
      <x:c r="J3" s="2"/>
      <x:c r="K3" s="2"/>
      <x:c r="L3" s="2"/>
      <x:c r="M3" s="2"/>
    </x:row>
    <x:row r="4" ht="15" hidden="0" customHeight="1">
      <x:c r="A4" s="2"/>
      <x:c r="B4" s="2"/>
      <x:c r="C4" s="2"/>
      <x:c r="D4" s="2"/>
      <x:c r="E4" s="2"/>
      <x:c r="F4" s="2"/>
      <x:c r="G4" s="2"/>
      <x:c r="H4" s="2"/>
      <x:c r="I4" s="2"/>
      <x:c r="J4" s="2"/>
      <x:c r="K4" s="2"/>
      <x:c r="L4" s="2"/>
      <x:c r="M4" s="2"/>
    </x:row>
    <x:row r="5" ht="36" hidden="0" customHeight="1">
      <x:c r="A5" s="11" t="str">
        <x:v>ID</x:v>
      </x:c>
      <x:c r="B5" s="11" t="str">
        <x:v>Technology</x:v>
      </x:c>
      <x:c r="C5" s="11" t="str">
        <x:v>Sector</x:v>
      </x:c>
      <x:c r="D5" s="11" t="str">
        <x:v>Central year</x:v>
      </x:c>
      <x:c r="E5" s="11" t="str">
        <x:v>Earliest year</x:v>
      </x:c>
      <x:c r="F5" s="11" t="str">
        <x:v>Latest year</x:v>
      </x:c>
      <x:c r="G5" s="11" t="str">
        <x:v>Confidence</x:v>
      </x:c>
      <x:c r="H5" s="11" t="str">
        <x:v>Direction</x:v>
      </x:c>
      <x:c r="I5" s="11" t="str">
        <x:v>2026 stage / 5</x:v>
      </x:c>
      <x:c r="J5" s="11" t="str">
        <x:v>2035 stage / 5</x:v>
      </x:c>
      <x:c r="K5" s="11" t="str">
        <x:v>Mainstream target market</x:v>
      </x:c>
      <x:c r="L5" s="11" t="str">
        <x:v>Company exposures</x:v>
      </x:c>
      <x:c r="M5" s="11" t="str">
        <x:v>News websites</x:v>
      </x:c>
    </x:row>
    <x:row r="6" ht="15" hidden="0" customHeight="1">
      <x:c r="A6" s="12" t="n">
        <x:v>1</x:v>
      </x:c>
      <x:c r="B6" s="6" t="str">
        <x:v>AI agents and workflow automation</x:v>
      </x:c>
      <x:c r="C6" s="6" t="str">
        <x:v>Intelligence</x:v>
      </x:c>
      <x:c r="D6" s="12" t="n">
        <x:v>2029</x:v>
      </x:c>
      <x:c r="E6" s="12" t="n">
        <x:v>2028</x:v>
      </x:c>
      <x:c r="F6" s="12" t="n">
        <x:v>2031</x:v>
      </x:c>
      <x:c r="G6" s="6" t="str">
        <x:v>Medium</x:v>
      </x:c>
      <x:c r="H6" s="6" t="str">
        <x:v>Accelerating</x:v>
      </x:c>
      <x:c r="I6" s="13" t="n">
        <x:v>3</x:v>
      </x:c>
      <x:c r="J6" s="13" t="n">
        <x:v>5</x:v>
      </x:c>
      <x:c r="K6" s="6" t="str">
        <x:v>Routine production use of agents for selected, repeatable enterprise workflows, with human approval and monitoring.</x:v>
      </x:c>
      <x:c r="L6" s="12" t="n">
        <x:v>11</x:v>
      </x:c>
      <x:c r="M6" s="12" t="n">
        <x:v>11</x:v>
      </x:c>
    </x:row>
    <x:row r="7" ht="24" hidden="0" customHeight="1">
      <x:c r="A7" s="12" t="n">
        <x:v>2</x:v>
      </x:c>
      <x:c r="B7" s="6" t="str">
        <x:v>Multimodal AI copilots</x:v>
      </x:c>
      <x:c r="C7" s="6" t="str">
        <x:v>Intelligence</x:v>
      </x:c>
      <x:c r="D7" s="12" t="n">
        <x:v>2027</x:v>
      </x:c>
      <x:c r="E7" s="12" t="n">
        <x:v>2026</x:v>
      </x:c>
      <x:c r="F7" s="12" t="n">
        <x:v>2029</x:v>
      </x:c>
      <x:c r="G7" s="6" t="str">
        <x:v>High</x:v>
      </x:c>
      <x:c r="H7" s="6" t="str">
        <x:v>Accelerating</x:v>
      </x:c>
      <x:c r="I7" s="13" t="n">
        <x:v>3</x:v>
      </x:c>
      <x:c r="J7" s="13" t="n">
        <x:v>5</x:v>
      </x:c>
      <x:c r="K7" s="6" t="str">
        <x:v>Human-reviewed multimodal assistance in common office, learning and customer-support workflows among digitally connected users.</x:v>
      </x:c>
      <x:c r="L7" s="12" t="n">
        <x:v>10</x:v>
      </x:c>
      <x:c r="M7" s="12" t="n">
        <x:v>11</x:v>
      </x:c>
    </x:row>
    <x:row r="8" ht="24" hidden="0" customHeight="1">
      <x:c r="A8" s="12" t="n">
        <x:v>3</x:v>
      </x:c>
      <x:c r="B8" s="6" t="str">
        <x:v>Edge and on-device AI</x:v>
      </x:c>
      <x:c r="C8" s="6" t="str">
        <x:v>Intelligence</x:v>
      </x:c>
      <x:c r="D8" s="12" t="n">
        <x:v>2029</x:v>
      </x:c>
      <x:c r="E8" s="12" t="n">
        <x:v>2027</x:v>
      </x:c>
      <x:c r="F8" s="12" t="n">
        <x:v>2031</x:v>
      </x:c>
      <x:c r="G8" s="6" t="str">
        <x:v>High</x:v>
      </x:c>
      <x:c r="H8" s="6" t="str">
        <x:v>Expanding from premium devices</x:v>
      </x:c>
      <x:c r="I8" s="13" t="n">
        <x:v>3</x:v>
      </x:c>
      <x:c r="J8" s="13" t="n">
        <x:v>5</x:v>
      </x:c>
      <x:c r="K8" s="6" t="str">
        <x:v>Routine useful local AI on premium-to-midrange PCs and phones, plus selected industrial edge devices; not every connected sensor.</x:v>
      </x:c>
      <x:c r="L8" s="12" t="n">
        <x:v>10</x:v>
      </x:c>
      <x:c r="M8" s="12" t="n">
        <x:v>11</x:v>
      </x:c>
    </x:row>
    <x:row r="9" ht="24" hidden="0" customHeight="1">
      <x:c r="A9" s="12" t="n">
        <x:v>4</x:v>
      </x:c>
      <x:c r="B9" s="6" t="str">
        <x:v>AI-native software development</x:v>
      </x:c>
      <x:c r="C9" s="6" t="str">
        <x:v>Intelligence</x:v>
      </x:c>
      <x:c r="D9" s="12" t="n">
        <x:v>2027</x:v>
      </x:c>
      <x:c r="E9" s="12" t="n">
        <x:v>2026</x:v>
      </x:c>
      <x:c r="F9" s="12" t="n">
        <x:v>2029</x:v>
      </x:c>
      <x:c r="G9" s="6" t="str">
        <x:v>High</x:v>
      </x:c>
      <x:c r="H9" s="6" t="str">
        <x:v>Accelerating; quality control becomes central</x:v>
      </x:c>
      <x:c r="I9" s="13" t="n">
        <x:v>3</x:v>
      </x:c>
      <x:c r="J9" s="13" t="n">
        <x:v>5</x:v>
      </x:c>
      <x:c r="K9" s="6" t="str">
        <x:v>Supervised AI assistance in professional software teams, with testing and accountable human review.</x:v>
      </x:c>
      <x:c r="L9" s="12" t="n">
        <x:v>11</x:v>
      </x:c>
      <x:c r="M9" s="12" t="n">
        <x:v>11</x:v>
      </x:c>
    </x:row>
    <x:row r="10" ht="15" hidden="0" customHeight="1">
      <x:c r="A10" s="12" t="n">
        <x:v>5</x:v>
      </x:c>
      <x:c r="B10" s="6" t="str">
        <x:v>AI search and enterprise knowledge retrieval</x:v>
      </x:c>
      <x:c r="C10" s="6" t="str">
        <x:v>Intelligence</x:v>
      </x:c>
      <x:c r="D10" s="12" t="n">
        <x:v>2028</x:v>
      </x:c>
      <x:c r="E10" s="12" t="n">
        <x:v>2027</x:v>
      </x:c>
      <x:c r="F10" s="12" t="n">
        <x:v>2030</x:v>
      </x:c>
      <x:c r="G10" s="6" t="str">
        <x:v>High</x:v>
      </x:c>
      <x:c r="H10" s="6" t="str">
        <x:v>Accelerating</x:v>
      </x:c>
      <x:c r="I10" s="13" t="n">
        <x:v>3</x:v>
      </x:c>
      <x:c r="J10" s="13" t="n">
        <x:v>5</x:v>
      </x:c>
      <x:c r="K10" s="6" t="str">
        <x:v>Permission-aware, source-linked AI retrieval used routinely within medium and large knowledge-intensive organizations.</x:v>
      </x:c>
      <x:c r="L10" s="12" t="n">
        <x:v>11</x:v>
      </x:c>
      <x:c r="M10" s="12" t="n">
        <x:v>11</x:v>
      </x:c>
    </x:row>
    <x:row r="11" ht="24" hidden="0" customHeight="1">
      <x:c r="A11" s="12" t="n">
        <x:v>6</x:v>
      </x:c>
      <x:c r="B11" s="6" t="str">
        <x:v>AI accelerators and heterogeneous computing</x:v>
      </x:c>
      <x:c r="C11" s="6" t="str">
        <x:v>Compute &amp; trust</x:v>
      </x:c>
      <x:c r="D11" s="12" t="n">
        <x:v>2027</x:v>
      </x:c>
      <x:c r="E11" s="12" t="n">
        <x:v>2026</x:v>
      </x:c>
      <x:c r="F11" s="12" t="n">
        <x:v>2029</x:v>
      </x:c>
      <x:c r="G11" s="6" t="str">
        <x:v>High</x:v>
      </x:c>
      <x:c r="H11" s="6" t="str">
        <x:v>Rapid growth with capital-cycle risk</x:v>
      </x:c>
      <x:c r="I11" s="13" t="n">
        <x:v>3</x:v>
      </x:c>
      <x:c r="J11" s="13" t="n">
        <x:v>5</x:v>
      </x:c>
      <x:c r="K11" s="6" t="str">
        <x:v>Routine heterogeneous and workload-specific accelerator procurement among AI-intensive cloud and enterprise infrastructure buyers.</x:v>
      </x:c>
      <x:c r="L11" s="12" t="n">
        <x:v>10</x:v>
      </x:c>
      <x:c r="M11" s="12" t="n">
        <x:v>11</x:v>
      </x:c>
    </x:row>
    <x:row r="12" ht="24" hidden="0" customHeight="1">
      <x:c r="A12" s="12" t="n">
        <x:v>7</x:v>
      </x:c>
      <x:c r="B12" s="6" t="str">
        <x:v>Chiplets and advanced semiconductor packaging</x:v>
      </x:c>
      <x:c r="C12" s="6" t="str">
        <x:v>Compute &amp; trust</x:v>
      </x:c>
      <x:c r="D12" s="12" t="n">
        <x:v>2028</x:v>
      </x:c>
      <x:c r="E12" s="12" t="n">
        <x:v>2027</x:v>
      </x:c>
      <x:c r="F12" s="12" t="n">
        <x:v>2030</x:v>
      </x:c>
      <x:c r="G12" s="6" t="str">
        <x:v>High</x:v>
      </x:c>
      <x:c r="H12" s="6" t="str">
        <x:v>Accelerating; packaging becomes a capacity constraint</x:v>
      </x:c>
      <x:c r="I12" s="13" t="n">
        <x:v>3</x:v>
      </x:c>
      <x:c r="J12" s="13" t="n">
        <x:v>5</x:v>
      </x:c>
      <x:c r="K12" s="6" t="str">
        <x:v>Advanced multi-die packaging as a routine design choice for high-performance AI, server and selected automotive chips.</x:v>
      </x:c>
      <x:c r="L12" s="12" t="n">
        <x:v>11</x:v>
      </x:c>
      <x:c r="M12" s="12" t="n">
        <x:v>11</x:v>
      </x:c>
    </x:row>
    <x:row r="13" ht="24" hidden="0" customHeight="1">
      <x:c r="A13" s="12" t="n">
        <x:v>8</x:v>
      </x:c>
      <x:c r="B13" s="6" t="str">
        <x:v>Silicon photonics and optical interconnects</x:v>
      </x:c>
      <x:c r="C13" s="6" t="str">
        <x:v>Compute &amp; trust</x:v>
      </x:c>
      <x:c r="D13" s="12" t="n">
        <x:v>2030</x:v>
      </x:c>
      <x:c r="E13" s="12" t="n">
        <x:v>2028</x:v>
      </x:c>
      <x:c r="F13" s="12" t="n">
        <x:v>2033</x:v>
      </x:c>
      <x:c r="G13" s="6" t="str">
        <x:v>Medium</x:v>
      </x:c>
      <x:c r="H13" s="6" t="str">
        <x:v>Accelerating from components toward integrated systems</x:v>
      </x:c>
      <x:c r="I13" s="13" t="n">
        <x:v>3</x:v>
      </x:c>
      <x:c r="J13" s="13" t="n">
        <x:v>5</x:v>
      </x:c>
      <x:c r="K13" s="6" t="str">
        <x:v>Co-packaged optics and optical I/O used routinely in the largest bandwidth-constrained AI and cloud systems.</x:v>
      </x:c>
      <x:c r="L13" s="12" t="n">
        <x:v>10</x:v>
      </x:c>
      <x:c r="M13" s="12" t="n">
        <x:v>11</x:v>
      </x:c>
    </x:row>
    <x:row r="14" ht="24" hidden="0" customHeight="1">
      <x:c r="A14" s="12" t="n">
        <x:v>9</x:v>
      </x:c>
      <x:c r="B14" s="6" t="str">
        <x:v>Post-quantum cryptography</x:v>
      </x:c>
      <x:c r="C14" s="6" t="str">
        <x:v>Compute &amp; trust</x:v>
      </x:c>
      <x:c r="D14" s="12" t="n">
        <x:v>2030</x:v>
      </x:c>
      <x:c r="E14" s="12" t="n">
        <x:v>2028</x:v>
      </x:c>
      <x:c r="F14" s="12" t="n">
        <x:v>2035</x:v>
      </x:c>
      <x:c r="G14" s="6" t="str">
        <x:v>High</x:v>
      </x:c>
      <x:c r="H14" s="6" t="str">
        <x:v>Standards-driven acceleration</x:v>
      </x:c>
      <x:c r="I14" s="13" t="n">
        <x:v>3</x:v>
      </x:c>
      <x:c r="J14" s="13" t="n">
        <x:v>5</x:v>
      </x:c>
      <x:c r="K14" s="6" t="str">
        <x:v>Post-quantum key exchange and planned authentication migration in new cloud, browser and regulated-enterprise systems.</x:v>
      </x:c>
      <x:c r="L14" s="12" t="n">
        <x:v>11</x:v>
      </x:c>
      <x:c r="M14" s="12" t="n">
        <x:v>11</x:v>
      </x:c>
    </x:row>
    <x:row r="15" ht="24" hidden="0" customHeight="1">
      <x:c r="A15" s="12" t="n">
        <x:v>10</x:v>
      </x:c>
      <x:c r="B15" s="6" t="str">
        <x:v>Confidential computing and privacy-preserving AI</x:v>
      </x:c>
      <x:c r="C15" s="6" t="str">
        <x:v>Compute &amp; trust</x:v>
      </x:c>
      <x:c r="D15" s="12" t="n">
        <x:v>2031</x:v>
      </x:c>
      <x:c r="E15" s="12" t="n">
        <x:v>2029</x:v>
      </x:c>
      <x:c r="F15" s="12" t="n">
        <x:v>2034</x:v>
      </x:c>
      <x:c r="G15" s="6" t="str">
        <x:v>Medium</x:v>
      </x:c>
      <x:c r="H15" s="6" t="str">
        <x:v>Growing, with limited comparable adoption data</x:v>
      </x:c>
      <x:c r="I15" s="13" t="n">
        <x:v>3</x:v>
      </x:c>
      <x:c r="J15" s="13" t="n">
        <x:v>4</x:v>
      </x:c>
      <x:c r="K15" s="6" t="str">
        <x:v>Attested confidential-computing environments used routinely for selected sensitive AI and regulated-cloud workloads.</x:v>
      </x:c>
      <x:c r="L15" s="12" t="n">
        <x:v>11</x:v>
      </x:c>
      <x:c r="M15" s="12" t="n">
        <x:v>11</x:v>
      </x:c>
    </x:row>
    <x:row r="16" ht="24" hidden="0" customHeight="1">
      <x:c r="A16" s="12" t="n">
        <x:v>11</x:v>
      </x:c>
      <x:c r="B16" s="6" t="str">
        <x:v>Private 5G and industrial wireless</x:v>
      </x:c>
      <x:c r="C16" s="6" t="str">
        <x:v>Connected industry</x:v>
      </x:c>
      <x:c r="D16" s="12" t="n">
        <x:v>2029</x:v>
      </x:c>
      <x:c r="E16" s="12" t="n">
        <x:v>2027</x:v>
      </x:c>
      <x:c r="F16" s="12" t="n">
        <x:v>2032</x:v>
      </x:c>
      <x:c r="G16" s="6" t="str">
        <x:v>Medium</x:v>
      </x:c>
      <x:c r="H16" s="6" t="str">
        <x:v>Growing, but customer additions have slowed</x:v>
      </x:c>
      <x:c r="I16" s="13" t="n">
        <x:v>3</x:v>
      </x:c>
      <x:c r="J16" s="13" t="n">
        <x:v>4</x:v>
      </x:c>
      <x:c r="K16" s="6" t="str">
        <x:v>A routine connectivity option for large industrial campuses with coverage, mobility or reliability requirements that justify dedicated mobile infrastructure.</x:v>
      </x:c>
      <x:c r="L16" s="12" t="n">
        <x:v>11</x:v>
      </x:c>
      <x:c r="M16" s="12" t="n">
        <x:v>12</x:v>
      </x:c>
    </x:row>
    <x:row r="17" ht="24" hidden="0" customHeight="1">
      <x:c r="A17" s="12" t="n">
        <x:v>12</x:v>
      </x:c>
      <x:c r="B17" s="6" t="str">
        <x:v>Direct-to-device satellite connectivity</x:v>
      </x:c>
      <x:c r="C17" s="6" t="str">
        <x:v>Connected industry</x:v>
      </x:c>
      <x:c r="D17" s="12" t="n">
        <x:v>2028</x:v>
      </x:c>
      <x:c r="E17" s="12" t="n">
        <x:v>2027</x:v>
      </x:c>
      <x:c r="F17" s="12" t="n">
        <x:v>2031</x:v>
      </x:c>
      <x:c r="G17" s="6" t="str">
        <x:v>High</x:v>
      </x:c>
      <x:c r="H17" s="6" t="str">
        <x:v>Expanding from SOS to limited commercial data</x:v>
      </x:c>
      <x:c r="I17" s="13" t="n">
        <x:v>3</x:v>
      </x:c>
      <x:c r="J17" s="13" t="n">
        <x:v>5</x:v>
      </x:c>
      <x:c r="K17" s="6" t="str">
        <x:v>Outdoor emergency messaging, basic text and selected lightweight data offered routinely by major handset/carrier ecosystems in supported countries.</x:v>
      </x:c>
      <x:c r="L17" s="12" t="n">
        <x:v>11</x:v>
      </x:c>
      <x:c r="M17" s="12" t="n">
        <x:v>11</x:v>
      </x:c>
    </x:row>
    <x:row r="18" ht="24" hidden="0" customHeight="1">
      <x:c r="A18" s="12" t="n">
        <x:v>13</x:v>
      </x:c>
      <x:c r="B18" s="6" t="str">
        <x:v>Industrial IoT and predictive maintenance</x:v>
      </x:c>
      <x:c r="C18" s="6" t="str">
        <x:v>Connected industry</x:v>
      </x:c>
      <x:c r="D18" s="12" t="n">
        <x:v>2028</x:v>
      </x:c>
      <x:c r="E18" s="12" t="n">
        <x:v>2026</x:v>
      </x:c>
      <x:c r="F18" s="12" t="n">
        <x:v>2030</x:v>
      </x:c>
      <x:c r="G18" s="6" t="str">
        <x:v>High</x:v>
      </x:c>
      <x:c r="H18" s="6" t="str">
        <x:v>Steady expansion toward operational automation</x:v>
      </x:c>
      <x:c r="I18" s="13" t="n">
        <x:v>3</x:v>
      </x:c>
      <x:c r="J18" s="13" t="n">
        <x:v>5</x:v>
      </x:c>
      <x:c r="K18" s="6" t="str">
        <x:v>Condition monitoring and predictive maintenance used routinely for economically important assets in medium and large industrial organizations.</x:v>
      </x:c>
      <x:c r="L18" s="12" t="n">
        <x:v>11</x:v>
      </x:c>
      <x:c r="M18" s="12" t="n">
        <x:v>11</x:v>
      </x:c>
    </x:row>
    <x:row r="19" ht="24" hidden="0" customHeight="1">
      <x:c r="A19" s="12" t="n">
        <x:v>14</x:v>
      </x:c>
      <x:c r="B19" s="6" t="str">
        <x:v>Industrial digital twins</x:v>
      </x:c>
      <x:c r="C19" s="6" t="str">
        <x:v>Connected industry</x:v>
      </x:c>
      <x:c r="D19" s="12" t="n">
        <x:v>2030</x:v>
      </x:c>
      <x:c r="E19" s="12" t="n">
        <x:v>2028</x:v>
      </x:c>
      <x:c r="F19" s="12" t="n">
        <x:v>2033</x:v>
      </x:c>
      <x:c r="G19" s="6" t="str">
        <x:v>Medium</x:v>
      </x:c>
      <x:c r="H19" s="6" t="str">
        <x:v>Expanding from design into live operations</x:v>
      </x:c>
      <x:c r="I19" s="13" t="n">
        <x:v>3</x:v>
      </x:c>
      <x:c r="J19" s="13" t="n">
        <x:v>5</x:v>
      </x:c>
      <x:c r="K19" s="6" t="str">
        <x:v>Synchronized operational twins used routinely for high-value manufacturing, infrastructure and energy assets.</x:v>
      </x:c>
      <x:c r="L19" s="12" t="n">
        <x:v>11</x:v>
      </x:c>
      <x:c r="M19" s="12" t="n">
        <x:v>11</x:v>
      </x:c>
    </x:row>
    <x:row r="20" ht="24" hidden="0" customHeight="1">
      <x:c r="A20" s="12" t="n">
        <x:v>15</x:v>
      </x:c>
      <x:c r="B20" s="6" t="str">
        <x:v>Enterprise spatial computing</x:v>
      </x:c>
      <x:c r="C20" s="6" t="str">
        <x:v>Connected industry</x:v>
      </x:c>
      <x:c r="D20" s="12" t="n">
        <x:v>2032</x:v>
      </x:c>
      <x:c r="E20" s="12" t="n">
        <x:v>2030</x:v>
      </x:c>
      <x:c r="F20" s="12" t="n">
        <x:v>2035</x:v>
      </x:c>
      <x:c r="G20" s="6" t="str">
        <x:v>Low</x:v>
      </x:c>
      <x:c r="H20" s="6" t="str">
        <x:v>Selective growth; broad headset adoption remains uneven</x:v>
      </x:c>
      <x:c r="I20" s="13" t="n">
        <x:v>3</x:v>
      </x:c>
      <x:c r="J20" s="13" t="n">
        <x:v>4</x:v>
      </x:c>
      <x:c r="K20" s="6" t="str">
        <x:v>Routine use in selected high-value enterprise training, design review, simulation and frontline assistance workflows.</x:v>
      </x:c>
      <x:c r="L20" s="12" t="n">
        <x:v>11</x:v>
      </x:c>
      <x:c r="M20" s="12" t="n">
        <x:v>11</x:v>
      </x:c>
    </x:row>
    <x:row r="21" ht="24" hidden="0" customHeight="1">
      <x:c r="A21" s="12" t="n">
        <x:v>16</x:v>
      </x:c>
      <x:c r="B21" s="6" t="str">
        <x:v>Collaborative robots and autonomous mobile robots</x:v>
      </x:c>
      <x:c r="C21" s="6" t="str">
        <x:v>Automation &amp; mobility</x:v>
      </x:c>
      <x:c r="D21" s="12" t="n">
        <x:v>2027</x:v>
      </x:c>
      <x:c r="E21" s="12" t="n">
        <x:v>2026</x:v>
      </x:c>
      <x:c r="F21" s="12" t="n">
        <x:v>2029</x:v>
      </x:c>
      <x:c r="G21" s="6" t="str">
        <x:v>High</x:v>
      </x:c>
      <x:c r="H21" s="6" t="str">
        <x:v>Established growth with application-specific economics</x:v>
      </x:c>
      <x:c r="I21" s="13" t="n">
        <x:v>3</x:v>
      </x:c>
      <x:c r="J21" s="13" t="n">
        <x:v>5</x:v>
      </x:c>
      <x:c r="K21" s="6" t="str">
        <x:v>A routine procurement option for medium-to-large warehouses and flexible manufacturing tasks with a clear automation case.</x:v>
      </x:c>
      <x:c r="L21" s="12" t="n">
        <x:v>10</x:v>
      </x:c>
      <x:c r="M21" s="12" t="n">
        <x:v>11</x:v>
      </x:c>
    </x:row>
    <x:row r="22" ht="24" hidden="0" customHeight="1">
      <x:c r="A22" s="12" t="n">
        <x:v>17</x:v>
      </x:c>
      <x:c r="B22" s="6" t="str">
        <x:v>Humanoid robots in structured industrial work</x:v>
      </x:c>
      <x:c r="C22" s="6" t="str">
        <x:v>Automation &amp; mobility</x:v>
      </x:c>
      <x:c r="D22" s="12" t="n">
        <x:v>2034</x:v>
      </x:c>
      <x:c r="E22" s="12" t="n">
        <x:v>2031</x:v>
      </x:c>
      <x:c r="F22" s="12" t="n">
        <x:v>2035</x:v>
      </x:c>
      <x:c r="G22" s="6" t="str">
        <x:v>Low</x:v>
      </x:c>
      <x:c r="H22" s="6" t="str">
        <x:v>Rapid early commercialization; low-confidence scale-up</x:v>
      </x:c>
      <x:c r="I22" s="13" t="n">
        <x:v>3</x:v>
      </x:c>
      <x:c r="J22" s="13" t="n">
        <x:v>4</x:v>
      </x:c>
      <x:c r="K22" s="6" t="str">
        <x:v>Repeatable, narrowly specified tasks in structured factories and warehouses, with human support and controlled operating areas.</x:v>
      </x:c>
      <x:c r="L22" s="12" t="n">
        <x:v>10</x:v>
      </x:c>
      <x:c r="M22" s="12" t="n">
        <x:v>11</x:v>
      </x:c>
    </x:row>
    <x:row r="23" ht="24" hidden="0" customHeight="1">
      <x:c r="A23" s="12" t="n">
        <x:v>18</x:v>
      </x:c>
      <x:c r="B23" s="6" t="str">
        <x:v>Robotaxis and autonomous driving</x:v>
      </x:c>
      <x:c r="C23" s="6" t="str">
        <x:v>Automation &amp; mobility</x:v>
      </x:c>
      <x:c r="D23" s="12" t="n">
        <x:v>2030</x:v>
      </x:c>
      <x:c r="E23" s="12" t="n">
        <x:v>2028</x:v>
      </x:c>
      <x:c r="F23" s="12" t="n">
        <x:v>2033</x:v>
      </x:c>
      <x:c r="G23" s="6" t="str">
        <x:v>Medium</x:v>
      </x:c>
      <x:c r="H23" s="6" t="str">
        <x:v>Accelerating</x:v>
      </x:c>
      <x:c r="I23" s="13" t="n">
        <x:v>3</x:v>
      </x:c>
      <x:c r="J23" s="13" t="n">
        <x:v>5</x:v>
      </x:c>
      <x:c r="K23" s="6" t="str">
        <x:v>Routine paid driverless taxi service in a substantial set of dense, approved urban markets; not universal autonomous driving.</x:v>
      </x:c>
      <x:c r="L23" s="12" t="n">
        <x:v>10</x:v>
      </x:c>
      <x:c r="M23" s="12" t="n">
        <x:v>10</x:v>
      </x:c>
    </x:row>
    <x:row r="24" ht="24" hidden="0" customHeight="1">
      <x:c r="A24" s="12" t="n">
        <x:v>19</x:v>
      </x:c>
      <x:c r="B24" s="6" t="str">
        <x:v>Autonomous delivery drones</x:v>
      </x:c>
      <x:c r="C24" s="6" t="str">
        <x:v>Automation &amp; mobility</x:v>
      </x:c>
      <x:c r="D24" s="12" t="n">
        <x:v>2029</x:v>
      </x:c>
      <x:c r="E24" s="12" t="n">
        <x:v>2027</x:v>
      </x:c>
      <x:c r="F24" s="12" t="n">
        <x:v>2032</x:v>
      </x:c>
      <x:c r="G24" s="6" t="str">
        <x:v>Medium</x:v>
      </x:c>
      <x:c r="H24" s="6" t="str">
        <x:v>Accelerating</x:v>
      </x:c>
      <x:c r="I24" s="13" t="n">
        <x:v>3</x:v>
      </x:c>
      <x:c r="J24" s="13" t="n">
        <x:v>5</x:v>
      </x:c>
      <x:c r="K24" s="6" t="str">
        <x:v>Routine lightweight retail and medical delivery in suitable suburban and regional corridors with authorised beyond-visual-line-of-sight operations.</x:v>
      </x:c>
      <x:c r="L24" s="12" t="n">
        <x:v>10</x:v>
      </x:c>
      <x:c r="M24" s="12" t="n">
        <x:v>10</x:v>
      </x:c>
    </x:row>
    <x:row r="25" ht="24" hidden="0" customHeight="1">
      <x:c r="A25" s="12" t="n">
        <x:v>20</x:v>
      </x:c>
      <x:c r="B25" s="6" t="str">
        <x:v>Software-defined vehicles</x:v>
      </x:c>
      <x:c r="C25" s="6" t="str">
        <x:v>Automation &amp; mobility</x:v>
      </x:c>
      <x:c r="D25" s="12" t="n">
        <x:v>2029</x:v>
      </x:c>
      <x:c r="E25" s="12" t="n">
        <x:v>2027</x:v>
      </x:c>
      <x:c r="F25" s="12" t="n">
        <x:v>2032</x:v>
      </x:c>
      <x:c r="G25" s="6" t="str">
        <x:v>High</x:v>
      </x:c>
      <x:c r="H25" s="6" t="str">
        <x:v>Accelerating</x:v>
      </x:c>
      <x:c r="I25" s="13" t="n">
        <x:v>3</x:v>
      </x:c>
      <x:c r="J25" s="13" t="n">
        <x:v>5</x:v>
      </x:c>
      <x:c r="K25" s="6" t="str">
        <x:v>New vehicle platforms from major manufacturers with centralised computing, managed software updates and ongoing feature maintenance.</x:v>
      </x:c>
      <x:c r="L25" s="12" t="n">
        <x:v>10</x:v>
      </x:c>
      <x:c r="M25" s="12" t="n">
        <x:v>11</x:v>
      </x:c>
    </x:row>
    <x:row r="26" ht="24" hidden="0" customHeight="1">
      <x:c r="A26" s="12" t="n">
        <x:v>21</x:v>
      </x:c>
      <x:c r="B26" s="6" t="str">
        <x:v>AI diagnostics and clinical copilots</x:v>
      </x:c>
      <x:c r="C26" s="6" t="str">
        <x:v>Healthcare</x:v>
      </x:c>
      <x:c r="D26" s="12" t="n">
        <x:v>2028</x:v>
      </x:c>
      <x:c r="E26" s="12" t="n">
        <x:v>2027</x:v>
      </x:c>
      <x:c r="F26" s="12" t="n">
        <x:v>2031</x:v>
      </x:c>
      <x:c r="G26" s="6" t="str">
        <x:v>High</x:v>
      </x:c>
      <x:c r="H26" s="6" t="str">
        <x:v>Accelerating</x:v>
      </x:c>
      <x:c r="I26" s="13" t="n">
        <x:v>3</x:v>
      </x:c>
      <x:c r="J26" s="13" t="n">
        <x:v>5</x:v>
      </x:c>
      <x:c r="K26" s="6" t="str">
        <x:v>Clinician-reviewed documentation and validated decision support in well-resourced health systems; specific approved diagnostic workflows.</x:v>
      </x:c>
      <x:c r="L26" s="12" t="n">
        <x:v>10</x:v>
      </x:c>
      <x:c r="M26" s="12" t="n">
        <x:v>10</x:v>
      </x:c>
    </x:row>
    <x:row r="27" ht="24" hidden="0" customHeight="1">
      <x:c r="A27" s="12" t="n">
        <x:v>22</x:v>
      </x:c>
      <x:c r="B27" s="6" t="str">
        <x:v>Precision oncology and liquid biopsies</x:v>
      </x:c>
      <x:c r="C27" s="6" t="str">
        <x:v>Healthcare</x:v>
      </x:c>
      <x:c r="D27" s="12" t="n">
        <x:v>2029</x:v>
      </x:c>
      <x:c r="E27" s="12" t="n">
        <x:v>2027</x:v>
      </x:c>
      <x:c r="F27" s="12" t="n">
        <x:v>2032</x:v>
      </x:c>
      <x:c r="G27" s="6" t="str">
        <x:v>High</x:v>
      </x:c>
      <x:c r="H27" s="6" t="str">
        <x:v>Accelerating</x:v>
      </x:c>
      <x:c r="I27" s="13" t="n">
        <x:v>3</x:v>
      </x:c>
      <x:c r="J27" s="13" t="n">
        <x:v>5</x:v>
      </x:c>
      <x:c r="K27" s="6" t="str">
        <x:v>Routine molecular profiling and evidence-backed blood testing in selected oncology pathways; not universal multi-cancer population screening.</x:v>
      </x:c>
      <x:c r="L27" s="12" t="n">
        <x:v>10</x:v>
      </x:c>
      <x:c r="M27" s="12" t="n">
        <x:v>10</x:v>
      </x:c>
    </x:row>
    <x:row r="28" ht="24" hidden="0" customHeight="1">
      <x:c r="A28" s="12" t="n">
        <x:v>23</x:v>
      </x:c>
      <x:c r="B28" s="6" t="str">
        <x:v>Gene-editing therapies</x:v>
      </x:c>
      <x:c r="C28" s="6" t="str">
        <x:v>Healthcare</x:v>
      </x:c>
      <x:c r="D28" s="12" t="n">
        <x:v>2032</x:v>
      </x:c>
      <x:c r="E28" s="12" t="n">
        <x:v>2029</x:v>
      </x:c>
      <x:c r="F28" s="12" t="n">
        <x:v>2035</x:v>
      </x:c>
      <x:c r="G28" s="6" t="str">
        <x:v>Medium</x:v>
      </x:c>
      <x:c r="H28" s="6" t="str">
        <x:v>Growing from a small base</x:v>
      </x:c>
      <x:c r="I28" s="13" t="n">
        <x:v>3</x:v>
      </x:c>
      <x:c r="J28" s="13" t="n">
        <x:v>4</x:v>
      </x:c>
      <x:c r="K28" s="6" t="str">
        <x:v>Established treatment option at specialist centres for selected severe inherited diseases; in-vivo indications only after successful trials and approval.</x:v>
      </x:c>
      <x:c r="L28" s="12" t="n">
        <x:v>10</x:v>
      </x:c>
      <x:c r="M28" s="12" t="n">
        <x:v>10</x:v>
      </x:c>
    </x:row>
    <x:row r="29" ht="24" hidden="0" customHeight="1">
      <x:c r="A29" s="12" t="n">
        <x:v>24</x:v>
      </x:c>
      <x:c r="B29" s="6" t="str">
        <x:v>RNA therapeutics and next-generation vaccines</x:v>
      </x:c>
      <x:c r="C29" s="6" t="str">
        <x:v>Healthcare</x:v>
      </x:c>
      <x:c r="D29" s="12" t="n">
        <x:v>2030</x:v>
      </x:c>
      <x:c r="E29" s="12" t="n">
        <x:v>2028</x:v>
      </x:c>
      <x:c r="F29" s="12" t="n">
        <x:v>2034</x:v>
      </x:c>
      <x:c r="G29" s="6" t="str">
        <x:v>Medium</x:v>
      </x:c>
      <x:c r="H29" s="6" t="str">
        <x:v>Growing, with divergent submarkets</x:v>
      </x:c>
      <x:c r="I29" s="13" t="n">
        <x:v>3</x:v>
      </x:c>
      <x:c r="J29" s="13" t="n">
        <x:v>5</x:v>
      </x:c>
      <x:c r="K29" s="6" t="str">
        <x:v>Routine use of additional RNA medicines in selected liver, cardiovascular and rare-disease indications, with approved vaccine extensions.</x:v>
      </x:c>
      <x:c r="L29" s="12" t="n">
        <x:v>10</x:v>
      </x:c>
      <x:c r="M29" s="12" t="n">
        <x:v>10</x:v>
      </x:c>
    </x:row>
    <x:row r="30" ht="24" hidden="0" customHeight="1">
      <x:c r="A30" s="12" t="n">
        <x:v>25</x:v>
      </x:c>
      <x:c r="B30" s="6" t="str">
        <x:v>Remote patient monitoring and medical wearables</x:v>
      </x:c>
      <x:c r="C30" s="6" t="str">
        <x:v>Healthcare</x:v>
      </x:c>
      <x:c r="D30" s="12" t="n">
        <x:v>2028</x:v>
      </x:c>
      <x:c r="E30" s="12" t="n">
        <x:v>2027</x:v>
      </x:c>
      <x:c r="F30" s="12" t="n">
        <x:v>2031</x:v>
      </x:c>
      <x:c r="G30" s="6" t="str">
        <x:v>High</x:v>
      </x:c>
      <x:c r="H30" s="6" t="str">
        <x:v>Accelerating</x:v>
      </x:c>
      <x:c r="I30" s="13" t="n">
        <x:v>3</x:v>
      </x:c>
      <x:c r="J30" s="13" t="n">
        <x:v>5</x:v>
      </x:c>
      <x:c r="K30" s="6" t="str">
        <x:v>Covered chronic-disease pathways using validated devices and staffed clinical response, beyond already-established diabetes CGM.</x:v>
      </x:c>
      <x:c r="L30" s="12" t="n">
        <x:v>10</x:v>
      </x:c>
      <x:c r="M30" s="12" t="n">
        <x:v>10</x:v>
      </x:c>
    </x:row>
    <x:row r="31" ht="24" hidden="0" customHeight="1">
      <x:c r="A31" s="12" t="n">
        <x:v>26</x:v>
      </x:c>
      <x:c r="B31" s="6" t="str">
        <x:v>AI-enabled drug discovery</x:v>
      </x:c>
      <x:c r="C31" s="6" t="str">
        <x:v>Bio &amp; production</x:v>
      </x:c>
      <x:c r="D31" s="12" t="n">
        <x:v>2029</x:v>
      </x:c>
      <x:c r="E31" s="12" t="n">
        <x:v>2027</x:v>
      </x:c>
      <x:c r="F31" s="12" t="n">
        <x:v>2032</x:v>
      </x:c>
      <x:c r="G31" s="6" t="str">
        <x:v>High</x:v>
      </x:c>
      <x:c r="H31" s="6" t="str">
        <x:v>Accelerating</x:v>
      </x:c>
      <x:c r="I31" s="13" t="n">
        <x:v>3</x:v>
      </x:c>
      <x:c r="J31" s="13" t="n">
        <x:v>5</x:v>
      </x:c>
      <x:c r="K31" s="6" t="str">
        <x:v>AI integrated into routine discovery and optimisation workflows at pharmaceutical companies; not a promise that AI-origin drugs all reach approval.</x:v>
      </x:c>
      <x:c r="L31" s="12" t="n">
        <x:v>10</x:v>
      </x:c>
      <x:c r="M31" s="12" t="n">
        <x:v>10</x:v>
      </x:c>
    </x:row>
    <x:row r="32" ht="15" hidden="0" customHeight="1">
      <x:c r="A32" s="12" t="n">
        <x:v>27</x:v>
      </x:c>
      <x:c r="B32" s="6" t="str">
        <x:v>Synthetic biology and biomanufacturing</x:v>
      </x:c>
      <x:c r="C32" s="6" t="str">
        <x:v>Bio &amp; production</x:v>
      </x:c>
      <x:c r="D32" s="12" t="n">
        <x:v>2030</x:v>
      </x:c>
      <x:c r="E32" s="12" t="n">
        <x:v>2028</x:v>
      </x:c>
      <x:c r="F32" s="12" t="n">
        <x:v>2034</x:v>
      </x:c>
      <x:c r="G32" s="6" t="str">
        <x:v>Medium</x:v>
      </x:c>
      <x:c r="H32" s="6" t="str">
        <x:v>Growing selectively</x:v>
      </x:c>
      <x:c r="I32" s="13" t="n">
        <x:v>3</x:v>
      </x:c>
      <x:c r="J32" s="13" t="n">
        <x:v>5</x:v>
      </x:c>
      <x:c r="K32" s="6" t="str">
        <x:v>Routine engineered-biological production of selected high-value ingredients, enzymes and specialty chemicals.</x:v>
      </x:c>
      <x:c r="L32" s="12" t="n">
        <x:v>10</x:v>
      </x:c>
      <x:c r="M32" s="12" t="n">
        <x:v>10</x:v>
      </x:c>
    </x:row>
    <x:row r="33" ht="24" hidden="0" customHeight="1">
      <x:c r="A33" s="12" t="n">
        <x:v>28</x:v>
      </x:c>
      <x:c r="B33" s="6" t="str">
        <x:v>Precision fermentation for food</x:v>
      </x:c>
      <x:c r="C33" s="6" t="str">
        <x:v>Bio &amp; production</x:v>
      </x:c>
      <x:c r="D33" s="12" t="n">
        <x:v>2033</x:v>
      </x:c>
      <x:c r="E33" s="12" t="n">
        <x:v>2030</x:v>
      </x:c>
      <x:c r="F33" s="12" t="n">
        <x:v>2035</x:v>
      </x:c>
      <x:c r="G33" s="6" t="str">
        <x:v>Low</x:v>
      </x:c>
      <x:c r="H33" s="6" t="str">
        <x:v>Mixed; capital constrained</x:v>
      </x:c>
      <x:c r="I33" s="13" t="n">
        <x:v>3</x:v>
      </x:c>
      <x:c r="J33" s="13" t="n">
        <x:v>4</x:v>
      </x:c>
      <x:c r="K33" s="6" t="str">
        <x:v>Regular ingredient use in selected premium or high-functionality food categories where approved products reach workable cost and supply reliability.</x:v>
      </x:c>
      <x:c r="L33" s="12" t="n">
        <x:v>10</x:v>
      </x:c>
      <x:c r="M33" s="12" t="n">
        <x:v>12</x:v>
      </x:c>
    </x:row>
    <x:row r="34" ht="24" hidden="0" customHeight="1">
      <x:c r="A34" s="12" t="n">
        <x:v>29</x:v>
      </x:c>
      <x:c r="B34" s="6" t="str">
        <x:v>Organoids and organ-on-chip testing</x:v>
      </x:c>
      <x:c r="C34" s="6" t="str">
        <x:v>Bio &amp; production</x:v>
      </x:c>
      <x:c r="D34" s="12" t="n">
        <x:v>2030</x:v>
      </x:c>
      <x:c r="E34" s="12" t="n">
        <x:v>2028</x:v>
      </x:c>
      <x:c r="F34" s="12" t="n">
        <x:v>2034</x:v>
      </x:c>
      <x:c r="G34" s="6" t="str">
        <x:v>Medium</x:v>
      </x:c>
      <x:c r="H34" s="6" t="str">
        <x:v>Accelerating from research into workflows</x:v>
      </x:c>
      <x:c r="I34" s="13" t="n">
        <x:v>3</x:v>
      </x:c>
      <x:c r="J34" s="13" t="n">
        <x:v>5</x:v>
      </x:c>
      <x:c r="K34" s="6" t="str">
        <x:v>Routine complementary use in selected pharmaceutical toxicity, disease-model and compound-selection workflows.</x:v>
      </x:c>
      <x:c r="L34" s="12" t="n">
        <x:v>10</x:v>
      </x:c>
      <x:c r="M34" s="12" t="n">
        <x:v>10</x:v>
      </x:c>
    </x:row>
    <x:row r="35" ht="24" hidden="0" customHeight="1">
      <x:c r="A35" s="12" t="n">
        <x:v>30</x:v>
      </x:c>
      <x:c r="B35" s="6" t="str">
        <x:v>Autonomous agriculture and precision farming</x:v>
      </x:c>
      <x:c r="C35" s="6" t="str">
        <x:v>Bio &amp; production</x:v>
      </x:c>
      <x:c r="D35" s="12" t="n">
        <x:v>2029</x:v>
      </x:c>
      <x:c r="E35" s="12" t="n">
        <x:v>2027</x:v>
      </x:c>
      <x:c r="F35" s="12" t="n">
        <x:v>2032</x:v>
      </x:c>
      <x:c r="G35" s="6" t="str">
        <x:v>High</x:v>
      </x:c>
      <x:c r="H35" s="6" t="str">
        <x:v>Accelerating</x:v>
      </x:c>
      <x:c r="I35" s="13" t="n">
        <x:v>3</x:v>
      </x:c>
      <x:c r="J35" s="13" t="n">
        <x:v>5</x:v>
      </x:c>
      <x:c r="K35" s="6" t="str">
        <x:v>Routine precision spraying, automated guidance and selected supervised autonomous tasks on commercially suitable farms.</x:v>
      </x:c>
      <x:c r="L35" s="12" t="n">
        <x:v>10</x:v>
      </x:c>
      <x:c r="M35" s="12" t="n">
        <x:v>10</x:v>
      </x:c>
    </x:row>
    <x:row r="36" ht="24" hidden="0" customHeight="1">
      <x:c r="A36" s="12" t="n">
        <x:v>31</x:v>
      </x:c>
      <x:c r="B36" s="6" t="str">
        <x:v>Perovskite-silicon tandem solar</x:v>
      </x:c>
      <x:c r="C36" s="6" t="str">
        <x:v>Clean power</x:v>
      </x:c>
      <x:c r="D36" s="12" t="n">
        <x:v>2031</x:v>
      </x:c>
      <x:c r="E36" s="12" t="n">
        <x:v>2028</x:v>
      </x:c>
      <x:c r="F36" s="12" t="n">
        <x:v>2035</x:v>
      </x:c>
      <x:c r="G36" s="6" t="str">
        <x:v>Medium</x:v>
      </x:c>
      <x:c r="H36" s="6" t="str">
        <x:v>Accelerating technically; early commercial scale</x:v>
      </x:c>
      <x:c r="I36" s="13" t="n">
        <x:v>3</x:v>
      </x:c>
      <x:c r="J36" s="13" t="n">
        <x:v>4</x:v>
      </x:c>
      <x:c r="K36" s="6" t="str">
        <x:v>Bankable commercial tandem modules used routinely in selected premium or area-constrained solar installations.</x:v>
      </x:c>
      <x:c r="L36" s="12" t="n">
        <x:v>10</x:v>
      </x:c>
      <x:c r="M36" s="12" t="n">
        <x:v>10</x:v>
      </x:c>
    </x:row>
    <x:row r="37" ht="24" hidden="0" customHeight="1">
      <x:c r="A37" s="12" t="n">
        <x:v>32</x:v>
      </x:c>
      <x:c r="B37" s="6" t="str">
        <x:v>Long-duration energy storage</x:v>
      </x:c>
      <x:c r="C37" s="6" t="str">
        <x:v>Clean power</x:v>
      </x:c>
      <x:c r="D37" s="12" t="n">
        <x:v>2032</x:v>
      </x:c>
      <x:c r="E37" s="12" t="n">
        <x:v>2029</x:v>
      </x:c>
      <x:c r="F37" s="12" t="n">
        <x:v>2035</x:v>
      </x:c>
      <x:c r="G37" s="6" t="str">
        <x:v>Medium</x:v>
      </x:c>
      <x:c r="H37" s="6" t="str">
        <x:v>Growing; finance constrained</x:v>
      </x:c>
      <x:c r="I37" s="13" t="n">
        <x:v>3</x:v>
      </x:c>
      <x:c r="J37" s="13" t="n">
        <x:v>4</x:v>
      </x:c>
      <x:c r="K37" s="6" t="str">
        <x:v>Routine procurement of eight-to-100-hour storage for selected grid and industrial needs where duration has an explicit economic value.</x:v>
      </x:c>
      <x:c r="L37" s="12" t="n">
        <x:v>10</x:v>
      </x:c>
      <x:c r="M37" s="12" t="n">
        <x:v>11</x:v>
      </x:c>
    </x:row>
    <x:row r="38" ht="24" hidden="0" customHeight="1">
      <x:c r="A38" s="12" t="n">
        <x:v>33</x:v>
      </x:c>
      <x:c r="B38" s="6" t="str">
        <x:v>Sodium-ion batteries</x:v>
      </x:c>
      <x:c r="C38" s="6" t="str">
        <x:v>Clean power</x:v>
      </x:c>
      <x:c r="D38" s="12" t="n">
        <x:v>2030</x:v>
      </x:c>
      <x:c r="E38" s="12" t="n">
        <x:v>2028</x:v>
      </x:c>
      <x:c r="F38" s="12" t="n">
        <x:v>2033</x:v>
      </x:c>
      <x:c r="G38" s="6" t="str">
        <x:v>Medium</x:v>
      </x:c>
      <x:c r="H38" s="6" t="str">
        <x:v>Moving into early commercial scale</x:v>
      </x:c>
      <x:c r="I38" s="13" t="n">
        <x:v>3</x:v>
      </x:c>
      <x:c r="J38" s="13" t="n">
        <x:v>5</x:v>
      </x:c>
      <x:c r="K38" s="6" t="str">
        <x:v>Routine use in selected budget or cold-weather vehicles and stationary storage products; not wholesale replacement of lithium-ion.</x:v>
      </x:c>
      <x:c r="L38" s="12" t="n">
        <x:v>10</x:v>
      </x:c>
      <x:c r="M38" s="12" t="n">
        <x:v>10</x:v>
      </x:c>
    </x:row>
    <x:row r="39" ht="24" hidden="0" customHeight="1">
      <x:c r="A39" s="12" t="n">
        <x:v>34</x:v>
      </x:c>
      <x:c r="B39" s="6" t="str">
        <x:v>Advanced geothermal</x:v>
      </x:c>
      <x:c r="C39" s="6" t="str">
        <x:v>Clean power</x:v>
      </x:c>
      <x:c r="D39" s="12" t="n">
        <x:v>2031</x:v>
      </x:c>
      <x:c r="E39" s="12" t="n">
        <x:v>2029</x:v>
      </x:c>
      <x:c r="F39" s="12" t="n">
        <x:v>2034</x:v>
      </x:c>
      <x:c r="G39" s="6" t="str">
        <x:v>Medium</x:v>
      </x:c>
      <x:c r="H39" s="6" t="str">
        <x:v>Accelerating</x:v>
      </x:c>
      <x:c r="I39" s="13" t="n">
        <x:v>3</x:v>
      </x:c>
      <x:c r="J39" s="13" t="n">
        <x:v>4</x:v>
      </x:c>
      <x:c r="K39" s="6" t="str">
        <x:v>Routine procurement of next-generation geothermal power in selected US and European electricity markets with suitable geology and firm-power demand.</x:v>
      </x:c>
      <x:c r="L39" s="12" t="n">
        <x:v>11</x:v>
      </x:c>
      <x:c r="M39" s="12" t="n">
        <x:v>11</x:v>
      </x:c>
    </x:row>
    <x:row r="40" ht="24" hidden="0" customHeight="1">
      <x:c r="A40" s="12" t="n">
        <x:v>35</x:v>
      </x:c>
      <x:c r="B40" s="6" t="str">
        <x:v>Small modular nuclear reactors</x:v>
      </x:c>
      <x:c r="C40" s="6" t="str">
        <x:v>Clean power</x:v>
      </x:c>
      <x:c r="D40" s="12" t="n">
        <x:v>2034</x:v>
      </x:c>
      <x:c r="E40" s="12" t="n">
        <x:v>2031</x:v>
      </x:c>
      <x:c r="F40" s="12" t="n">
        <x:v>2035</x:v>
      </x:c>
      <x:c r="G40" s="6" t="str">
        <x:v>Low</x:v>
      </x:c>
      <x:c r="H40" s="6" t="str">
        <x:v>Advancing, execution constrained</x:v>
      </x:c>
      <x:c r="I40" s="13" t="n">
        <x:v>2</x:v>
      </x:c>
      <x:c r="J40" s="13" t="n">
        <x:v>4</x:v>
      </x:c>
      <x:c r="K40" s="6" t="str">
        <x:v>Repeat commercial orders for a small number of qualified designs in established nuclear countries; not mass global replacement of large reactors.</x:v>
      </x:c>
      <x:c r="L40" s="12" t="n">
        <x:v>11</x:v>
      </x:c>
      <x:c r="M40" s="12" t="n">
        <x:v>10</x:v>
      </x:c>
    </x:row>
    <x:row r="41" ht="24" hidden="0" customHeight="1">
      <x:c r="A41" s="12" t="n">
        <x:v>36</x:v>
      </x:c>
      <x:c r="B41" s="6" t="str">
        <x:v>High-temperature and industrial heat pumps</x:v>
      </x:c>
      <x:c r="C41" s="6" t="str">
        <x:v>Electrification</x:v>
      </x:c>
      <x:c r="D41" s="12" t="n">
        <x:v>2031</x:v>
      </x:c>
      <x:c r="E41" s="12" t="n">
        <x:v>2028</x:v>
      </x:c>
      <x:c r="F41" s="12" t="n">
        <x:v>2035</x:v>
      </x:c>
      <x:c r="G41" s="6" t="str">
        <x:v>Medium</x:v>
      </x:c>
      <x:c r="H41" s="6" t="str">
        <x:v>Growing, policy sensitive</x:v>
      </x:c>
      <x:c r="I41" s="13" t="n">
        <x:v>3</x:v>
      </x:c>
      <x:c r="J41" s="13" t="n">
        <x:v>4</x:v>
      </x:c>
      <x:c r="K41" s="6" t="str">
        <x:v>Routine selection for suitable low-to-medium-temperature process-heat projects in food, paper and other light industries, especially with recoverable waste heat.</x:v>
      </x:c>
      <x:c r="L41" s="12" t="n">
        <x:v>10</x:v>
      </x:c>
      <x:c r="M41" s="12" t="n">
        <x:v>10</x:v>
      </x:c>
    </x:row>
    <x:row r="42" ht="24" hidden="0" customHeight="1">
      <x:c r="A42" s="12" t="n">
        <x:v>37</x:v>
      </x:c>
      <x:c r="B42" s="6" t="str">
        <x:v>Virtual power plants and demand flexibility</x:v>
      </x:c>
      <x:c r="C42" s="6" t="str">
        <x:v>Electrification</x:v>
      </x:c>
      <x:c r="D42" s="12" t="n">
        <x:v>2028</x:v>
      </x:c>
      <x:c r="E42" s="12" t="n">
        <x:v>2027</x:v>
      </x:c>
      <x:c r="F42" s="12" t="n">
        <x:v>2031</x:v>
      </x:c>
      <x:c r="G42" s="6" t="str">
        <x:v>High</x:v>
      </x:c>
      <x:c r="H42" s="6" t="str">
        <x:v>Accelerating</x:v>
      </x:c>
      <x:c r="I42" s="13" t="n">
        <x:v>3</x:v>
      </x:c>
      <x:c r="J42" s="13" t="n">
        <x:v>5</x:v>
      </x:c>
      <x:c r="K42" s="6" t="str">
        <x:v>Routine utility procurement of aggregated residential and commercial flexibility in suitable US, European and Australian electricity markets.</x:v>
      </x:c>
      <x:c r="L42" s="12" t="n">
        <x:v>10</x:v>
      </x:c>
      <x:c r="M42" s="12" t="n">
        <x:v>10</x:v>
      </x:c>
    </x:row>
    <x:row r="43" ht="24" hidden="0" customHeight="1">
      <x:c r="A43" s="12" t="n">
        <x:v>38</x:v>
      </x:c>
      <x:c r="B43" s="6" t="str">
        <x:v>Advanced transmission and grid-enhancing technologies</x:v>
      </x:c>
      <x:c r="C43" s="6" t="str">
        <x:v>Electrification</x:v>
      </x:c>
      <x:c r="D43" s="12" t="n">
        <x:v>2028</x:v>
      </x:c>
      <x:c r="E43" s="12" t="n">
        <x:v>2027</x:v>
      </x:c>
      <x:c r="F43" s="12" t="n">
        <x:v>2031</x:v>
      </x:c>
      <x:c r="G43" s="6" t="str">
        <x:v>High</x:v>
      </x:c>
      <x:c r="H43" s="6" t="str">
        <x:v>Accelerating</x:v>
      </x:c>
      <x:c r="I43" s="13" t="n">
        <x:v>3</x:v>
      </x:c>
      <x:c r="J43" s="13" t="n">
        <x:v>5</x:v>
      </x:c>
      <x:c r="K43" s="6" t="str">
        <x:v>Routine consideration of reconductoring, dynamic line ratings and power-flow controls by transmission operators where they outperform an otherwise required upgrade.</x:v>
      </x:c>
      <x:c r="L43" s="12" t="n">
        <x:v>10</x:v>
      </x:c>
      <x:c r="M43" s="12" t="n">
        <x:v>10</x:v>
      </x:c>
    </x:row>
    <x:row r="44" ht="24" hidden="0" customHeight="1">
      <x:c r="A44" s="12" t="n">
        <x:v>39</x:v>
      </x:c>
      <x:c r="B44" s="6" t="str">
        <x:v>Smart and bidirectional EV charging</x:v>
      </x:c>
      <x:c r="C44" s="6" t="str">
        <x:v>Electrification</x:v>
      </x:c>
      <x:c r="D44" s="12" t="n">
        <x:v>2030</x:v>
      </x:c>
      <x:c r="E44" s="12" t="n">
        <x:v>2028</x:v>
      </x:c>
      <x:c r="F44" s="12" t="n">
        <x:v>2033</x:v>
      </x:c>
      <x:c r="G44" s="6" t="str">
        <x:v>Medium</x:v>
      </x:c>
      <x:c r="H44" s="6" t="str">
        <x:v>Accelerating from pilots</x:v>
      </x:c>
      <x:c r="I44" s="13" t="n">
        <x:v>3</x:v>
      </x:c>
      <x:c r="J44" s="13" t="n">
        <x:v>5</x:v>
      </x:c>
      <x:c r="K44" s="6" t="str">
        <x:v>Routine managed charging and commercially repeatable bidirectional offers for compatible vehicle fleets and households in electricity markets that compensate flexibility.</x:v>
      </x:c>
      <x:c r="L44" s="12" t="n">
        <x:v>10</x:v>
      </x:c>
      <x:c r="M44" s="12" t="n">
        <x:v>10</x:v>
      </x:c>
    </x:row>
    <x:row r="45" ht="24" hidden="0" customHeight="1">
      <x:c r="A45" s="12" t="n">
        <x:v>40</x:v>
      </x:c>
      <x:c r="B45" s="6" t="str">
        <x:v>Battery recycling and materials recovery</x:v>
      </x:c>
      <x:c r="C45" s="6" t="str">
        <x:v>Electrification</x:v>
      </x:c>
      <x:c r="D45" s="12" t="n">
        <x:v>2029</x:v>
      </x:c>
      <x:c r="E45" s="12" t="n">
        <x:v>2027</x:v>
      </x:c>
      <x:c r="F45" s="12" t="n">
        <x:v>2032</x:v>
      </x:c>
      <x:c r="G45" s="6" t="str">
        <x:v>Medium</x:v>
      </x:c>
      <x:c r="H45" s="6" t="str">
        <x:v>Growing, consolidating</x:v>
      </x:c>
      <x:c r="I45" s="13" t="n">
        <x:v>3</x:v>
      </x:c>
      <x:c r="J45" s="13" t="n">
        <x:v>5</x:v>
      </x:c>
      <x:c r="K45" s="6" t="str">
        <x:v>Routine closed-loop procurement and recycling of battery production scrap and growing EV-retirement streams in major battery-manufacturing regions.</x:v>
      </x:c>
      <x:c r="L45" s="12" t="n">
        <x:v>10</x:v>
      </x:c>
      <x:c r="M45" s="12" t="n">
        <x:v>11</x:v>
      </x:c>
    </x:row>
    <x:row r="46" ht="24" hidden="0" customHeight="1">
      <x:c r="A46" s="12" t="n">
        <x:v>41</x:v>
      </x:c>
      <x:c r="B46" s="6" t="str">
        <x:v>Low-emissions hydrogen and electrolyzers</x:v>
      </x:c>
      <x:c r="C46" s="6" t="str">
        <x:v>Sustainable industry</x:v>
      </x:c>
      <x:c r="D46" s="12" t="n">
        <x:v>2033</x:v>
      </x:c>
      <x:c r="E46" s="12" t="n">
        <x:v>2030</x:v>
      </x:c>
      <x:c r="F46" s="12" t="n">
        <x:v>2035</x:v>
      </x:c>
      <x:c r="G46" s="6" t="str">
        <x:v>Low</x:v>
      </x:c>
      <x:c r="H46" s="6" t="str">
        <x:v>Output growing; pipeline resetting</x:v>
      </x:c>
      <x:c r="I46" s="13" t="n">
        <x:v>3</x:v>
      </x:c>
      <x:c r="J46" s="13" t="n">
        <x:v>4</x:v>
      </x:c>
      <x:c r="K46" s="6" t="str">
        <x:v>Repeat low-emissions hydrogen procurement in selected refining, ammonia and industrial clusters with infrastructure and supportive economics.</x:v>
      </x:c>
      <x:c r="L46" s="12" t="n">
        <x:v>10</x:v>
      </x:c>
      <x:c r="M46" s="12" t="n">
        <x:v>10</x:v>
      </x:c>
    </x:row>
    <x:row r="47" ht="24" hidden="0" customHeight="1">
      <x:c r="A47" s="12" t="n">
        <x:v>42</x:v>
      </x:c>
      <x:c r="B47" s="6" t="str">
        <x:v>Industrial carbon capture and storage</x:v>
      </x:c>
      <x:c r="C47" s="6" t="str">
        <x:v>Sustainable industry</x:v>
      </x:c>
      <x:c r="D47" s="12" t="n">
        <x:v>2032</x:v>
      </x:c>
      <x:c r="E47" s="12" t="n">
        <x:v>2029</x:v>
      </x:c>
      <x:c r="F47" s="12" t="n">
        <x:v>2035</x:v>
      </x:c>
      <x:c r="G47" s="6" t="str">
        <x:v>Medium</x:v>
      </x:c>
      <x:c r="H47" s="6" t="str">
        <x:v>Deployment growing</x:v>
      </x:c>
      <x:c r="I47" s="13" t="n">
        <x:v>3</x:v>
      </x:c>
      <x:c r="J47" s="13" t="n">
        <x:v>4</x:v>
      </x:c>
      <x:c r="K47" s="6" t="str">
        <x:v>Routine contracting for selected cement, chemicals and other industrial sources that can access viable shared transport and permanent-storage hubs.</x:v>
      </x:c>
      <x:c r="L47" s="12" t="n">
        <x:v>11</x:v>
      </x:c>
      <x:c r="M47" s="12" t="n">
        <x:v>10</x:v>
      </x:c>
    </x:row>
    <x:row r="48" ht="24" hidden="0" customHeight="1">
      <x:c r="A48" s="12" t="n">
        <x:v>43</x:v>
      </x:c>
      <x:c r="B48" s="6" t="str">
        <x:v>Low-carbon cement and concrete</x:v>
      </x:c>
      <x:c r="C48" s="6" t="str">
        <x:v>Sustainable industry</x:v>
      </x:c>
      <x:c r="D48" s="12" t="n">
        <x:v>2028</x:v>
      </x:c>
      <x:c r="E48" s="12" t="n">
        <x:v>2027</x:v>
      </x:c>
      <x:c r="F48" s="12" t="n">
        <x:v>2031</x:v>
      </x:c>
      <x:c r="G48" s="6" t="str">
        <x:v>High</x:v>
      </x:c>
      <x:c r="H48" s="6" t="str">
        <x:v>Growing through existing supply chains</x:v>
      </x:c>
      <x:c r="I48" s="13" t="n">
        <x:v>3</x:v>
      </x:c>
      <x:c r="J48" s="13" t="n">
        <x:v>5</x:v>
      </x:c>
      <x:c r="K48" s="6" t="str">
        <x:v>Routine specification of qualified lower-carbon mixes in major infrastructure and commercial construction markets; especially lower-clinker blends and compatible mineralisation.</x:v>
      </x:c>
      <x:c r="L48" s="12" t="n">
        <x:v>12</x:v>
      </x:c>
      <x:c r="M48" s="12" t="n">
        <x:v>10</x:v>
      </x:c>
    </x:row>
    <x:row r="49" ht="24" hidden="0" customHeight="1">
      <x:c r="A49" s="12" t="n">
        <x:v>44</x:v>
      </x:c>
      <x:c r="B49" s="6" t="str">
        <x:v>Sustainable aviation fuels</x:v>
      </x:c>
      <x:c r="C49" s="6" t="str">
        <x:v>Sustainable industry</x:v>
      </x:c>
      <x:c r="D49" s="12" t="n">
        <x:v>2030</x:v>
      </x:c>
      <x:c r="E49" s="12" t="n">
        <x:v>2027</x:v>
      </x:c>
      <x:c r="F49" s="12" t="n">
        <x:v>2033</x:v>
      </x:c>
      <x:c r="G49" s="6" t="str">
        <x:v>High</x:v>
      </x:c>
      <x:c r="H49" s="6" t="str">
        <x:v>Growing, supply and cost constrained</x:v>
      </x:c>
      <x:c r="I49" s="13" t="n">
        <x:v>3</x:v>
      </x:c>
      <x:c r="J49" s="13" t="n">
        <x:v>5</x:v>
      </x:c>
      <x:c r="K49" s="6" t="str">
        <x:v>Routine procurement and blending at airports subject to durable SAF requirements and among major airline fuel buyers; SAF remains a minority of total global jet fuel.</x:v>
      </x:c>
      <x:c r="L49" s="12" t="n">
        <x:v>11</x:v>
      </x:c>
      <x:c r="M49" s="12" t="n">
        <x:v>10</x:v>
      </x:c>
    </x:row>
    <x:row r="50" ht="24" hidden="0" customHeight="1">
      <x:c r="A50" s="12" t="n">
        <x:v>45</x:v>
      </x:c>
      <x:c r="B50" s="6" t="str">
        <x:v>Additive manufacturing for end-use production</x:v>
      </x:c>
      <x:c r="C50" s="6" t="str">
        <x:v>Sustainable industry</x:v>
      </x:c>
      <x:c r="D50" s="12" t="n">
        <x:v>2029</x:v>
      </x:c>
      <x:c r="E50" s="12" t="n">
        <x:v>2027</x:v>
      </x:c>
      <x:c r="F50" s="12" t="n">
        <x:v>2032</x:v>
      </x:c>
      <x:c r="G50" s="6" t="str">
        <x:v>Medium</x:v>
      </x:c>
      <x:c r="H50" s="6" t="str">
        <x:v>Growing, with uneven supplier performance</x:v>
      </x:c>
      <x:c r="I50" s="13" t="n">
        <x:v>3</x:v>
      </x:c>
      <x:c r="J50" s="13" t="n">
        <x:v>5</x:v>
      </x:c>
      <x:c r="K50" s="6" t="str">
        <x:v>Routine serial manufacture of selected medical, aerospace, industrial tooling and high-value spare parts where additive processes have a demonstrable design or cost advantage.</x:v>
      </x:c>
      <x:c r="L50" s="12" t="n">
        <x:v>10</x:v>
      </x:c>
      <x:c r="M50" s="12" t="n">
        <x:v>10</x:v>
      </x:c>
    </x:row>
    <x:row r="51" ht="24" hidden="0" customHeight="1">
      <x:c r="A51" s="12" t="n">
        <x:v>46</x:v>
      </x:c>
      <x:c r="B51" s="6" t="str">
        <x:v>Verifiable digital identity wallets</x:v>
      </x:c>
      <x:c r="C51" s="6" t="str">
        <x:v>Digital &amp; planetary systems</x:v>
      </x:c>
      <x:c r="D51" s="12" t="n">
        <x:v>2029</x:v>
      </x:c>
      <x:c r="E51" s="12" t="n">
        <x:v>2027</x:v>
      </x:c>
      <x:c r="F51" s="12" t="n">
        <x:v>2031</x:v>
      </x:c>
      <x:c r="G51" s="6" t="str">
        <x:v>High</x:v>
      </x:c>
      <x:c r="H51" s="6" t="str">
        <x:v>Accelerating through public infrastructure</x:v>
      </x:c>
      <x:c r="I51" s="13" t="n">
        <x:v>3</x:v>
      </x:c>
      <x:c r="J51" s="13" t="n">
        <x:v>5</x:v>
      </x:c>
      <x:c r="K51" s="6" t="str">
        <x:v>Routine use of interoperable digital credentials in participating EU public services and selected financial, travel and age-verification workflows; other regions follow different schedules.</x:v>
      </x:c>
      <x:c r="L51" s="12" t="n">
        <x:v>10</x:v>
      </x:c>
      <x:c r="M51" s="12" t="n">
        <x:v>10</x:v>
      </x:c>
    </x:row>
    <x:row r="52" ht="24" hidden="0" customHeight="1">
      <x:c r="A52" s="12" t="n">
        <x:v>47</x:v>
      </x:c>
      <x:c r="B52" s="6" t="str">
        <x:v>Tokenized real-world assets</x:v>
      </x:c>
      <x:c r="C52" s="6" t="str">
        <x:v>Digital &amp; planetary systems</x:v>
      </x:c>
      <x:c r="D52" s="12" t="n">
        <x:v>2030</x:v>
      </x:c>
      <x:c r="E52" s="12" t="n">
        <x:v>2028</x:v>
      </x:c>
      <x:c r="F52" s="12" t="n">
        <x:v>2033</x:v>
      </x:c>
      <x:c r="G52" s="6" t="str">
        <x:v>Medium</x:v>
      </x:c>
      <x:c r="H52" s="6" t="str">
        <x:v>Accelerating from a small base</x:v>
      </x:c>
      <x:c r="I52" s="13" t="n">
        <x:v>3</x:v>
      </x:c>
      <x:c r="J52" s="13" t="n">
        <x:v>5</x:v>
      </x:c>
      <x:c r="K52" s="6" t="str">
        <x:v>Routine tokenized-fund, Treasury, collateral and selected securities workflows among regulated financial institutions and eligible investors.</x:v>
      </x:c>
      <x:c r="L52" s="12" t="n">
        <x:v>12</x:v>
      </x:c>
      <x:c r="M52" s="12" t="n">
        <x:v>10</x:v>
      </x:c>
    </x:row>
    <x:row r="53" ht="24" hidden="0" customHeight="1">
      <x:c r="A53" s="12" t="n">
        <x:v>48</x:v>
      </x:c>
      <x:c r="B53" s="6" t="str">
        <x:v>Regulated stablecoin payment rails</x:v>
      </x:c>
      <x:c r="C53" s="6" t="str">
        <x:v>Digital &amp; planetary systems</x:v>
      </x:c>
      <x:c r="D53" s="12" t="n">
        <x:v>2028</x:v>
      </x:c>
      <x:c r="E53" s="12" t="n">
        <x:v>2027</x:v>
      </x:c>
      <x:c r="F53" s="12" t="n">
        <x:v>2031</x:v>
      </x:c>
      <x:c r="G53" s="6" t="str">
        <x:v>High</x:v>
      </x:c>
      <x:c r="H53" s="6" t="str">
        <x:v>Expanding, with cyclical balances</x:v>
      </x:c>
      <x:c r="I53" s="13" t="n">
        <x:v>3</x:v>
      </x:c>
      <x:c r="J53" s="13" t="n">
        <x:v>5</x:v>
      </x:c>
      <x:c r="K53" s="6" t="str">
        <x:v>Routine stablecoin-based settlement, cross-border B2B transfers and selected treasury workflows through regulated service providers; not all domestic consumer payments.</x:v>
      </x:c>
      <x:c r="L53" s="12" t="n">
        <x:v>10</x:v>
      </x:c>
      <x:c r="M53" s="12" t="n">
        <x:v>10</x:v>
      </x:c>
    </x:row>
    <x:row r="54" ht="24" hidden="0" customHeight="1">
      <x:c r="A54" s="12" t="n">
        <x:v>49</x:v>
      </x:c>
      <x:c r="B54" s="6" t="str">
        <x:v>Earth-observation analytics</x:v>
      </x:c>
      <x:c r="C54" s="6" t="str">
        <x:v>Digital &amp; planetary systems</x:v>
      </x:c>
      <x:c r="D54" s="12" t="n">
        <x:v>2028</x:v>
      </x:c>
      <x:c r="E54" s="12" t="n">
        <x:v>2027</x:v>
      </x:c>
      <x:c r="F54" s="12" t="n">
        <x:v>2030</x:v>
      </x:c>
      <x:c r="G54" s="6" t="str">
        <x:v>High</x:v>
      </x:c>
      <x:c r="H54" s="6" t="str">
        <x:v>Accelerating in recurring services</x:v>
      </x:c>
      <x:c r="I54" s="13" t="n">
        <x:v>3</x:v>
      </x:c>
      <x:c r="J54" s="13" t="n">
        <x:v>5</x:v>
      </x:c>
      <x:c r="K54" s="6" t="str">
        <x:v>Routine automated satellite monitoring in selected utility, agriculture, insurance, environmental and government workflows that have measurable decision value.</x:v>
      </x:c>
      <x:c r="L54" s="12" t="n">
        <x:v>12</x:v>
      </x:c>
      <x:c r="M54" s="12" t="n">
        <x:v>10</x:v>
      </x:c>
    </x:row>
    <x:row r="55" ht="24" hidden="0" customHeight="1">
      <x:c r="A55" s="12" t="n">
        <x:v>50</x:v>
      </x:c>
      <x:c r="B55" s="6" t="str">
        <x:v>Advanced desalination and water reuse</x:v>
      </x:c>
      <x:c r="C55" s="6" t="str">
        <x:v>Digital &amp; planetary systems</x:v>
      </x:c>
      <x:c r="D55" s="12" t="n">
        <x:v>2030</x:v>
      </x:c>
      <x:c r="E55" s="12" t="n">
        <x:v>2028</x:v>
      </x:c>
      <x:c r="F55" s="12" t="n">
        <x:v>2033</x:v>
      </x:c>
      <x:c r="G55" s="6" t="str">
        <x:v>Medium</x:v>
      </x:c>
      <x:c r="H55" s="6" t="str">
        <x:v>Expanding where water scarcity supports investment</x:v>
      </x:c>
      <x:c r="I55" s="13" t="n">
        <x:v>3</x:v>
      </x:c>
      <x:c r="J55" s="13" t="n">
        <x:v>5</x:v>
      </x:c>
      <x:c r="K55" s="6" t="str">
        <x:v>Routine selection of advanced reuse and efficient desalination packages for suitable new projects in water-stressed cities and water-intensive industries.</x:v>
      </x:c>
      <x:c r="L55" s="12" t="n">
        <x:v>12</x:v>
      </x:c>
      <x:c r="M55" s="12" t="n">
        <x:v>10</x:v>
      </x:c>
    </x:row>
  </x:sheetData>
  <x:conditionalFormatting sqref="G6:G55">
    <x:cfRule type="containsText" dxfId="0" priority="1" operator="containsText" text="Low"/>
    <x:cfRule type="containsText" dxfId="1" priority="2" operator="containsText" text="High"/>
  </x:conditionalFormatting>
  <x:pageMargins left="0.7" right="0.7" top="0.75" bottom="0.75" header="0.3" footer="0.3"/>
  <x:tableParts count="1">
    <x:tablePart xmlns:r="http://schemas.openxmlformats.org/officeDocument/2006/relationships" r:id="Rdb286c9a3e04478b"/>
  </x:tableParts>
</x:worksheet>
</file>

<file path=xl/worksheets/sheet2.xml><?xml version="1.0" encoding="utf-8"?>
<x:worksheet xmlns:x="http://schemas.openxmlformats.org/spreadsheetml/2006/main">
  <x:sheetPr>
    <x:tabColor rgb="FF527C60"/>
  </x:sheetPr>
  <x:sheetViews>
    <x:sheetView showGridLines="0" workbookViewId="0">
      <x:pane xSplit="2" ySplit="5" topLeftCell="C6" activePane="bottomRight" state="frozen"/>
    </x:sheetView>
  </x:sheetViews>
  <x:sheetFormatPr defaultRowHeight="15"/>
  <x:cols>
    <x:col min="1" max="1" width="6" hidden="0" customWidth="1"/>
    <x:col min="2" max="2" width="43" hidden="0" customWidth="1"/>
    <x:col min="3" max="3" width="54" hidden="0" customWidth="1"/>
    <x:col min="4" max="4" width="24" hidden="0" customWidth="1"/>
    <x:col min="5" max="5" width="12" hidden="0" customWidth="1"/>
    <x:col min="6" max="6" width="16" hidden="0" customWidth="1"/>
    <x:col min="7" max="7" width="12" hidden="0" customWidth="1"/>
    <x:col min="8" max="8" width="16" hidden="0" customWidth="1"/>
    <x:col min="9" max="9" width="18" hidden="0" customWidth="1"/>
    <x:col min="10" max="10" width="17" hidden="0" customWidth="1"/>
    <x:col min="11" max="11" width="17" hidden="0" customWidth="1"/>
    <x:col min="12" max="12" width="21" hidden="0" customWidth="1"/>
    <x:col min="13" max="13" width="110" hidden="0" customWidth="1"/>
  </x:cols>
  <x:sheetData>
    <x:row r="1" ht="15" hidden="0" customHeight="1">
      <x:c r="A1" s="2"/>
      <x:c r="B1" s="2"/>
      <x:c r="C1" s="2"/>
      <x:c r="D1" s="2"/>
      <x:c r="E1" s="2"/>
      <x:c r="F1" s="2"/>
      <x:c r="G1" s="2"/>
      <x:c r="H1" s="2"/>
      <x:c r="I1" s="2"/>
      <x:c r="J1" s="2"/>
      <x:c r="K1" s="2"/>
      <x:c r="L1" s="2"/>
      <x:c r="M1" s="2"/>
    </x:row>
    <x:row r="2" ht="28" hidden="0" customHeight="1">
      <x:c r="A2" s="3" t="str">
        <x:v>Measured growth indicators</x:v>
      </x:c>
      <x:c r="B2" s="2"/>
      <x:c r="C2" s="2"/>
      <x:c r="D2" s="2"/>
      <x:c r="E2" s="2"/>
      <x:c r="F2" s="2"/>
      <x:c r="G2" s="2"/>
      <x:c r="H2" s="2"/>
      <x:c r="I2" s="2"/>
      <x:c r="J2" s="2"/>
      <x:c r="K2" s="2"/>
      <x:c r="L2" s="2"/>
      <x:c r="M2" s="2"/>
    </x:row>
    <x:row r="3" ht="25" hidden="0" customHeight="1">
      <x:c r="A3" s="4" t="str">
        <x:v>Raw observations retain their original scope. Calculations are shown only for explicitly comparable endpoints; missing values remain unavailable.</x:v>
      </x:c>
      <x:c r="B3" s="2"/>
      <x:c r="C3" s="2"/>
      <x:c r="D3" s="2"/>
      <x:c r="E3" s="2"/>
      <x:c r="F3" s="2"/>
      <x:c r="G3" s="2"/>
      <x:c r="H3" s="2"/>
      <x:c r="I3" s="2"/>
      <x:c r="J3" s="2"/>
      <x:c r="K3" s="2"/>
      <x:c r="L3" s="2"/>
      <x:c r="M3" s="2"/>
    </x:row>
    <x:row r="4" ht="15" hidden="0" customHeight="1">
      <x:c r="A4" s="2"/>
      <x:c r="B4" s="2"/>
      <x:c r="C4" s="2"/>
      <x:c r="D4" s="2"/>
      <x:c r="E4" s="2"/>
      <x:c r="F4" s="2"/>
      <x:c r="G4" s="2"/>
      <x:c r="H4" s="2"/>
      <x:c r="I4" s="2"/>
      <x:c r="J4" s="2"/>
      <x:c r="K4" s="2"/>
      <x:c r="L4" s="2"/>
      <x:c r="M4" s="2"/>
    </x:row>
    <x:row r="5" ht="36" hidden="0" customHeight="1">
      <x:c r="A5" s="11" t="str">
        <x:v>ID</x:v>
      </x:c>
      <x:c r="B5" s="11" t="str">
        <x:v>Technology</x:v>
      </x:c>
      <x:c r="C5" s="11" t="str">
        <x:v>KPI</x:v>
      </x:c>
      <x:c r="D5" s="11" t="str">
        <x:v>Unit</x:v>
      </x:c>
      <x:c r="E5" s="11" t="str">
        <x:v>First year</x:v>
      </x:c>
      <x:c r="F5" s="11" t="str">
        <x:v>First value</x:v>
      </x:c>
      <x:c r="G5" s="11" t="str">
        <x:v>Latest year</x:v>
      </x:c>
      <x:c r="H5" s="11" t="str">
        <x:v>Latest value</x:v>
      </x:c>
      <x:c r="I5" s="11" t="str">
        <x:v>Comparable endpoints</x:v>
      </x:c>
      <x:c r="J5" s="11" t="str">
        <x:v>Change in units</x:v>
      </x:c>
      <x:c r="K5" s="11" t="str">
        <x:v>Total change %</x:v>
      </x:c>
      <x:c r="L5" s="11" t="str">
        <x:v>Percentage-point change</x:v>
      </x:c>
      <x:c r="M5" s="11" t="str">
        <x:v>Interpretation / limitations</x:v>
      </x:c>
    </x:row>
    <x:row r="6" ht="24" hidden="0" customHeight="1">
      <x:c r="A6" s="12" t="n">
        <x:v>1</x:v>
      </x:c>
      <x:c r="B6" s="6" t="str">
        <x:v>AI agents and workflow automation</x:v>
      </x:c>
      <x:c r="C6" s="6" t="str">
        <x:v>Large organizations scaling AI agents</x:v>
      </x:c>
      <x:c r="D6" s="6" t="str">
        <x:v>% of surveyed organizations</x:v>
      </x:c>
      <x:c r="E6" s="12" t="n">
        <x:f>'Observations'!D6</x:f>
        <x:v>2025</x:v>
      </x:c>
      <x:c r="F6" s="18" t="n">
        <x:f>'Observations'!E6</x:f>
        <x:v>27</x:v>
      </x:c>
      <x:c r="G6" s="12" t="n">
        <x:f>'Observations'!D7</x:f>
        <x:v>2026</x:v>
      </x:c>
      <x:c r="H6" s="18" t="n">
        <x:f>'Observations'!E7</x:f>
        <x:v>40</x:v>
      </x:c>
      <x:c r="I6" s="15" t="str">
        <x:v>No</x:v>
      </x:c>
      <x:c r="J6" s="18" t="str">
        <x:f>IF(I6="Yes",IF(AND(ISNUMBER(F6),ISNUMBER(H6)),H6-F6,"n.a."),"n.a.")</x:f>
        <x:v>n.a.</x:v>
      </x:c>
      <x:c r="K6" s="17" t="str">
        <x:f>"n.a."</x:f>
        <x:v>n.a.</x:v>
      </x:c>
      <x:c r="L6" s="13" t="str">
        <x:f>IF(I6="Yes",IF(AND(ISNUMBER(F6),ISNUMBER(H6)),H6-F6,"n.a."),"n.a.")</x:f>
        <x:v>n.a.</x:v>
      </x:c>
      <x:c r="M6" s="6" t="str">
        <x:v>+13 percentage points in reported scaling. Survey estimates, not a census or verified production transaction count; respondent mix may change. This is the large-company subgroup, not all businesses. No defensible annual series for 2021–2024 is supplied.</x:v>
      </x:c>
    </x:row>
    <x:row r="7" ht="24" hidden="0" customHeight="1">
      <x:c r="A7" s="12" t="n">
        <x:v>2</x:v>
      </x:c>
      <x:c r="B7" s="6" t="str">
        <x:v>Multimodal AI copilots</x:v>
      </x:c>
      <x:c r="C7" s="6" t="str">
        <x:v>ChatGPT weekly active users — company proxy</x:v>
      </x:c>
      <x:c r="D7" s="6" t="str">
        <x:v>million weekly users</x:v>
      </x:c>
      <x:c r="E7" s="12" t="n">
        <x:f>'Observations'!D9</x:f>
        <x:v>2024</x:v>
      </x:c>
      <x:c r="F7" s="19" t="n">
        <x:f>'Observations'!E9</x:f>
        <x:v>200</x:v>
      </x:c>
      <x:c r="G7" s="12" t="n">
        <x:f>'Observations'!D11</x:f>
        <x:v>2026</x:v>
      </x:c>
      <x:c r="H7" s="19" t="n">
        <x:f>'Observations'!E11</x:f>
        <x:v>900</x:v>
      </x:c>
      <x:c r="I7" s="15" t="str">
        <x:v>No</x:v>
      </x:c>
      <x:c r="J7" s="23" t="str">
        <x:f>IF(I7="Yes",IF(AND(ISNUMBER(F7),ISNUMBER(H7)),H7-F7,"n.a."),"n.a.")</x:f>
        <x:v>n.a.</x:v>
      </x:c>
      <x:c r="K7" s="17" t="str">
        <x:f>IF(I7="Yes",IF(AND(ISNUMBER(F7),ISNUMBER(H7),F7&gt;0),H7/F7-1,"n.a."),"n.a.")</x:f>
        <x:v>n.a.</x:v>
      </x:c>
      <x:c r="L7" s="13" t="str">
        <x:f>"n.a."</x:f>
        <x:v>n.a.</x:v>
      </x:c>
      <x:c r="M7" s="6" t="str">
        <x:v>Reported audience thresholds: &gt;200m → &gt;900m. Company-reported lower-bound snapshots, not audited modality-specific adoption. People using text only are included. The 2026 point is a dated observation, not a full-year average. No interpolation is provided for missing 2021–2023 measurements.</x:v>
      </x:c>
    </x:row>
    <x:row r="8" ht="24" hidden="0" customHeight="1">
      <x:c r="A8" s="12" t="n">
        <x:v>3</x:v>
      </x:c>
      <x:c r="B8" s="6" t="str">
        <x:v>Edge and on-device AI</x:v>
      </x:c>
      <x:c r="C8" s="6" t="str">
        <x:v>GenAI-capable smartphone models tracked</x:v>
      </x:c>
      <x:c r="D8" s="6" t="str">
        <x:v>device models</x:v>
      </x:c>
      <x:c r="E8" s="12" t="n">
        <x:f>'Observations'!D12</x:f>
        <x:v>2024</x:v>
      </x:c>
      <x:c r="F8" s="18" t="n">
        <x:f>'Observations'!E12</x:f>
        <x:v>123</x:v>
      </x:c>
      <x:c r="G8" s="12" t="n">
        <x:f>'Observations'!D13</x:f>
        <x:v>2025</x:v>
      </x:c>
      <x:c r="H8" s="18" t="n">
        <x:f>'Observations'!E13</x:f>
        <x:v>143</x:v>
      </x:c>
      <x:c r="I8" s="15" t="str">
        <x:v>No</x:v>
      </x:c>
      <x:c r="J8" s="18" t="str">
        <x:f>IF(I8="Yes",IF(AND(ISNUMBER(F8),ISNUMBER(H8)),H8-F8,"n.a."),"n.a.")</x:f>
        <x:v>n.a.</x:v>
      </x:c>
      <x:c r="K8" s="17" t="str">
        <x:f>IF(I8="Yes",IF(AND(ISNUMBER(F8),ISNUMBER(H8),F8&gt;0),H8/F8-1,"n.a."),"n.a.")</x:f>
        <x:v>n.a.</x:v>
      </x:c>
      <x:c r="L8" s="13" t="str">
        <x:f>"n.a."</x:f>
        <x:v>n.a.</x:v>
      </x:c>
      <x:c r="M8" s="6" t="str">
        <x:v>+20 capable models between Q4 2024 and Q1 2025. Supply-side model count, not shipment volume, installed base or active AI feature use. Two quarterly snapshots, not annual totals. Devices differ substantially in local model capability. There is no fabricated continuous 2021–2026 adoption series.</x:v>
      </x:c>
    </x:row>
    <x:row r="9" ht="24" hidden="0" customHeight="1">
      <x:c r="A9" s="12" t="n">
        <x:v>4</x:v>
      </x:c>
      <x:c r="B9" s="6" t="str">
        <x:v>AI-native software development</x:v>
      </x:c>
      <x:c r="C9" s="6" t="str">
        <x:v>Paid GitHub Copilot users — company proxy</x:v>
      </x:c>
      <x:c r="D9" s="6" t="str">
        <x:v>million paid users</x:v>
      </x:c>
      <x:c r="E9" s="12" t="n">
        <x:f>'Observations'!D15</x:f>
        <x:v>2023</x:v>
      </x:c>
      <x:c r="F9" s="19" t="n">
        <x:f>'Observations'!E15</x:f>
        <x:v>1</x:v>
      </x:c>
      <x:c r="G9" s="12" t="n">
        <x:f>'Observations'!D16</x:f>
        <x:v>2024</x:v>
      </x:c>
      <x:c r="H9" s="20" t="n">
        <x:f>'Observations'!E16</x:f>
        <x:v>1.8</x:v>
      </x:c>
      <x:c r="I9" s="15" t="str">
        <x:v>No</x:v>
      </x:c>
      <x:c r="J9" s="24" t="str">
        <x:f>IF(I9="Yes",IF(AND(ISNUMBER(F9),ISNUMBER(H9)),H9-F9,"n.a."),"n.a.")</x:f>
        <x:v>n.a.</x:v>
      </x:c>
      <x:c r="K9" s="17" t="str">
        <x:f>IF(I9="Yes",IF(AND(ISNUMBER(F9),ISNUMBER(H9),F9&gt;0),H9/F9-1,"n.a."),"n.a.")</x:f>
        <x:v>n.a.</x:v>
      </x:c>
      <x:c r="L9" s="13" t="str">
        <x:f>"n.a."</x:f>
        <x:v>n.a.</x:v>
      </x:c>
      <x:c r="M9" s="6" t="str">
        <x:v>&gt;1m paid users in 2023; 1.8m in 2024. The starting point is a lower bound and snapshot timing differs. Microsoft’s 20 million total users in 2025 includes a different population and is excluded from this paid series. Subscriber counts do not establish engineering productivity or software quality.</x:v>
      </x:c>
    </x:row>
    <x:row r="10" ht="24" hidden="0" customHeight="1">
      <x:c r="A10" s="12" t="n">
        <x:v>5</x:v>
      </x:c>
      <x:c r="B10" s="6" t="str">
        <x:v>AI search and enterprise knowledge retrieval</x:v>
      </x:c>
      <x:c r="C10" s="6" t="str">
        <x:v>Glean annual recurring revenue — company proxy</x:v>
      </x:c>
      <x:c r="D10" s="6" t="str">
        <x:v>US$ million ARR</x:v>
      </x:c>
      <x:c r="E10" s="12" t="n">
        <x:f>'Observations'!D17</x:f>
        <x:v>2025</x:v>
      </x:c>
      <x:c r="F10" s="19" t="n">
        <x:f>'Observations'!E17</x:f>
        <x:v>200</x:v>
      </x:c>
      <x:c r="G10" s="12" t="n">
        <x:f>'Observations'!D18</x:f>
        <x:v>2026</x:v>
      </x:c>
      <x:c r="H10" s="19" t="n">
        <x:f>'Observations'!E18</x:f>
        <x:v>300</x:v>
      </x:c>
      <x:c r="I10" s="15" t="str">
        <x:v>No</x:v>
      </x:c>
      <x:c r="J10" s="23" t="str">
        <x:f>IF(I10="Yes",IF(AND(ISNUMBER(F10),ISNUMBER(H10)),H10-F10,"n.a."),"n.a.")</x:f>
        <x:v>n.a.</x:v>
      </x:c>
      <x:c r="K10" s="17" t="str">
        <x:f>IF(I10="Yes",IF(AND(ISNUMBER(F10),ISNUMBER(H10),F10&gt;0),H10/F10-1,"n.a."),"n.a.")</x:f>
        <x:v>n.a.</x:v>
      </x:c>
      <x:c r="L10" s="13" t="str">
        <x:f>"n.a."</x:f>
        <x:v>n.a.</x:v>
      </x:c>
      <x:c r="M10" s="6" t="str">
        <x:v>Reported ARR milestones: &gt;$200m → &gt;$300m. ARR is a run-rate measure, not recognized annual revenue. Company-reported thresholds are dated snapshots and combine search, assistants and agents. No whole-market adoption share or 2021–2024 annual series is inferred.</x:v>
      </x:c>
    </x:row>
    <x:row r="11" ht="24" hidden="0" customHeight="1">
      <x:c r="A11" s="12" t="n">
        <x:v>6</x:v>
      </x:c>
      <x:c r="B11" s="6" t="str">
        <x:v>AI accelerators and heterogeneous computing</x:v>
      </x:c>
      <x:c r="C11" s="6" t="str">
        <x:v>NVIDIA Data Center revenue — company proxy</x:v>
      </x:c>
      <x:c r="D11" s="6" t="str">
        <x:v>US$ billion per fiscal year</x:v>
      </x:c>
      <x:c r="E11" s="12" t="n">
        <x:f>'Observations'!D19</x:f>
        <x:v>2024</x:v>
      </x:c>
      <x:c r="F11" s="21" t="n">
        <x:f>'Observations'!E19</x:f>
        <x:v>47.525</x:v>
      </x:c>
      <x:c r="G11" s="12" t="n">
        <x:f>'Observations'!D21</x:f>
        <x:v>2026</x:v>
      </x:c>
      <x:c r="H11" s="20" t="n">
        <x:f>'Observations'!E21</x:f>
        <x:v>193.7</x:v>
      </x:c>
      <x:c r="I11" s="15" t="str">
        <x:v>Yes</x:v>
      </x:c>
      <x:c r="J11" s="21" t="n">
        <x:f>IF(I11="Yes",IF(AND(ISNUMBER(F11),ISNUMBER(H11)),H11-F11,"n.a."),"n.a.")</x:f>
        <x:v>146.17499999999998</x:v>
      </x:c>
      <x:c r="K11" s="17" t="n">
        <x:f>IF(I11="Yes",IF(AND(ISNUMBER(F11),ISNUMBER(H11),F11&gt;0),H11/F11-1,"n.a."),"n.a.")</x:f>
        <x:v>3.075749605470805</x:v>
      </x:c>
      <x:c r="L11" s="13" t="str">
        <x:f>"n.a."</x:f>
        <x:v>n.a.</x:v>
      </x:c>
      <x:c r="M11" s="6" t="str">
        <x:v>About 4.1× FY2024 revenue by FY2026. Fiscal-year labels must not be read as calendar-year totals. FY2026 ended January 25, 2026. The business includes networking and market-share changes; it is neither global semiconductor revenue nor deployed AI capacity.</x:v>
      </x:c>
    </x:row>
    <x:row r="12" ht="24" hidden="0" customHeight="1">
      <x:c r="A12" s="12" t="n">
        <x:v>7</x:v>
      </x:c>
      <x:c r="B12" s="6" t="str">
        <x:v>Chiplets and advanced semiconductor packaging</x:v>
      </x:c>
      <x:c r="C12" s="6" t="str">
        <x:v>Maximum UCIe link rate — technical capability proxy</x:v>
      </x:c>
      <x:c r="D12" s="6" t="str">
        <x:v>GT/s</x:v>
      </x:c>
      <x:c r="E12" s="12" t="n">
        <x:f>'Observations'!D22</x:f>
        <x:v>2022</x:v>
      </x:c>
      <x:c r="F12" s="18" t="n">
        <x:f>'Observations'!E22</x:f>
        <x:v>32</x:v>
      </x:c>
      <x:c r="G12" s="12" t="n">
        <x:f>'Observations'!D25</x:f>
        <x:v>2025</x:v>
      </x:c>
      <x:c r="H12" s="18" t="n">
        <x:f>'Observations'!E25</x:f>
        <x:v>64</x:v>
      </x:c>
      <x:c r="I12" s="15" t="str">
        <x:v>No</x:v>
      </x:c>
      <x:c r="J12" s="18" t="str">
        <x:f>IF(I12="Yes",IF(AND(ISNUMBER(F12),ISNUMBER(H12)),H12-F12,"n.a."),"n.a.")</x:f>
        <x:v>n.a.</x:v>
      </x:c>
      <x:c r="K12" s="17" t="str">
        <x:f>IF(I12="Yes",IF(AND(ISNUMBER(F12),ISNUMBER(H12),F12&gt;0),H12/F12-1,"n.a."),"n.a.")</x:f>
        <x:v>n.a.</x:v>
      </x:c>
      <x:c r="L12" s="13" t="str">
        <x:f>"n.a."</x:f>
        <x:v>n.a.</x:v>
      </x:c>
      <x:c r="M12" s="6" t="str">
        <x:v>Specification capability doubled to 64 GT/s. Standards capability, not shipped products, adoption, realized bandwidth or package revenue. A higher supported rate is only useful if manufacturers achieve yield, signal integrity and acceptable power. Missing 2021 and 2026 adoption counts are not inferred.</x:v>
      </x:c>
    </x:row>
    <x:row r="13" ht="24" hidden="0" customHeight="1">
      <x:c r="A13" s="12" t="n">
        <x:v>8</x:v>
      </x:c>
      <x:c r="B13" s="6" t="str">
        <x:v>Silicon photonics and optical interconnects</x:v>
      </x:c>
      <x:c r="C13" s="6" t="str">
        <x:v>Coherent Data Center and Communications revenue — adjacent proxy</x:v>
      </x:c>
      <x:c r="D13" s="6" t="str">
        <x:v>US$ billion per fiscal year</x:v>
      </x:c>
      <x:c r="E13" s="12" t="n">
        <x:f>'Observations'!D26</x:f>
        <x:v>2024</x:v>
      </x:c>
      <x:c r="F13" s="21" t="n">
        <x:f>'Observations'!E26</x:f>
        <x:v>2.631369</x:v>
      </x:c>
      <x:c r="G13" s="12" t="n">
        <x:f>'Observations'!D28</x:f>
        <x:v>2026</x:v>
      </x:c>
      <x:c r="H13" s="21" t="n">
        <x:f>'Observations'!E28</x:f>
        <x:v>5.274629</x:v>
      </x:c>
      <x:c r="I13" s="15" t="str">
        <x:v>Yes</x:v>
      </x:c>
      <x:c r="J13" s="21" t="n">
        <x:f>IF(I13="Yes",IF(AND(ISNUMBER(F13),ISNUMBER(H13)),H13-F13,"n.a."),"n.a.")</x:f>
        <x:v>2.64326</x:v>
      </x:c>
      <x:c r="K13" s="17" t="n">
        <x:f>IF(I13="Yes",IF(AND(ISNUMBER(F13),ISNUMBER(H13),F13&gt;0),H13/F13-1,"n.a."),"n.a.")</x:f>
        <x:v>1.0045189405210748</x:v>
      </x:c>
      <x:c r="L13" s="13" t="str">
        <x:f>"n.a."</x:f>
        <x:v>n.a.</x:v>
      </x:c>
      <x:c r="M13" s="6" t="str">
        <x:v>Segment revenue roughly doubled from FY2024 to FY2026. This is a broad optical-communications supplier segment, not the size of the silicon-photonics or co-packaged-optics market. The series uses the comparable segment presentation in the FY2026 filing. It reflects price, mix and demand as well as units.</x:v>
      </x:c>
    </x:row>
    <x:row r="14" ht="36" hidden="0" customHeight="1">
      <x:c r="A14" s="12" t="n">
        <x:v>9</x:v>
      </x:c>
      <x:c r="B14" s="6" t="str">
        <x:v>Post-quantum cryptography</x:v>
      </x:c>
      <x:c r="C14" s="6" t="str">
        <x:v>Cloudflare human HTTPS traffic with post-quantum protection</x:v>
      </x:c>
      <x:c r="D14" s="6" t="str">
        <x:v>% of human HTTPS traffic</x:v>
      </x:c>
      <x:c r="E14" s="12" t="n">
        <x:f>'Observations'!D29</x:f>
        <x:v>2025</x:v>
      </x:c>
      <x:c r="F14" s="19" t="n">
        <x:f>'Observations'!E29</x:f>
        <x:v>50</x:v>
      </x:c>
      <x:c r="G14" s="12" t="n">
        <x:f>'Observations'!D30</x:f>
        <x:v>2026</x:v>
      </x:c>
      <x:c r="H14" s="19" t="n">
        <x:f>'Observations'!E30</x:f>
        <x:v>65</x:v>
      </x:c>
      <x:c r="I14" s="15" t="str">
        <x:v>No</x:v>
      </x:c>
      <x:c r="J14" s="23" t="str">
        <x:f>IF(I14="Yes",IF(AND(ISNUMBER(F14),ISNUMBER(H14)),H14-F14,"n.a."),"n.a.")</x:f>
        <x:v>n.a.</x:v>
      </x:c>
      <x:c r="K14" s="17" t="str">
        <x:f>"n.a."</x:f>
        <x:v>n.a.</x:v>
      </x:c>
      <x:c r="L14" s="13" t="str">
        <x:f>IF(I14="Yes",IF(AND(ISNUMBER(F14),ISNUMBER(H14)),H14-F14,"n.a."),"n.a.")</x:f>
        <x:v>n.a.</x:v>
      </x:c>
      <x:c r="M14" s="6" t="str">
        <x:v>Reported threshold rose from &gt;50% to &gt;65%. Lower-bound disclosures, not exact percentages or a global internet census. This denominator excludes automated traffic. Older TLS 1.3-specific statistics have a different denominator and are deliberately not combined. Hybrid key exchange is not the same as quantum-safe authentication everywhere.</x:v>
      </x:c>
    </x:row>
    <x:row r="15" ht="36" hidden="0" customHeight="1">
      <x:c r="A15" s="12" t="n">
        <x:v>10</x:v>
      </x:c>
      <x:c r="B15" s="6" t="str">
        <x:v>Confidential computing and privacy-preserving AI</x:v>
      </x:c>
      <x:c r="C15" s="6" t="str">
        <x:v>Survey respondents using confidential computing in full production</x:v>
      </x:c>
      <x:c r="D15" s="6" t="str">
        <x:v>% of surveyed IT leaders</x:v>
      </x:c>
      <x:c r="E15" s="12" t="n">
        <x:f>'Observations'!D31</x:f>
        <x:v>2025</x:v>
      </x:c>
      <x:c r="F15" s="18" t="n">
        <x:f>'Observations'!E31</x:f>
        <x:v>18</x:v>
      </x:c>
      <x:c r="G15" s="12" t="n">
        <x:f>'Observations'!D31</x:f>
        <x:v>2025</x:v>
      </x:c>
      <x:c r="H15" s="18" t="n">
        <x:f>'Observations'!E31</x:f>
        <x:v>18</x:v>
      </x:c>
      <x:c r="I15" s="15" t="str">
        <x:v>No</x:v>
      </x:c>
      <x:c r="J15" s="18" t="str">
        <x:f>IF(I15="Yes",IF(AND(ISNUMBER(F15),ISNUMBER(H15)),H15-F15,"n.a."),"n.a.")</x:f>
        <x:v>n.a.</x:v>
      </x:c>
      <x:c r="K15" s="17" t="str">
        <x:f>"n.a."</x:f>
        <x:v>n.a.</x:v>
      </x:c>
      <x:c r="L15" s="13" t="str">
        <x:f>IF(I15="Yes",IF(AND(ISNUMBER(F15),ISNUMBER(H15)),H15-F15,"n.a."),"n.a.")</x:f>
        <x:v>n.a.</x:v>
      </x:c>
      <x:c r="M15" s="6" t="str">
        <x:v>18% production; 57% pilots in the 2025 survey. One credible observed adoption point was identified; no historical growth rate can be calculated. It is a commissioned survey, not a market census. Combining pilots and production into a 75% production claim would be incorrect. The broad privacy-preserving-AI category has no consistent aggregate series.</x:v>
      </x:c>
    </x:row>
    <x:row r="16" ht="24" hidden="0" customHeight="1">
      <x:c r="A16" s="12" t="n">
        <x:v>11</x:v>
      </x:c>
      <x:c r="B16" s="6" t="str">
        <x:v>Private 5G and industrial wireless</x:v>
      </x:c>
      <x:c r="C16" s="6" t="str">
        <x:v>Organizations in GSA’s private-mobile-network database</x:v>
      </x:c>
      <x:c r="D16" s="6" t="str">
        <x:v>customer organizations</x:v>
      </x:c>
      <x:c r="E16" s="12" t="n">
        <x:f>'Observations'!D32</x:f>
        <x:v>2022</x:v>
      </x:c>
      <x:c r="F16" s="18" t="n">
        <x:f>'Observations'!E32</x:f>
        <x:v>1077</x:v>
      </x:c>
      <x:c r="G16" s="12" t="n">
        <x:f>'Observations'!D35</x:f>
        <x:v>2026</x:v>
      </x:c>
      <x:c r="H16" s="18" t="n">
        <x:f>'Observations'!E35</x:f>
        <x:v>2031</x:v>
      </x:c>
      <x:c r="I16" s="15" t="str">
        <x:v>No</x:v>
      </x:c>
      <x:c r="J16" s="18" t="str">
        <x:f>IF(I16="Yes",IF(AND(ISNUMBER(F16),ISNUMBER(H16)),H16-F16,"n.a."),"n.a.")</x:f>
        <x:v>n.a.</x:v>
      </x:c>
      <x:c r="K16" s="17" t="str">
        <x:f>IF(I16="Yes",IF(AND(ISNUMBER(F16),ISNUMBER(H16),F16&gt;0),H16/F16-1,"n.a."),"n.a.")</x:f>
        <x:v>n.a.</x:v>
      </x:c>
      <x:c r="L16" s="13" t="str">
        <x:f>"n.a."</x:f>
        <x:v>n.a.</x:v>
      </x:c>
      <x:c r="M16" s="6" t="str">
        <x:v>Catalog expanded from 1,077 to 2,031 reported customers. Customer references are not all live sites, unique networks, 5G-only deployments or the entire market. Dates differ within years, database discovery can revise past coverage and small projects are omitted. This series does not justify a precise market CAGR.</x:v>
      </x:c>
    </x:row>
    <x:row r="17" ht="36" hidden="0" customHeight="1">
      <x:c r="A17" s="12" t="n">
        <x:v>12</x:v>
      </x:c>
      <x:c r="B17" s="6" t="str">
        <x:v>Direct-to-device satellite connectivity</x:v>
      </x:c>
      <x:c r="C17" s="6" t="str">
        <x:v>Countries/regions with Apple Emergency SOS via satellite</x:v>
      </x:c>
      <x:c r="D17" s="6" t="str">
        <x:v>listed countries/regions</x:v>
      </x:c>
      <x:c r="E17" s="12" t="n">
        <x:f>'Observations'!D36</x:f>
        <x:v>2022</x:v>
      </x:c>
      <x:c r="F17" s="18" t="n">
        <x:f>'Observations'!E36</x:f>
        <x:v>6</x:v>
      </x:c>
      <x:c r="G17" s="12" t="n">
        <x:f>'Observations'!D38</x:f>
        <x:v>2026</x:v>
      </x:c>
      <x:c r="H17" s="18" t="n">
        <x:f>'Observations'!E38</x:f>
        <x:v>21</x:v>
      </x:c>
      <x:c r="I17" s="15" t="str">
        <x:v>No</x:v>
      </x:c>
      <x:c r="J17" s="18" t="str">
        <x:f>IF(I17="Yes",IF(AND(ISNUMBER(F17),ISNUMBER(H17)),H17-F17,"n.a."),"n.a.")</x:f>
        <x:v>n.a.</x:v>
      </x:c>
      <x:c r="K17" s="17" t="str">
        <x:f>IF(I17="Yes",IF(AND(ISNUMBER(F17),ISNUMBER(H17),F17&gt;0),H17/F17-1,"n.a."),"n.a.")</x:f>
        <x:v>n.a.</x:v>
      </x:c>
      <x:c r="L17" s="13" t="str">
        <x:f>"n.a."</x:f>
        <x:v>n.a.</x:v>
      </x:c>
      <x:c r="M17" s="6" t="str">
        <x:v>Availability expanded from 6 to 21 listed countries/regions. One vendor’s geographic service availability; not a population-weighted coverage figure. Device versions, local approvals, sky visibility and geographic conditions apply. Territorial inclusions are not counted as additional countries. No unsupported 2024/2025 country values are interpolated.</x:v>
      </x:c>
    </x:row>
    <x:row r="18" ht="24" hidden="0" customHeight="1">
      <x:c r="A18" s="12" t="n">
        <x:v>13</x:v>
      </x:c>
      <x:c r="B18" s="6" t="str">
        <x:v>Industrial IoT and predictive maintenance</x:v>
      </x:c>
      <x:c r="C18" s="6" t="str">
        <x:v>Connected IoT devices worldwide — adjacent infrastructure proxy</x:v>
      </x:c>
      <x:c r="D18" s="6" t="str">
        <x:v>billion connected devices</x:v>
      </x:c>
      <x:c r="E18" s="12" t="n">
        <x:f>'Observations'!D39</x:f>
        <x:v>2024</x:v>
      </x:c>
      <x:c r="F18" s="20" t="n">
        <x:f>'Observations'!E39</x:f>
        <x:v>18.5</x:v>
      </x:c>
      <x:c r="G18" s="12" t="n">
        <x:f>'Observations'!D40</x:f>
        <x:v>2025</x:v>
      </x:c>
      <x:c r="H18" s="20" t="n">
        <x:f>'Observations'!E40</x:f>
        <x:v>21.1</x:v>
      </x:c>
      <x:c r="I18" s="15" t="str">
        <x:v>Yes</x:v>
      </x:c>
      <x:c r="J18" s="20" t="n">
        <x:f>IF(I18="Yes",IF(AND(ISNUMBER(F18),ISNUMBER(H18)),H18-F18,"n.a."),"n.a.")</x:f>
        <x:v>2.6000000000000014</x:v>
      </x:c>
      <x:c r="K18" s="17" t="n">
        <x:f>IF(I18="Yes",IF(AND(ISNUMBER(F18),ISNUMBER(H18),F18&gt;0),H18/F18-1,"n.a."),"n.a.")</x:f>
        <x:v>0.14054054054054066</x:v>
      </x:c>
      <x:c r="L18" s="13" t="str">
        <x:f>"n.a."</x:f>
        <x:v>n.a.</x:v>
      </x:c>
      <x:c r="M18" s="6" t="str">
        <x:v>Estimated installed base grew about 14% in 2025. Research estimates rather than a device census. The 2024 value is a revised estimate, not the earlier 18.8 billion forecast. The denominator includes consumer and nonindustrial IoT, so this is an enabling-infrastructure proxy, not predictive-maintenance adoption.</x:v>
      </x:c>
    </x:row>
    <x:row r="19" ht="24" hidden="0" customHeight="1">
      <x:c r="A19" s="12" t="n">
        <x:v>14</x:v>
      </x:c>
      <x:c r="B19" s="6" t="str">
        <x:v>Industrial digital twins</x:v>
      </x:c>
      <x:c r="C19" s="6" t="str">
        <x:v>Global Lighthouse Network sites — adjacent Industry 4.0 proxy</x:v>
      </x:c>
      <x:c r="D19" s="6" t="str">
        <x:v>recognized sites</x:v>
      </x:c>
      <x:c r="E19" s="12" t="n">
        <x:f>'Observations'!D43</x:f>
        <x:v>2021</x:v>
      </x:c>
      <x:c r="F19" s="18" t="n">
        <x:f>'Observations'!E43</x:f>
        <x:v>90</x:v>
      </x:c>
      <x:c r="G19" s="12" t="n">
        <x:f>'Observations'!D46</x:f>
        <x:v>2026</x:v>
      </x:c>
      <x:c r="H19" s="18" t="n">
        <x:f>'Observations'!E46</x:f>
        <x:v>223</x:v>
      </x:c>
      <x:c r="I19" s="15" t="str">
        <x:v>No</x:v>
      </x:c>
      <x:c r="J19" s="18" t="str">
        <x:f>IF(I19="Yes",IF(AND(ISNUMBER(F19),ISNUMBER(H19)),H19-F19,"n.a."),"n.a.")</x:f>
        <x:v>n.a.</x:v>
      </x:c>
      <x:c r="K19" s="17" t="str">
        <x:f>IF(I19="Yes",IF(AND(ISNUMBER(F19),ISNUMBER(H19),F19&gt;0),H19/F19-1,"n.a."),"n.a.")</x:f>
        <x:v>n.a.</x:v>
      </x:c>
      <x:c r="L19" s="13" t="str">
        <x:f>"n.a."</x:f>
        <x:v>n.a.</x:v>
      </x:c>
      <x:c r="M19" s="6" t="str">
        <x:v>Recognized advanced-manufacturing sites: 90 → 223. Selective recognition of many Industry 4.0 technologies. Not every site uses a digital twin, and many unrecognized sites do. Selection pace and dates differ; no market-size or adoption-rate CAGR should be inferred.</x:v>
      </x:c>
    </x:row>
    <x:row r="20" ht="36" hidden="0" customHeight="1">
      <x:c r="A20" s="12" t="n">
        <x:v>15</x:v>
      </x:c>
      <x:c r="B20" s="6" t="str">
        <x:v>Enterprise spatial computing</x:v>
      </x:c>
      <x:c r="C20" s="6" t="str">
        <x:v>Meta Reality Labs revenue — adjacent hardware/platform proxy</x:v>
      </x:c>
      <x:c r="D20" s="6" t="str">
        <x:v>US$ million per calendar year</x:v>
      </x:c>
      <x:c r="E20" s="12" t="n">
        <x:f>'Observations'!D47</x:f>
        <x:v>2023</x:v>
      </x:c>
      <x:c r="F20" s="18" t="n">
        <x:f>'Observations'!E47</x:f>
        <x:v>1896</x:v>
      </x:c>
      <x:c r="G20" s="12" t="n">
        <x:f>'Observations'!D49</x:f>
        <x:v>2025</x:v>
      </x:c>
      <x:c r="H20" s="18" t="n">
        <x:f>'Observations'!E49</x:f>
        <x:v>2207</x:v>
      </x:c>
      <x:c r="I20" s="15" t="str">
        <x:v>Yes</x:v>
      </x:c>
      <x:c r="J20" s="18" t="n">
        <x:f>IF(I20="Yes",IF(AND(ISNUMBER(F20),ISNUMBER(H20)),H20-F20,"n.a."),"n.a.")</x:f>
        <x:v>311</x:v>
      </x:c>
      <x:c r="K20" s="17" t="n">
        <x:f>IF(I20="Yes",IF(AND(ISNUMBER(F20),ISNUMBER(H20),F20&gt;0),H20/F20-1,"n.a."),"n.a.")</x:f>
        <x:v>0.16402953586497881</x:v>
      </x:c>
      <x:c r="L20" s="13" t="str">
        <x:f>"n.a."</x:f>
        <x:v>n.a.</x:v>
      </x:c>
      <x:c r="M20" s="6" t="str">
        <x:v>Revenue increased about 16% from 2023 to 2025. Predominantly a consumer-platform measure, not enterprise spatial-computing adoption. Product mix shifts toward wearables complicate interpretation. Modest segment growth does not establish headset shipment growth or profitable business models. No invented 2026 annual result is included.</x:v>
      </x:c>
    </x:row>
    <x:row r="21" ht="24" hidden="0" customHeight="1">
      <x:c r="A21" s="12" t="n">
        <x:v>16</x:v>
      </x:c>
      <x:c r="B21" s="6" t="str">
        <x:v>Collaborative robots and autonomous mobile robots</x:v>
      </x:c>
      <x:c r="C21" s="6" t="str">
        <x:v>Amazon disclosed robot fleet — company scale proxy</x:v>
      </x:c>
      <x:c r="D21" s="6" t="str">
        <x:v>thousand robots / drive units</x:v>
      </x:c>
      <x:c r="E21" s="12" t="n">
        <x:f>'Observations'!D50</x:f>
        <x:v>2021</x:v>
      </x:c>
      <x:c r="F21" s="19" t="n">
        <x:f>'Observations'!E50</x:f>
        <x:v>350</x:v>
      </x:c>
      <x:c r="G21" s="12" t="n">
        <x:f>'Observations'!D53</x:f>
        <x:v>2025</x:v>
      </x:c>
      <x:c r="H21" s="18" t="n">
        <x:f>'Observations'!E53</x:f>
        <x:v>1000</x:v>
      </x:c>
      <x:c r="I21" s="15" t="str">
        <x:v>No</x:v>
      </x:c>
      <x:c r="J21" s="23" t="str">
        <x:f>IF(I21="Yes",IF(AND(ISNUMBER(F21),ISNUMBER(H21)),H21-F21,"n.a."),"n.a.")</x:f>
        <x:v>n.a.</x:v>
      </x:c>
      <x:c r="K21" s="17" t="str">
        <x:f>IF(I21="Yes",IF(AND(ISNUMBER(F21),ISNUMBER(H21),F21&gt;0),H21/F21-1,"n.a."),"n.a.")</x:f>
        <x:v>n.a.</x:v>
      </x:c>
      <x:c r="L21" s="13" t="str">
        <x:f>"n.a."</x:f>
        <x:v>n.a.</x:v>
      </x:c>
      <x:c r="M21" s="6" t="str">
        <x:v>Scale milestones: &gt;350k drive units → 1m robots of all types. One highly automated operator, not the global AMR or cobot installed base. Definitions change from drive units to mobile robots to all robots, so no growth percentage or CAGR is calculated. Fleet size is not equivalent to labor savings or productive hours.</x:v>
      </x:c>
    </x:row>
    <x:row r="22" ht="36" hidden="0" customHeight="1">
      <x:c r="A22" s="12" t="n">
        <x:v>17</x:v>
      </x:c>
      <x:c r="B22" s="6" t="str">
        <x:v>Humanoid robots in structured industrial work</x:v>
      </x:c>
      <x:c r="C22" s="6" t="str">
        <x:v>UBTECH full-size humanoid products and services revenue</x:v>
      </x:c>
      <x:c r="D22" s="6" t="str">
        <x:v>RMB million per calendar year</x:v>
      </x:c>
      <x:c r="E22" s="12" t="n">
        <x:f>'Observations'!D54</x:f>
        <x:v>2024</x:v>
      </x:c>
      <x:c r="F22" s="20" t="n">
        <x:f>'Observations'!E54</x:f>
        <x:v>35.6</x:v>
      </x:c>
      <x:c r="G22" s="12" t="n">
        <x:f>'Observations'!D55</x:f>
        <x:v>2025</x:v>
      </x:c>
      <x:c r="H22" s="20" t="n">
        <x:f>'Observations'!E55</x:f>
        <x:v>820.6</x:v>
      </x:c>
      <x:c r="I22" s="15" t="str">
        <x:v>Yes</x:v>
      </x:c>
      <x:c r="J22" s="18" t="n">
        <x:f>IF(I22="Yes",IF(AND(ISNUMBER(F22),ISNUMBER(H22)),H22-F22,"n.a."),"n.a.")</x:f>
        <x:v>785</x:v>
      </x:c>
      <x:c r="K22" s="17" t="n">
        <x:f>IF(I22="Yes",IF(AND(ISNUMBER(F22),ISNUMBER(H22),F22&gt;0),H22/F22-1,"n.a."),"n.a.")</x:f>
        <x:v>22.05056179775281</x:v>
      </x:c>
      <x:c r="L22" s="13" t="str">
        <x:f>"n.a."</x:f>
        <x:v>n.a.</x:v>
      </x:c>
      <x:c r="M22" s="6" t="str">
        <x:v>Early-base revenue rose roughly 23× in 2025. Company-specific revenue from a very small base, including products and services. Sales may include research, demonstration or government customers rather than sustained productive industrial use. The 2026 annual result is not yet available; first-half revenue is not substituted. The annual-report PDF was verified via its indexed HKEX filing; direct extraction exceeded retrieval size limits.</x:v>
      </x:c>
    </x:row>
    <x:row r="23" ht="24" hidden="0" customHeight="1">
      <x:c r="A23" s="12" t="n">
        <x:v>18</x:v>
      </x:c>
      <x:c r="B23" s="6" t="str">
        <x:v>Robotaxis and autonomous driving</x:v>
      </x:c>
      <x:c r="C23" s="6" t="str">
        <x:v>Waymo weekly fully autonomous trips</x:v>
      </x:c>
      <x:c r="D23" s="6" t="str">
        <x:v>trips per week</x:v>
      </x:c>
      <x:c r="E23" s="12" t="n">
        <x:f>'Observations'!D57</x:f>
        <x:v>2023</x:v>
      </x:c>
      <x:c r="F23" s="22" t="n">
        <x:f>'Observations'!E57</x:f>
        <x:v>10000</x:v>
      </x:c>
      <x:c r="G23" s="12" t="n">
        <x:f>'Observations'!D59</x:f>
        <x:v>2026</x:v>
      </x:c>
      <x:c r="H23" s="22" t="n">
        <x:f>'Observations'!E59</x:f>
        <x:v>500000</x:v>
      </x:c>
      <x:c r="I23" s="15" t="str">
        <x:v>No</x:v>
      </x:c>
      <x:c r="J23" s="23" t="str">
        <x:f>IF(I23="Yes",IF(AND(ISNUMBER(F23),ISNUMBER(H23)),H23-F23,"n.a."),"n.a.")</x:f>
        <x:v>n.a.</x:v>
      </x:c>
      <x:c r="K23" s="17" t="str">
        <x:f>IF(I23="Yes",IF(AND(ISNUMBER(F23),ISNUMBER(H23),F23&gt;0),H23/F23-1,"n.a."),"n.a.")</x:f>
        <x:v>n.a.</x:v>
      </x:c>
      <x:c r="L23" s="13" t="str">
        <x:f>"n.a."</x:f>
        <x:v>n.a.</x:v>
      </x:c>
      <x:c r="M23" s="6" t="str">
        <x:v>These are lower-bound weekly snapshots, not annual totals or global robotaxi adoption. Service territory expands between observations. The 2026 point is current to the source, not a full-year average.</x:v>
      </x:c>
    </x:row>
    <x:row r="24" ht="24" hidden="0" customHeight="1">
      <x:c r="A24" s="12" t="n">
        <x:v>19</x:v>
      </x:c>
      <x:c r="B24" s="6" t="str">
        <x:v>Autonomous delivery drones</x:v>
      </x:c>
      <x:c r="C24" s="6" t="str">
        <x:v>Wing cumulative commercial deliveries</x:v>
      </x:c>
      <x:c r="D24" s="6" t="str">
        <x:v>deliveries</x:v>
      </x:c>
      <x:c r="E24" s="12" t="n">
        <x:f>'Observations'!D61</x:f>
        <x:v>2021</x:v>
      </x:c>
      <x:c r="F24" s="22" t="n">
        <x:f>'Observations'!E61</x:f>
        <x:v>100000</x:v>
      </x:c>
      <x:c r="G24" s="12" t="n">
        <x:f>'Observations'!D63</x:f>
        <x:v>2026</x:v>
      </x:c>
      <x:c r="H24" s="22" t="n">
        <x:f>'Observations'!E63</x:f>
        <x:v>1000000</x:v>
      </x:c>
      <x:c r="I24" s="15" t="str">
        <x:v>No</x:v>
      </x:c>
      <x:c r="J24" s="23" t="str">
        <x:f>IF(I24="Yes",IF(AND(ISNUMBER(F24),ISNUMBER(H24)),H24-F24,"n.a."),"n.a.")</x:f>
        <x:v>n.a.</x:v>
      </x:c>
      <x:c r="K24" s="17" t="str">
        <x:f>IF(I24="Yes",IF(AND(ISNUMBER(F24),ISNUMBER(H24),F24&gt;0),H24/F24-1,"n.a."),"n.a.")</x:f>
        <x:v>n.a.</x:v>
      </x:c>
      <x:c r="L24" s="13" t="str">
        <x:f>"n.a."</x:f>
        <x:v>n.a.</x:v>
      </x:c>
      <x:c r="M24" s="6" t="str">
        <x:v>Cumulative totals are not annual deliveries, active users or total market share. Reported milestones are approximate lower bounds and service geography expands. The 2026 value is a June observation.</x:v>
      </x:c>
    </x:row>
    <x:row r="25" ht="24" hidden="0" customHeight="1">
      <x:c r="A25" s="12" t="n">
        <x:v>20</x:v>
      </x:c>
      <x:c r="B25" s="6" t="str">
        <x:v>Software-defined vehicles</x:v>
      </x:c>
      <x:c r="C25" s="6" t="str">
        <x:v>QNX embedded vehicle installed base</x:v>
      </x:c>
      <x:c r="D25" s="6" t="str">
        <x:v>million vehicles</x:v>
      </x:c>
      <x:c r="E25" s="12" t="n">
        <x:f>'Observations'!D65</x:f>
        <x:v>2021</x:v>
      </x:c>
      <x:c r="F25" s="18" t="n">
        <x:f>'Observations'!E65</x:f>
        <x:v>195</x:v>
      </x:c>
      <x:c r="G25" s="12" t="n">
        <x:f>'Observations'!D66</x:f>
        <x:v>2025</x:v>
      </x:c>
      <x:c r="H25" s="18" t="n">
        <x:f>'Observations'!E66</x:f>
        <x:v>275</x:v>
      </x:c>
      <x:c r="I25" s="15" t="str">
        <x:v>No</x:v>
      </x:c>
      <x:c r="J25" s="18" t="str">
        <x:f>IF(I25="Yes",IF(AND(ISNUMBER(F25),ISNUMBER(H25)),H25-F25,"n.a."),"n.a.")</x:f>
        <x:v>n.a.</x:v>
      </x:c>
      <x:c r="K25" s="17" t="str">
        <x:f>IF(I25="Yes",IF(AND(ISNUMBER(F25),ISNUMBER(H25),F25&gt;0),H25/F25-1,"n.a."),"n.a.")</x:f>
        <x:v>n.a.</x:v>
      </x:c>
      <x:c r="L25" s="13" t="str">
        <x:f>"n.a."</x:f>
        <x:v>n.a.</x:v>
      </x:c>
      <x:c r="M25" s="6" t="str">
        <x:v>Cumulative embedded software base, not a count of fully software-defined vehicles or annual new-vehicle sales. Many older systems have limited updateability. No 2026 incremental total is invented.</x:v>
      </x:c>
    </x:row>
    <x:row r="26" ht="24" hidden="0" customHeight="1">
      <x:c r="A26" s="12" t="n">
        <x:v>21</x:v>
      </x:c>
      <x:c r="B26" s="6" t="str">
        <x:v>AI diagnostics and clinical copilots</x:v>
      </x:c>
      <x:c r="C26" s="6" t="str">
        <x:v>Physicians reporting professional AI use in AMA surveys</x:v>
      </x:c>
      <x:c r="D26" s="6" t="str">
        <x:v>percent of respondents</x:v>
      </x:c>
      <x:c r="E26" s="12" t="n">
        <x:f>'Observations'!D67</x:f>
        <x:v>2023</x:v>
      </x:c>
      <x:c r="F26" s="18" t="n">
        <x:f>'Observations'!E67</x:f>
        <x:v>38</x:v>
      </x:c>
      <x:c r="G26" s="12" t="n">
        <x:f>'Observations'!D69</x:f>
        <x:v>2026</x:v>
      </x:c>
      <x:c r="H26" s="18" t="n">
        <x:f>'Observations'!E69</x:f>
        <x:v>81</x:v>
      </x:c>
      <x:c r="I26" s="15" t="str">
        <x:v>No</x:v>
      </x:c>
      <x:c r="J26" s="18" t="str">
        <x:f>IF(I26="Yes",IF(AND(ISNUMBER(F26),ISNUMBER(H26)),H26-F26,"n.a."),"n.a.")</x:f>
        <x:v>n.a.</x:v>
      </x:c>
      <x:c r="K26" s="17" t="str">
        <x:f>"n.a."</x:f>
        <x:v>n.a.</x:v>
      </x:c>
      <x:c r="L26" s="13" t="str">
        <x:f>IF(I26="Yes",IF(AND(ISNUMBER(F26),ISNUMBER(H26)),H26-F26,"n.a."),"n.a.")</x:f>
        <x:v>n.a.</x:v>
      </x:c>
      <x:c r="M26" s="6" t="str">
        <x:v>+43 percentage points from 2023 to the 2026 survey release; respondent samples differ.. Different survey waves and respondent samples; the latest value is reported in a March 2026 release. Use includes research, notes and other assistance. Show percentage-point change, not CAGR or population-wide penetration.</x:v>
      </x:c>
    </x:row>
    <x:row r="27" ht="24" hidden="0" customHeight="1">
      <x:c r="A27" s="12" t="n">
        <x:v>22</x:v>
      </x:c>
      <x:c r="B27" s="6" t="str">
        <x:v>Precision oncology and liquid biopsies</x:v>
      </x:c>
      <x:c r="C27" s="6" t="str">
        <x:v>Guardant oncology clinical tests</x:v>
      </x:c>
      <x:c r="D27" s="6" t="str">
        <x:v>tests per year</x:v>
      </x:c>
      <x:c r="E27" s="12" t="n">
        <x:f>'Observations'!D70</x:f>
        <x:v>2021</x:v>
      </x:c>
      <x:c r="F27" s="23" t="n">
        <x:f>'Observations'!E70</x:f>
        <x:v>87600</x:v>
      </x:c>
      <x:c r="G27" s="12" t="n">
        <x:f>'Observations'!D73</x:f>
        <x:v>2025</x:v>
      </x:c>
      <x:c r="H27" s="23" t="n">
        <x:f>'Observations'!E73</x:f>
        <x:v>276000</x:v>
      </x:c>
      <x:c r="I27" s="15" t="str">
        <x:v>Yes</x:v>
      </x:c>
      <x:c r="J27" s="23" t="n">
        <x:f>IF(I27="Yes",IF(AND(ISNUMBER(F27),ISNUMBER(H27)),H27-F27,"n.a."),"n.a.")</x:f>
        <x:v>188400</x:v>
      </x:c>
      <x:c r="K27" s="17" t="n">
        <x:f>IF(I27="Yes",IF(AND(ISNUMBER(F27),ISNUMBER(H27),F27&gt;0),H27/F27-1,"n.a."),"n.a.")</x:f>
        <x:v>2.1506849315068495</x:v>
      </x:c>
      <x:c r="L27" s="13" t="str">
        <x:f>"n.a."</x:f>
        <x:v>n.a.</x:v>
      </x:c>
      <x:c r="M27" s="6" t="str">
        <x:v>One company’s clinical oncology volume, including products beyond liquid biopsy; not the total sector or unique patients. Annual endpoints are comparable within the disclosed company series. No invented 2026 full-year total.</x:v>
      </x:c>
    </x:row>
    <x:row r="28" ht="24" hidden="0" customHeight="1">
      <x:c r="A28" s="12" t="n">
        <x:v>23</x:v>
      </x:c>
      <x:c r="B28" s="6" t="str">
        <x:v>Gene-editing therapies</x:v>
      </x:c>
      <x:c r="C28" s="6" t="str">
        <x:v>Casgevy annual net product revenue</x:v>
      </x:c>
      <x:c r="D28" s="6" t="str">
        <x:v>USD million</x:v>
      </x:c>
      <x:c r="E28" s="12" t="n">
        <x:f>'Observations'!D74</x:f>
        <x:v>2024</x:v>
      </x:c>
      <x:c r="F28" s="18" t="n">
        <x:f>'Observations'!E74</x:f>
        <x:v>10</x:v>
      </x:c>
      <x:c r="G28" s="12" t="n">
        <x:f>'Observations'!D75</x:f>
        <x:v>2025</x:v>
      </x:c>
      <x:c r="H28" s="20" t="n">
        <x:f>'Observations'!E75</x:f>
        <x:v>115.8</x:v>
      </x:c>
      <x:c r="I28" s="15" t="str">
        <x:v>Yes</x:v>
      </x:c>
      <x:c r="J28" s="20" t="n">
        <x:f>IF(I28="Yes",IF(AND(ISNUMBER(F28),ISNUMBER(H28)),H28-F28,"n.a."),"n.a.")</x:f>
        <x:v>105.8</x:v>
      </x:c>
      <x:c r="K28" s="17" t="n">
        <x:f>IF(I28="Yes",IF(AND(ISNUMBER(F28),ISNUMBER(H28),F28&gt;0),H28/F28-1,"n.a."),"n.a.")</x:f>
        <x:v>10.58</x:v>
      </x:c>
      <x:c r="L28" s="13" t="str">
        <x:f>"n.a."</x:f>
        <x:v>n.a.</x:v>
      </x:c>
      <x:c r="M28" s="6" t="str">
        <x:v>Revenue for one therapy is not the gene-editing market or number of successfully treated patients. The large change begins from an initial launch year; price, timing and access affect revenue.</x:v>
      </x:c>
    </x:row>
    <x:row r="29" ht="24" hidden="0" customHeight="1">
      <x:c r="A29" s="12" t="n">
        <x:v>24</x:v>
      </x:c>
      <x:c r="B29" s="6" t="str">
        <x:v>RNA therapeutics and next-generation vaccines</x:v>
      </x:c>
      <x:c r="C29" s="6" t="str">
        <x:v>Alnylam annual net product revenue</x:v>
      </x:c>
      <x:c r="D29" s="6" t="str">
        <x:v>USD million</x:v>
      </x:c>
      <x:c r="E29" s="12" t="n">
        <x:f>'Observations'!D76</x:f>
        <x:v>2021</x:v>
      </x:c>
      <x:c r="F29" s="21" t="n">
        <x:f>'Observations'!E76</x:f>
        <x:v>662.138</x:v>
      </x:c>
      <x:c r="G29" s="12" t="n">
        <x:f>'Observations'!D79</x:f>
        <x:v>2025</x:v>
      </x:c>
      <x:c r="H29" s="21" t="n">
        <x:f>'Observations'!E79</x:f>
        <x:v>2986.549</x:v>
      </x:c>
      <x:c r="I29" s="15" t="str">
        <x:v>Yes</x:v>
      </x:c>
      <x:c r="J29" s="21" t="n">
        <x:f>IF(I29="Yes",IF(AND(ISNUMBER(F29),ISNUMBER(H29)),H29-F29,"n.a."),"n.a.")</x:f>
        <x:v>2324.411</x:v>
      </x:c>
      <x:c r="K29" s="17" t="n">
        <x:f>IF(I29="Yes",IF(AND(ISNUMBER(F29),ISNUMBER(H29),F29&gt;0),H29/F29-1,"n.a."),"n.a.")</x:f>
        <x:v>3.510463075673047</x:v>
      </x:c>
      <x:c r="L29" s="13" t="str">
        <x:f>"n.a."</x:f>
        <x:v>n.a.</x:v>
      </x:c>
      <x:c r="M29" s="6" t="str">
        <x:v>RNAi commercial proxy, not all RNA therapeutics or vaccines. Revenue reflects indication expansion, pricing and product mix; it is not a count of patients. Do not extend this series to imply mRNA vaccine sales followed the same path.</x:v>
      </x:c>
    </x:row>
    <x:row r="30" ht="24" hidden="0" customHeight="1">
      <x:c r="A30" s="12" t="n">
        <x:v>25</x:v>
      </x:c>
      <x:c r="B30" s="6" t="str">
        <x:v>Remote patient monitoring and medical wearables</x:v>
      </x:c>
      <x:c r="C30" s="6" t="str">
        <x:v>Dexcom annual revenue</x:v>
      </x:c>
      <x:c r="D30" s="6" t="str">
        <x:v>USD million</x:v>
      </x:c>
      <x:c r="E30" s="12" t="n">
        <x:f>'Observations'!D81</x:f>
        <x:v>2021</x:v>
      </x:c>
      <x:c r="F30" s="23" t="n">
        <x:f>'Observations'!E81</x:f>
        <x:v>2448</x:v>
      </x:c>
      <x:c r="G30" s="12" t="n">
        <x:f>'Observations'!D85</x:f>
        <x:v>2025</x:v>
      </x:c>
      <x:c r="H30" s="23" t="n">
        <x:f>'Observations'!E85</x:f>
        <x:v>4662</x:v>
      </x:c>
      <x:c r="I30" s="15" t="str">
        <x:v>Yes</x:v>
      </x:c>
      <x:c r="J30" s="23" t="n">
        <x:f>IF(I30="Yes",IF(AND(ISNUMBER(F30),ISNUMBER(H30)),H30-F30,"n.a."),"n.a.")</x:f>
        <x:v>2214</x:v>
      </x:c>
      <x:c r="K30" s="17" t="n">
        <x:f>IF(I30="Yes",IF(AND(ISNUMBER(F30),ISNUMBER(H30),F30&gt;0),H30/F30-1,"n.a."),"n.a.")</x:f>
        <x:v>0.9044117647058822</x:v>
      </x:c>
      <x:c r="L30" s="13" t="str">
        <x:f>"n.a."</x:f>
        <x:v>n.a.</x:v>
      </x:c>
      <x:c r="M30" s="6" t="str">
        <x:v>Company revenue is not the total RPM market, number of monitored patients or reimbursement spending. It measures CGM commercial scale, with product, pricing and geography effects. Latest full year is 2025.</x:v>
      </x:c>
    </x:row>
    <x:row r="31" ht="24" hidden="0" customHeight="1">
      <x:c r="A31" s="12" t="n">
        <x:v>26</x:v>
      </x:c>
      <x:c r="B31" s="6" t="str">
        <x:v>AI-enabled drug discovery</x:v>
      </x:c>
      <x:c r="C31" s="6" t="str">
        <x:v>Insilico cumulative nominated preclinical candidates</x:v>
      </x:c>
      <x:c r="D31" s="6" t="str">
        <x:v>candidates</x:v>
      </x:c>
      <x:c r="E31" s="12" t="n">
        <x:f>'Observations'!D86</x:f>
        <x:v>2024</x:v>
      </x:c>
      <x:c r="F31" s="18" t="n">
        <x:f>'Observations'!E86</x:f>
        <x:v>20</x:v>
      </x:c>
      <x:c r="G31" s="12" t="n">
        <x:f>'Observations'!D87</x:f>
        <x:v>2026</x:v>
      </x:c>
      <x:c r="H31" s="18" t="n">
        <x:f>'Observations'!E87</x:f>
        <x:v>30</x:v>
      </x:c>
      <x:c r="I31" s="15" t="str">
        <x:v>No</x:v>
      </x:c>
      <x:c r="J31" s="18" t="str">
        <x:f>IF(I31="Yes",IF(AND(ISNUMBER(F31),ISNUMBER(H31)),H31-F31,"n.a."),"n.a.")</x:f>
        <x:v>n.a.</x:v>
      </x:c>
      <x:c r="K31" s="17" t="str">
        <x:f>IF(I31="Yes",IF(AND(ISNUMBER(F31),ISNUMBER(H31),F31&gt;0),H31/F31-1,"n.a."),"n.a.")</x:f>
        <x:v>n.a.</x:v>
      </x:c>
      <x:c r="L31" s="13" t="str">
        <x:f>"n.a."</x:f>
        <x:v>n.a.</x:v>
      </x:c>
      <x:c r="M31" s="6" t="str">
        <x:v>Company-reported preclinical nominations are an activity proxy, not approvals, successful medicines or an industry total. The 2026 value is a cumulative April observation. Candidate quality and trial outcomes matter more than counts.</x:v>
      </x:c>
    </x:row>
    <x:row r="32" ht="24" hidden="0" customHeight="1">
      <x:c r="A32" s="12" t="n">
        <x:v>27</x:v>
      </x:c>
      <x:c r="B32" s="6" t="str">
        <x:v>Synthetic biology and biomanufacturing</x:v>
      </x:c>
      <x:c r="C32" s="6" t="str">
        <x:v>Twist synthetic genes shipped</x:v>
      </x:c>
      <x:c r="D32" s="6" t="str">
        <x:v>genes per fiscal year</x:v>
      </x:c>
      <x:c r="E32" s="12" t="n">
        <x:f>'Observations'!D88</x:f>
        <x:v>2021</x:v>
      </x:c>
      <x:c r="F32" s="23" t="n">
        <x:f>'Observations'!E88</x:f>
        <x:v>372000</x:v>
      </x:c>
      <x:c r="G32" s="12" t="n">
        <x:f>'Observations'!D90</x:f>
        <x:v>2025</x:v>
      </x:c>
      <x:c r="H32" s="23" t="n">
        <x:f>'Observations'!E90</x:f>
        <x:v>938000</x:v>
      </x:c>
      <x:c r="I32" s="15" t="str">
        <x:v>Yes</x:v>
      </x:c>
      <x:c r="J32" s="23" t="n">
        <x:f>IF(I32="Yes",IF(AND(ISNUMBER(F32),ISNUMBER(H32)),H32-F32,"n.a."),"n.a.")</x:f>
        <x:v>566000</x:v>
      </x:c>
      <x:c r="K32" s="17" t="n">
        <x:f>IF(I32="Yes",IF(AND(ISNUMBER(F32),ISNUMBER(H32),F32&gt;0),H32/F32-1,"n.a."),"n.a.")</x:f>
        <x:v>1.521505376344086</x:v>
      </x:c>
      <x:c r="L32" s="13" t="str">
        <x:f>"n.a."</x:f>
        <x:v>n.a.</x:v>
      </x:c>
      <x:c r="M32" s="6" t="str">
        <x:v>Fiscal years end September. Genes shipped are research and production inputs, not tonnes of biomanufactured product, unique customers or sector adoption. Product mix and cheaper synthesis can expand units without proportional end-market value.</x:v>
      </x:c>
    </x:row>
    <x:row r="33" ht="36" hidden="0" customHeight="1">
      <x:c r="A33" s="12" t="n">
        <x:v>28</x:v>
      </x:c>
      <x:c r="B33" s="6" t="str">
        <x:v>Precision fermentation for food</x:v>
      </x:c>
      <x:c r="C33" s="6" t="str">
        <x:v>Global alternative-protein fermentation investment</x:v>
      </x:c>
      <x:c r="D33" s="6" t="str">
        <x:v>USD million per year</x:v>
      </x:c>
      <x:c r="E33" s="12" t="n">
        <x:f>'Observations'!D91</x:f>
        <x:v>2024</x:v>
      </x:c>
      <x:c r="F33" s="23" t="n">
        <x:f>'Observations'!E91</x:f>
        <x:v>632</x:v>
      </x:c>
      <x:c r="G33" s="12" t="n">
        <x:f>'Observations'!D92</x:f>
        <x:v>2025</x:v>
      </x:c>
      <x:c r="H33" s="23" t="n">
        <x:f>'Observations'!E92</x:f>
        <x:v>357</x:v>
      </x:c>
      <x:c r="I33" s="15" t="str">
        <x:v>No</x:v>
      </x:c>
      <x:c r="J33" s="23" t="str">
        <x:f>IF(I33="Yes",IF(AND(ISNUMBER(F33),ISNUMBER(H33)),H33-F33,"n.a."),"n.a.")</x:f>
        <x:v>n.a.</x:v>
      </x:c>
      <x:c r="K33" s="17" t="str">
        <x:f>IF(I33="Yes",IF(AND(ISNUMBER(F33),ISNUMBER(H33),F33&gt;0),H33/F33-1,"n.a."),"n.a.")</x:f>
        <x:v>n.a.</x:v>
      </x:c>
      <x:c r="L33" s="13" t="str">
        <x:f>"n.a."</x:f>
        <x:v>n.a.</x:v>
      </x:c>
      <x:c r="M33" s="6" t="str">
        <x:v>Funding fell about 44% in 2025; investment is a leading indicator, not adoption.. A financing indicator for a broader category, not sales, production or pure precision fermentation. Investment methods and categories can change between report editions; use the same 2025-report comparison and do not splice older datasets without reconciliation.</x:v>
      </x:c>
    </x:row>
    <x:row r="34" ht="36" hidden="0" customHeight="1">
      <x:c r="A34" s="12" t="n">
        <x:v>29</x:v>
      </x:c>
      <x:c r="B34" s="6" t="str">
        <x:v>Organoids and organ-on-chip testing</x:v>
      </x:c>
      <x:c r="C34" s="6" t="str">
        <x:v>Maximum parallel Organ-Chip samples per Emulate instrument run</x:v>
      </x:c>
      <x:c r="D34" s="6" t="str">
        <x:v>samples per instrument run</x:v>
      </x:c>
      <x:c r="E34" s="12" t="n">
        <x:f>'Observations'!D93</x:f>
        <x:v>2021</x:v>
      </x:c>
      <x:c r="F34" s="25" t="n">
        <x:f>'Observations'!E93</x:f>
        <x:v>12</x:v>
      </x:c>
      <x:c r="G34" s="12" t="n">
        <x:f>'Observations'!D94</x:f>
        <x:v>2025</x:v>
      </x:c>
      <x:c r="H34" s="25" t="n">
        <x:f>'Observations'!E94</x:f>
        <x:v>96</x:v>
      </x:c>
      <x:c r="I34" s="15" t="str">
        <x:v>No</x:v>
      </x:c>
      <x:c r="J34" s="23" t="str">
        <x:f>IF(I34="Yes",IF(AND(ISNUMBER(F34),ISNUMBER(H34)),H34-F34,"n.a."),"n.a.")</x:f>
        <x:v>n.a.</x:v>
      </x:c>
      <x:c r="K34" s="17" t="str">
        <x:f>IF(I34="Yes",IF(AND(ISNUMBER(F34),ISNUMBER(H34),F34&gt;0),H34/F34-1,"n.a."),"n.a.")</x:f>
        <x:v>n.a.</x:v>
      </x:c>
      <x:c r="L34" s="13" t="str">
        <x:f>"n.a."</x:f>
        <x:v>n.a.</x:v>
      </x:c>
      <x:c r="M34" s="6" t="str">
        <x:v>Maximum parallel capacity rose from 12 to 96 samples per run; this measures enabling technology, not adoption.. Technical capacity of two different instrument generations, not annual laboratory throughput, instrument shipments, actual utilisation or sector adoption. Different workflows and consumables mean the eightfold capacity increase is not an eightfold improvement in clinical prediction or market size.</x:v>
      </x:c>
    </x:row>
    <x:row r="35" ht="24" hidden="0" customHeight="1">
      <x:c r="A35" s="12" t="n">
        <x:v>30</x:v>
      </x:c>
      <x:c r="B35" s="6" t="str">
        <x:v>Autonomous agriculture and precision farming</x:v>
      </x:c>
      <x:c r="C35" s="6" t="str">
        <x:v>Acres treated using John Deere See &amp; Spray</x:v>
      </x:c>
      <x:c r="D35" s="6" t="str">
        <x:v>million acres</x:v>
      </x:c>
      <x:c r="E35" s="12" t="n">
        <x:f>'Observations'!D95</x:f>
        <x:v>2024</x:v>
      </x:c>
      <x:c r="F35" s="22" t="n">
        <x:f>'Observations'!E95</x:f>
        <x:v>1</x:v>
      </x:c>
      <x:c r="G35" s="12" t="n">
        <x:f>'Observations'!D96</x:f>
        <x:v>2025</x:v>
      </x:c>
      <x:c r="H35" s="22" t="n">
        <x:f>'Observations'!E96</x:f>
        <x:v>5</x:v>
      </x:c>
      <x:c r="I35" s="15" t="str">
        <x:v>No</x:v>
      </x:c>
      <x:c r="J35" s="23" t="str">
        <x:f>IF(I35="Yes",IF(AND(ISNUMBER(F35),ISNUMBER(H35)),H35-F35,"n.a."),"n.a.")</x:f>
        <x:v>n.a.</x:v>
      </x:c>
      <x:c r="K35" s="17" t="str">
        <x:f>IF(I35="Yes",IF(AND(ISNUMBER(F35),ISNUMBER(H35),F35&gt;0),H35/F35-1,"n.a."),"n.a.")</x:f>
        <x:v>n.a.</x:v>
      </x:c>
      <x:c r="L35" s="13" t="str">
        <x:f>"n.a."</x:f>
        <x:v>n.a.</x:v>
      </x:c>
      <x:c r="M35" s="6" t="str">
        <x:v>One product-family deployment proxy, not total precision agriculture or fully autonomous acres. Published geographic scope expands between observations and treated acres need not be unique farm acres; the fivefold comparison is approximate.</x:v>
      </x:c>
    </x:row>
    <x:row r="36" ht="24" hidden="0" customHeight="1">
      <x:c r="A36" s="12" t="n">
        <x:v>31</x:v>
      </x:c>
      <x:c r="B36" s="6" t="str">
        <x:v>Perovskite-silicon tandem solar</x:v>
      </x:c>
      <x:c r="C36" s="6" t="str">
        <x:v>Certified perovskite-silicon research-cell efficiency</x:v>
      </x:c>
      <x:c r="D36" s="6" t="str">
        <x:v>percent conversion efficiency</x:v>
      </x:c>
      <x:c r="E36" s="12" t="n">
        <x:f>'Observations'!D97</x:f>
        <x:v>2021</x:v>
      </x:c>
      <x:c r="F36" s="20" t="n">
        <x:f>'Observations'!E97</x:f>
        <x:v>29.8</x:v>
      </x:c>
      <x:c r="G36" s="12" t="n">
        <x:f>'Observations'!D101</x:f>
        <x:v>2026</x:v>
      </x:c>
      <x:c r="H36" s="20" t="n">
        <x:f>'Observations'!E101</x:f>
        <x:v>35.5</x:v>
      </x:c>
      <x:c r="I36" s="15" t="str">
        <x:v>No</x:v>
      </x:c>
      <x:c r="J36" s="20" t="str">
        <x:f>IF(I36="Yes",IF(AND(ISNUMBER(F36),ISNUMBER(H36)),H36-F36,"n.a."),"n.a.")</x:f>
        <x:v>n.a.</x:v>
      </x:c>
      <x:c r="K36" s="17" t="str">
        <x:f>"n.a."</x:f>
        <x:v>n.a.</x:v>
      </x:c>
      <x:c r="L36" s="13" t="str">
        <x:f>IF(I36="Yes",IF(AND(ISNUMBER(F36),ISNUMBER(H36)),H36-F36,"n.a."),"n.a.")</x:f>
        <x:v>n.a.</x:v>
      </x:c>
      <x:c r="M36" s="6" t="str">
        <x:v>+5.7 percentage points in selected champion-cell efficiency, 2021–July 2026.. Performance frontier, not deployed capacity or average commercial panel efficiency. Cell areas, architectures and test certificates differ. Express progress in percentage points, not sector CAGR; the 2026 point is a July record.</x:v>
      </x:c>
    </x:row>
    <x:row r="37" ht="36" hidden="0" customHeight="1">
      <x:c r="A37" s="12" t="n">
        <x:v>32</x:v>
      </x:c>
      <x:c r="B37" s="6" t="str">
        <x:v>Long-duration energy storage</x:v>
      </x:c>
      <x:c r="C37" s="6" t="str">
        <x:v>Annual deployment of non-lithium long-duration technology families</x:v>
      </x:c>
      <x:c r="D37" s="6" t="str">
        <x:v>GWh per year</x:v>
      </x:c>
      <x:c r="E37" s="12" t="n">
        <x:f>'Observations'!D104</x:f>
        <x:v>2024</x:v>
      </x:c>
      <x:c r="F37" s="24" t="n">
        <x:f>'Observations'!E104</x:f>
        <x:v>10.1</x:v>
      </x:c>
      <x:c r="G37" s="12" t="n">
        <x:f>'Observations'!D105</x:f>
        <x:v>2025</x:v>
      </x:c>
      <x:c r="H37" s="22" t="n">
        <x:f>'Observations'!E105</x:f>
        <x:v>15</x:v>
      </x:c>
      <x:c r="I37" s="15" t="str">
        <x:v>No</x:v>
      </x:c>
      <x:c r="J37" s="24" t="str">
        <x:f>IF(I37="Yes",IF(AND(ISNUMBER(F37),ISNUMBER(H37)),H37-F37,"n.a."),"n.a.")</x:f>
        <x:v>n.a.</x:v>
      </x:c>
      <x:c r="K37" s="17" t="str">
        <x:f>IF(I37="Yes",IF(AND(ISNUMBER(F37),ISNUMBER(H37),F37&gt;0),H37/F37-1,"n.a."),"n.a.")</x:f>
        <x:v>n.a.</x:v>
      </x:c>
      <x:c r="L37" s="13" t="str">
        <x:f>"n.a."</x:f>
        <x:v>n.a.</x:v>
      </x:c>
      <x:c r="M37" s="6" t="str">
        <x:v>Reported installations grew 49% in 2025; category includes some shorter-duration systems.. 2025 was reported as more than 15 GWh, up 49%; the approximately 10.1 GWh 2024 point is back-calculated and rounded, not an independently reported exact count. Some included flow and compressed-air assets average about four hours, so this is a technology-family proxy. It must not be labelled a census of all ten-hour-plus storage.</x:v>
      </x:c>
    </x:row>
    <x:row r="38" ht="24" hidden="0" customHeight="1">
      <x:c r="A38" s="12" t="n">
        <x:v>33</x:v>
      </x:c>
      <x:c r="B38" s="6" t="str">
        <x:v>Sodium-ion batteries</x:v>
      </x:c>
      <x:c r="C38" s="6" t="str">
        <x:v>CATL announced sodium-ion cell energy density</x:v>
      </x:c>
      <x:c r="D38" s="6" t="str">
        <x:v>Wh per kg</x:v>
      </x:c>
      <x:c r="E38" s="12" t="n">
        <x:f>'Observations'!D106</x:f>
        <x:v>2021</x:v>
      </x:c>
      <x:c r="F38" s="18" t="n">
        <x:f>'Observations'!E106</x:f>
        <x:v>160</x:v>
      </x:c>
      <x:c r="G38" s="12" t="n">
        <x:f>'Observations'!D108</x:f>
        <x:v>2026</x:v>
      </x:c>
      <x:c r="H38" s="18" t="n">
        <x:f>'Observations'!E108</x:f>
        <x:v>175</x:v>
      </x:c>
      <x:c r="I38" s="15" t="str">
        <x:v>No</x:v>
      </x:c>
      <x:c r="J38" s="18" t="str">
        <x:f>IF(I38="Yes",IF(AND(ISNUMBER(F38),ISNUMBER(H38)),H38-F38,"n.a."),"n.a.")</x:f>
        <x:v>n.a.</x:v>
      </x:c>
      <x:c r="K38" s="17" t="str">
        <x:f>IF(I38="Yes",IF(AND(ISNUMBER(F38),ISNUMBER(H38),F38&gt;0),H38/F38-1,"n.a."),"n.a.")</x:f>
        <x:v>n.a.</x:v>
      </x:c>
      <x:c r="L38" s="13" t="str">
        <x:f>"n.a."</x:f>
        <x:v>n.a.</x:v>
      </x:c>
      <x:c r="M38" s="6" t="str">
        <x:v>+15 Wh/kg in stated CATL cell density since 2021; no inferred shipment growth.. Company-announced cell specifications, not independent like-for-like pack tests, installed GWh or market share. The 2026 figure accompanies a vehicle unveiling; it does not establish production volume. Pack-level density will be lower.</x:v>
      </x:c>
    </x:row>
    <x:row r="39" ht="24" hidden="0" customHeight="1">
      <x:c r="A39" s="12" t="n">
        <x:v>34</x:v>
      </x:c>
      <x:c r="B39" s="6" t="str">
        <x:v>Advanced geothermal</x:v>
      </x:c>
      <x:c r="C39" s="6" t="str">
        <x:v>Fastest cited Fervo horizontal well: drilling duration</x:v>
      </x:c>
      <x:c r="D39" s="6" t="str">
        <x:v>days</x:v>
      </x:c>
      <x:c r="E39" s="12" t="n">
        <x:f>'Observations'!D111</x:f>
        <x:v>2022</x:v>
      </x:c>
      <x:c r="F39" s="23" t="n">
        <x:f>'Observations'!E111</x:f>
        <x:v>70</x:v>
      </x:c>
      <x:c r="G39" s="12" t="n">
        <x:f>'Observations'!D113</x:f>
        <x:v>2026</x:v>
      </x:c>
      <x:c r="H39" s="18" t="n">
        <x:f>'Observations'!E113</x:f>
        <x:v>21</x:v>
      </x:c>
      <x:c r="I39" s="15" t="str">
        <x:v>No</x:v>
      </x:c>
      <x:c r="J39" s="23" t="str">
        <x:f>IF(I39="Yes",IF(AND(ISNUMBER(F39),ISNUMBER(H39)),H39-F39,"n.a."),"n.a.")</x:f>
        <x:v>n.a.</x:v>
      </x:c>
      <x:c r="K39" s="17" t="str">
        <x:f>IF(I39="Yes",IF(AND(ISNUMBER(F39),ISNUMBER(H39),F39&gt;0),H39/F39-1,"n.a."),"n.a.")</x:f>
        <x:v>n.a.</x:v>
      </x:c>
      <x:c r="L39" s="13" t="str">
        <x:f>"n.a."</x:f>
        <x:v>n.a.</x:v>
      </x:c>
      <x:c r="M39" s="6" t="str">
        <x:v>70% less drilling time in 2024 than the 2022 benchmark. 2022 is implied by the issuer’s 70% reduction to 21 days. These are selected fastest wells, not an average, and the 2026 well was substantially deeper. A flat duration can therefore coincide with improving drilling capability. Do not calculate adoption CAGR.</x:v>
      </x:c>
    </x:row>
    <x:row r="40" ht="36" hidden="0" customHeight="1">
      <x:c r="A40" s="12" t="n">
        <x:v>35</x:v>
      </x:c>
      <x:c r="B40" s="6" t="str">
        <x:v>Small modular nuclear reactors</x:v>
      </x:c>
      <x:c r="C40" s="6" t="str">
        <x:v>SMR designs assessed in the NEA dashboard</x:v>
      </x:c>
      <x:c r="D40" s="6" t="str">
        <x:v>designs</x:v>
      </x:c>
      <x:c r="E40" s="12" t="n">
        <x:f>'Observations'!D115</x:f>
        <x:v>2023</x:v>
      </x:c>
      <x:c r="F40" s="18" t="n">
        <x:f>'Observations'!E115</x:f>
        <x:v>42</x:v>
      </x:c>
      <x:c r="G40" s="12" t="n">
        <x:f>'Observations'!D118</x:f>
        <x:v>2026</x:v>
      </x:c>
      <x:c r="H40" s="18" t="n">
        <x:f>'Observations'!E118</x:f>
        <x:v>79</x:v>
      </x:c>
      <x:c r="I40" s="15" t="str">
        <x:v>No</x:v>
      </x:c>
      <x:c r="J40" s="18" t="str">
        <x:f>IF(I40="Yes",IF(AND(ISNUMBER(F40),ISNUMBER(H40)),H40-F40,"n.a."),"n.a.")</x:f>
        <x:v>n.a.</x:v>
      </x:c>
      <x:c r="K40" s="17" t="str">
        <x:f>IF(I40="Yes",IF(AND(ISNUMBER(F40),ISNUMBER(H40),F40&gt;0),H40/F40-1,"n.a."),"n.a.")</x:f>
        <x:v>n.a.</x:v>
      </x:c>
      <x:c r="L40" s="13" t="str">
        <x:f>"n.a."</x:f>
        <x:v>n.a.</x:v>
      </x:c>
      <x:c r="M40" s="6" t="str">
        <x:v>79 designs assessed; deployment remains design-specific. The assessed universe expands and eligibility changes, so the increase cannot be interpreted as deployment growth. The 2026 79-design figure is the digital dashboard snapshot; 129 designs were being tracked in its wider universe. No comparable full-year global operating SMR series was established here.</x:v>
      </x:c>
    </x:row>
    <x:row r="41" ht="36" hidden="0" customHeight="1">
      <x:c r="A41" s="12" t="n">
        <x:v>36</x:v>
      </x:c>
      <x:c r="B41" s="6" t="str">
        <x:v>High-temperature and industrial heat pumps</x:v>
      </x:c>
      <x:c r="C41" s="6" t="str">
        <x:v>Installed industrial heat-pump capacity in Japan</x:v>
      </x:c>
      <x:c r="D41" s="6" t="str">
        <x:v>MW thermal</x:v>
      </x:c>
      <x:c r="E41" s="12" t="n">
        <x:f>'Observations'!D121</x:f>
        <x:v>2024</x:v>
      </x:c>
      <x:c r="F41" s="23" t="n">
        <x:f>'Observations'!E121</x:f>
        <x:v>650</x:v>
      </x:c>
      <x:c r="G41" s="12" t="n">
        <x:f>'Observations'!D121</x:f>
        <x:v>2024</x:v>
      </x:c>
      <x:c r="H41" s="23" t="n">
        <x:f>'Observations'!E121</x:f>
        <x:v>650</x:v>
      </x:c>
      <x:c r="I41" s="15" t="str">
        <x:v>No</x:v>
      </x:c>
      <x:c r="J41" s="23" t="str">
        <x:f>IF(I41="Yes",IF(AND(ISNUMBER(F41),ISNUMBER(H41)),H41-F41,"n.a."),"n.a.")</x:f>
        <x:v>n.a.</x:v>
      </x:c>
      <x:c r="K41" s="17" t="str">
        <x:f>IF(I41="Yes",IF(AND(ISNUMBER(F41),ISNUMBER(H41),F41&gt;0),H41/F41-1,"n.a."),"n.a.")</x:f>
        <x:v>n.a.</x:v>
      </x:c>
      <x:c r="L41" s="13" t="str">
        <x:f>"n.a."</x:f>
        <x:v>n.a.</x:v>
      </x:c>
      <x:c r="M41" s="6" t="str">
        <x:v>≈650 MW in Japan in 2024; sparse annual data. Only one comparable observation within 2021–2026 was publicly established in the selected sources. The IEA/HPT commentary gives 290 MW a decade earlier, but that lies outside the requested five-year window. Do not invent annual values or infer the industrial trend from residential sales.</x:v>
      </x:c>
    </x:row>
    <x:row r="42" ht="24" hidden="0" customHeight="1">
      <x:c r="A42" s="12" t="n">
        <x:v>37</x:v>
      </x:c>
      <x:c r="B42" s="6" t="str">
        <x:v>Virtual power plants and demand flexibility</x:v>
      </x:c>
      <x:c r="C42" s="6" t="str">
        <x:v>Residential share of North American VPP wholesale-market capacity</x:v>
      </x:c>
      <x:c r="D42" s="6" t="str">
        <x:v>%</x:v>
      </x:c>
      <x:c r="E42" s="12" t="n">
        <x:f>'Observations'!D124</x:f>
        <x:v>2024</x:v>
      </x:c>
      <x:c r="F42" s="20" t="n">
        <x:f>'Observations'!E124</x:f>
        <x:v>8.8</x:v>
      </x:c>
      <x:c r="G42" s="12" t="n">
        <x:f>'Observations'!D125</x:f>
        <x:v>2025</x:v>
      </x:c>
      <x:c r="H42" s="20" t="n">
        <x:f>'Observations'!E125</x:f>
        <x:v>10.2</x:v>
      </x:c>
      <x:c r="I42" s="15" t="str">
        <x:v>No</x:v>
      </x:c>
      <x:c r="J42" s="20" t="str">
        <x:f>IF(I42="Yes",IF(AND(ISNUMBER(F42),ISNUMBER(H42)),H42-F42,"n.a."),"n.a.")</x:f>
        <x:v>n.a.</x:v>
      </x:c>
      <x:c r="K42" s="17" t="str">
        <x:f>"n.a."</x:f>
        <x:v>n.a.</x:v>
      </x:c>
      <x:c r="L42" s="13" t="str">
        <x:f>IF(I42="Yes",IF(AND(ISNUMBER(F42),ISNUMBER(H42)),H42-F42,"n.a."),"n.a.")</x:f>
        <x:v>n.a.</x:v>
      </x:c>
      <x:c r="M42" s="6" t="str">
        <x:v>+1.4 percentage points residential share; total capacity +13.7%. Changes in surveyed coverage and market participation can affect the share. Show percentage-point change, not CAGR. Total surveyed VPP capacity in 2025 was 37.5 GW, up 13.7%.</x:v>
      </x:c>
    </x:row>
    <x:row r="43" ht="36" hidden="0" customHeight="1">
      <x:c r="A43" s="12" t="n">
        <x:v>38</x:v>
      </x:c>
      <x:c r="B43" s="6" t="str">
        <x:v>Advanced transmission and grid-enhancing technologies</x:v>
      </x:c>
      <x:c r="C43" s="6" t="str">
        <x:v>Cumulative CTC Global ACCC conductor deployed</x:v>
      </x:c>
      <x:c r="D43" s="6" t="str">
        <x:v>thousand km</x:v>
      </x:c>
      <x:c r="E43" s="12" t="n">
        <x:f>'Observations'!D128</x:f>
        <x:v>2024</x:v>
      </x:c>
      <x:c r="F43" s="22" t="n">
        <x:f>'Observations'!E128</x:f>
        <x:v>175</x:v>
      </x:c>
      <x:c r="G43" s="12" t="n">
        <x:f>'Observations'!D129</x:f>
        <x:v>2025</x:v>
      </x:c>
      <x:c r="H43" s="22" t="n">
        <x:f>'Observations'!E129</x:f>
        <x:v>185</x:v>
      </x:c>
      <x:c r="I43" s="15" t="str">
        <x:v>No</x:v>
      </x:c>
      <x:c r="J43" s="23" t="str">
        <x:f>IF(I43="Yes",IF(AND(ISNUMBER(F43),ISNUMBER(H43)),H43-F43,"n.a."),"n.a.")</x:f>
        <x:v>n.a.</x:v>
      </x:c>
      <x:c r="K43" s="17" t="str">
        <x:f>IF(I43="Yes",IF(AND(ISNUMBER(F43),ISNUMBER(H43),F43&gt;0),H43/F43-1,"n.a."),"n.a.")</x:f>
        <x:v>n.a.</x:v>
      </x:c>
      <x:c r="L43" s="13" t="str">
        <x:f>"n.a."</x:f>
        <x:v>n.a.</x:v>
      </x:c>
      <x:c r="M43" s="6" t="str">
        <x:v>Reported installed conductor rose from &gt;175,000 to &gt;185,000 km. These are cumulative vendor-reported lower bounds with different observation dates, not annual sales or an independent census. Conductor kilometres are not equivalent to route kilometres or added grid MW. Dynamic line ratings and power-flow controllers are excluded.</x:v>
      </x:c>
    </x:row>
    <x:row r="44" ht="24" hidden="0" customHeight="1">
      <x:c r="A44" s="12" t="n">
        <x:v>39</x:v>
      </x:c>
      <x:c r="B44" s="6" t="str">
        <x:v>Smart and bidirectional EV charging</x:v>
      </x:c>
      <x:c r="C44" s="6" t="str">
        <x:v>Public EV charging points in China: addressable-base proxy</x:v>
      </x:c>
      <x:c r="D44" s="6" t="str">
        <x:v>million points</x:v>
      </x:c>
      <x:c r="E44" s="12" t="n">
        <x:f>'Observations'!D130</x:f>
        <x:v>2024</x:v>
      </x:c>
      <x:c r="F44" s="24" t="n">
        <x:f>'Observations'!E130</x:f>
        <x:v>3.4</x:v>
      </x:c>
      <x:c r="G44" s="12" t="n">
        <x:f>'Observations'!D131</x:f>
        <x:v>2025</x:v>
      </x:c>
      <x:c r="H44" s="24" t="n">
        <x:f>'Observations'!E131</x:f>
        <x:v>4.7</x:v>
      </x:c>
      <x:c r="I44" s="15" t="str">
        <x:v>Yes</x:v>
      </x:c>
      <x:c r="J44" s="24" t="n">
        <x:f>IF(I44="Yes",IF(AND(ISNUMBER(F44),ISNUMBER(H44)),H44-F44,"n.a."),"n.a.")</x:f>
        <x:v>1.3000000000000003</x:v>
      </x:c>
      <x:c r="K44" s="17" t="n">
        <x:f>IF(I44="Yes",IF(AND(ISNUMBER(F44),ISNUMBER(H44),F44&gt;0),H44/F44-1,"n.a."),"n.a.")</x:f>
        <x:v>0.3823529411764708</x:v>
      </x:c>
      <x:c r="L44" s="13" t="str">
        <x:f>"n.a."</x:f>
        <x:v>n.a.</x:v>
      </x:c>
      <x:c r="M44" s="6" t="str">
        <x:v>Public charging proxy: ≈3.4m → &gt;4.7m points in 2024–2025. The proxy measures the broader charging ecosystem. Public sites often differ from the home/workplace locations best suited to bidirectional service. Do not read the historical or future line as smart-charging penetration.</x:v>
      </x:c>
    </x:row>
    <x:row r="45" ht="24" hidden="0" customHeight="1">
      <x:c r="A45" s="12" t="n">
        <x:v>40</x:v>
      </x:c>
      <x:c r="B45" s="6" t="str">
        <x:v>Battery recycling and materials recovery</x:v>
      </x:c>
      <x:c r="C45" s="6" t="str">
        <x:v>Global lithium-ion battery recycling capacity index</x:v>
      </x:c>
      <x:c r="D45" s="6" t="str">
        <x:v>index (2022 = 100)</x:v>
      </x:c>
      <x:c r="E45" s="12" t="n">
        <x:f>'Observations'!D133</x:f>
        <x:v>2022</x:v>
      </x:c>
      <x:c r="F45" s="18" t="n">
        <x:f>'Observations'!E133</x:f>
        <x:v>100</x:v>
      </x:c>
      <x:c r="G45" s="12" t="n">
        <x:f>'Observations'!D134</x:f>
        <x:v>2023</x:v>
      </x:c>
      <x:c r="H45" s="18" t="n">
        <x:f>'Observations'!E134</x:f>
        <x:v>150</x:v>
      </x:c>
      <x:c r="I45" s="15" t="str">
        <x:v>No</x:v>
      </x:c>
      <x:c r="J45" s="18" t="str">
        <x:f>IF(I45="Yes",IF(AND(ISNUMBER(F45),ISNUMBER(H45)),H45-F45,"n.a."),"n.a.")</x:f>
        <x:v>n.a.</x:v>
      </x:c>
      <x:c r="K45" s="17" t="str">
        <x:f>IF(I45="Yes",IF(AND(ISNUMBER(F45),ISNUMBER(H45),F45&gt;0),H45/F45-1,"n.a."),"n.a.")</x:f>
        <x:v>n.a.</x:v>
      </x:c>
      <x:c r="L45" s="13" t="str">
        <x:f>"n.a."</x:f>
        <x:v>n.a.</x:v>
      </x:c>
      <x:c r="M45" s="6" t="str">
        <x:v>Installed recycling capacity +50% in 2023 (IEA). The index preserves the published growth rate without inventing absolute tonnage. Capacity is not throughput, recovered output, revenue or utilisation. No comparable annual 2024–2026 global throughput series was established.</x:v>
      </x:c>
    </x:row>
    <x:row r="46" ht="24" hidden="0" customHeight="1">
      <x:c r="A46" s="12" t="n">
        <x:v>41</x:v>
      </x:c>
      <x:c r="B46" s="6" t="str">
        <x:v>Low-emissions hydrogen and electrolyzers</x:v>
      </x:c>
      <x:c r="C46" s="6" t="str">
        <x:v>Announced 2030 low-emissions hydrogen production pipeline</x:v>
      </x:c>
      <x:c r="D46" s="6" t="str">
        <x:v>Mt/year</x:v>
      </x:c>
      <x:c r="E46" s="12" t="n">
        <x:f>'Observations'!D136</x:f>
        <x:v>2024</x:v>
      </x:c>
      <x:c r="F46" s="18" t="n">
        <x:f>'Observations'!E136</x:f>
        <x:v>49</x:v>
      </x:c>
      <x:c r="G46" s="12" t="n">
        <x:f>'Observations'!D138</x:f>
        <x:v>2026</x:v>
      </x:c>
      <x:c r="H46" s="18" t="n">
        <x:f>'Observations'!E138</x:f>
        <x:v>27</x:v>
      </x:c>
      <x:c r="I46" s="15" t="str">
        <x:v>No</x:v>
      </x:c>
      <x:c r="J46" s="18" t="str">
        <x:f>IF(I46="Yes",IF(AND(ISNUMBER(F46),ISNUMBER(H46)),H46-F46,"n.a."),"n.a.")</x:f>
        <x:v>n.a.</x:v>
      </x:c>
      <x:c r="K46" s="17" t="str">
        <x:f>IF(I46="Yes",IF(AND(ISNUMBER(F46),ISNUMBER(H46),F46&gt;0),H46/F46-1,"n.a."),"n.a.")</x:f>
        <x:v>n.a.</x:v>
      </x:c>
      <x:c r="L46" s="13" t="str">
        <x:f>"n.a."</x:f>
        <x:v>n.a.</x:v>
      </x:c>
      <x:c r="M46" s="6" t="str">
        <x:v>2030 announced pipeline revised 49 → 37 → 27 Mt/year. The series shows revisions to projects intended for the same future year. It must not be displayed as realised production or extrapolated as a declining production curve. Actual low-emissions output rose 20% in 2025 to almost 1 Mt.</x:v>
      </x:c>
    </x:row>
    <x:row r="47" ht="36" hidden="0" customHeight="1">
      <x:c r="A47" s="12" t="n">
        <x:v>42</x:v>
      </x:c>
      <x:c r="B47" s="6" t="str">
        <x:v>Industrial carbon capture and storage</x:v>
      </x:c>
      <x:c r="C47" s="6" t="str">
        <x:v>Operating commercial CCS facilities</x:v>
      </x:c>
      <x:c r="D47" s="6" t="str">
        <x:v>facilities</x:v>
      </x:c>
      <x:c r="E47" s="12" t="n">
        <x:f>'Observations'!D140</x:f>
        <x:v>2024</x:v>
      </x:c>
      <x:c r="F47" s="18" t="n">
        <x:f>'Observations'!E140</x:f>
        <x:v>50</x:v>
      </x:c>
      <x:c r="G47" s="12" t="n">
        <x:f>'Observations'!D141</x:f>
        <x:v>2025</x:v>
      </x:c>
      <x:c r="H47" s="18" t="n">
        <x:f>'Observations'!E141</x:f>
        <x:v>77</x:v>
      </x:c>
      <x:c r="I47" s="15" t="str">
        <x:v>Yes</x:v>
      </x:c>
      <x:c r="J47" s="18" t="n">
        <x:f>IF(I47="Yes",IF(AND(ISNUMBER(F47),ISNUMBER(H47)),H47-F47,"n.a."),"n.a.")</x:f>
        <x:v>27</x:v>
      </x:c>
      <x:c r="K47" s="17" t="n">
        <x:f>IF(I47="Yes",IF(AND(ISNUMBER(F47),ISNUMBER(H47),F47&gt;0),H47/F47-1,"n.a."),"n.a.")</x:f>
        <x:v>0.54</x:v>
      </x:c>
      <x:c r="L47" s="13" t="str">
        <x:f>"n.a."</x:f>
        <x:v>n.a.</x:v>
      </x:c>
      <x:c r="M47" s="6" t="str">
        <x:v>+54% operating facilities in the 2025 assessment. Facility counts do not measure tonnes captured, permanent storage or utilisation. The Institute’s broader development pipeline is not operating capacity, and its definitions differ from other CCUS databases. The 2025 report’s total 513 Mt/year pipeline must not be represented as actual capture.</x:v>
      </x:c>
    </x:row>
    <x:row r="48" ht="36" hidden="0" customHeight="1">
      <x:c r="A48" s="12" t="n">
        <x:v>43</x:v>
      </x:c>
      <x:c r="B48" s="6" t="str">
        <x:v>Low-carbon cement and concrete</x:v>
      </x:c>
      <x:c r="C48" s="6" t="str">
        <x:v>Cumulative CarbonCure concrete produced</x:v>
      </x:c>
      <x:c r="D48" s="6" t="str">
        <x:v>million cubic yards</x:v>
      </x:c>
      <x:c r="E48" s="12" t="n">
        <x:f>'Observations'!D142</x:f>
        <x:v>2024</x:v>
      </x:c>
      <x:c r="F48" s="18" t="n">
        <x:f>'Observations'!E142</x:f>
        <x:v>50</x:v>
      </x:c>
      <x:c r="G48" s="12" t="n">
        <x:f>'Observations'!D143</x:f>
        <x:v>2025</x:v>
      </x:c>
      <x:c r="H48" s="27" t="n">
        <x:f>'Observations'!E143</x:f>
        <x:v>83.6</x:v>
      </x:c>
      <x:c r="I48" s="15" t="str">
        <x:v>No</x:v>
      </x:c>
      <x:c r="J48" s="24" t="str">
        <x:f>IF(I48="Yes",IF(AND(ISNUMBER(F48),ISNUMBER(H48)),H48-F48,"n.a."),"n.a.")</x:f>
        <x:v>n.a.</x:v>
      </x:c>
      <x:c r="K48" s="17" t="str">
        <x:f>IF(I48="Yes",IF(AND(ISNUMBER(F48),ISNUMBER(H48),F48&gt;0),H48/F48-1,"n.a."),"n.a.")</x:f>
        <x:v>n.a.</x:v>
      </x:c>
      <x:c r="L48" s="13" t="str">
        <x:f>"n.a."</x:f>
        <x:v>n.a.</x:v>
      </x:c>
      <x:c r="M48" s="6" t="str">
        <x:v>Cumulative company proxy: 50m → &gt;83.6m yd³. Cumulative volume cannot be treated as annual output or global market share. CarbonCure’s CO₂-injection and cement-efficiency approach represents only one technology. Volume does not directly equal tonnes of emissions avoided, and the observation periods are not full calendar years.</x:v>
      </x:c>
    </x:row>
    <x:row r="49" ht="24" hidden="0" customHeight="1">
      <x:c r="A49" s="12" t="n">
        <x:v>44</x:v>
      </x:c>
      <x:c r="B49" s="6" t="str">
        <x:v>Sustainable aviation fuels</x:v>
      </x:c>
      <x:c r="C49" s="6" t="str">
        <x:v>Global SAF production</x:v>
      </x:c>
      <x:c r="D49" s="6" t="str">
        <x:v>million tonnes/year</x:v>
      </x:c>
      <x:c r="E49" s="12" t="n">
        <x:f>'Observations'!D144</x:f>
        <x:v>2023</x:v>
      </x:c>
      <x:c r="F49" s="20" t="n">
        <x:f>'Observations'!E144</x:f>
        <x:v>0.5</x:v>
      </x:c>
      <x:c r="G49" s="12" t="n">
        <x:f>'Observations'!D146</x:f>
        <x:v>2025</x:v>
      </x:c>
      <x:c r="H49" s="20" t="n">
        <x:f>'Observations'!E146</x:f>
        <x:v>1.9</x:v>
      </x:c>
      <x:c r="I49" s="15" t="str">
        <x:v>Yes</x:v>
      </x:c>
      <x:c r="J49" s="20" t="n">
        <x:f>IF(I49="Yes",IF(AND(ISNUMBER(F49),ISNUMBER(H49)),H49-F49,"n.a."),"n.a.")</x:f>
        <x:v>1.4</x:v>
      </x:c>
      <x:c r="K49" s="17" t="n">
        <x:f>IF(I49="Yes",IF(AND(ISNUMBER(F49),ISNUMBER(H49),F49&gt;0),H49/F49-1,"n.a."),"n.a.")</x:f>
        <x:v>2.8</x:v>
      </x:c>
      <x:c r="L49" s="13" t="str">
        <x:f>"n.a."</x:f>
        <x:v>n.a.</x:v>
      </x:c>
      <x:c r="M49" s="6" t="str">
        <x:v>IATA estimates: 0.5 → 1.0 → 1.9 Mt in 2023–2025. Historical estimates can be revised. Production is not the same as the total jet-fuel share or lifecycle emissions avoided. The 2026 observation remains a forecast at the October cutoff.</x:v>
      </x:c>
    </x:row>
    <x:row r="50" ht="36" hidden="0" customHeight="1">
      <x:c r="A50" s="12" t="n">
        <x:v>45</x:v>
      </x:c>
      <x:c r="B50" s="6" t="str">
        <x:v>Additive manufacturing for end-use production</x:v>
      </x:c>
      <x:c r="C50" s="6" t="str">
        <x:v>Global additive-manufacturing industry revenue</x:v>
      </x:c>
      <x:c r="D50" s="6" t="str">
        <x:v>US$ billion/year</x:v>
      </x:c>
      <x:c r="E50" s="12" t="n">
        <x:f>'Observations'!D150</x:f>
        <x:v>2023</x:v>
      </x:c>
      <x:c r="F50" s="21" t="n">
        <x:f>'Observations'!E150</x:f>
        <x:v>20.035</x:v>
      </x:c>
      <x:c r="G50" s="12" t="n">
        <x:f>'Observations'!D151</x:f>
        <x:v>2025</x:v>
      </x:c>
      <x:c r="H50" s="20" t="n">
        <x:f>'Observations'!E151</x:f>
        <x:v>24.2</x:v>
      </x:c>
      <x:c r="I50" s="15" t="str">
        <x:v>No</x:v>
      </x:c>
      <x:c r="J50" s="21" t="str">
        <x:f>IF(I50="Yes",IF(AND(ISNUMBER(F50),ISNUMBER(H50)),H50-F50,"n.a."),"n.a.")</x:f>
        <x:v>n.a.</x:v>
      </x:c>
      <x:c r="K50" s="17" t="str">
        <x:f>IF(I50="Yes",IF(AND(ISNUMBER(F50),ISNUMBER(H50),F50&gt;0),H50/F50-1,"n.a."),"n.a.")</x:f>
        <x:v>n.a.</x:v>
      </x:c>
      <x:c r="L50" s="13" t="str">
        <x:f>"n.a."</x:f>
        <x:v>n.a.</x:v>
      </x:c>
      <x:c r="M50" s="6" t="str">
        <x:v>2025 total AM revenue +10.9%; end-use subset not separately measured. Nominal revenue is affected by prices, reporting coverage and product mix. It is not the value of end-use parts alone or a share of total manufacturing. No intermediate value is interpolated. Prefer the report’s stated 10.9% 2025 growth when discussing that single year.</x:v>
      </x:c>
    </x:row>
    <x:row r="51" ht="36" hidden="0" customHeight="1">
      <x:c r="A51" s="12" t="n">
        <x:v>46</x:v>
      </x:c>
      <x:c r="B51" s="6" t="str">
        <x:v>Verifiable digital identity wallets</x:v>
      </x:c>
      <x:c r="C51" s="6" t="str">
        <x:v>Italy Documenti su IO uptake</x:v>
      </x:c>
      <x:c r="D51" s="6" t="str">
        <x:v>million users / activations</x:v>
      </x:c>
      <x:c r="E51" s="12" t="n">
        <x:f>'Observations'!D152</x:f>
        <x:v>2025</x:v>
      </x:c>
      <x:c r="F51" s="27" t="n">
        <x:f>'Observations'!E152</x:f>
        <x:v>5.3</x:v>
      </x:c>
      <x:c r="G51" s="12" t="n">
        <x:f>'Observations'!D153</x:f>
        <x:v>2026</x:v>
      </x:c>
      <x:c r="H51" s="22" t="n">
        <x:f>'Observations'!E153</x:f>
        <x:v>10</x:v>
      </x:c>
      <x:c r="I51" s="15" t="str">
        <x:v>No</x:v>
      </x:c>
      <x:c r="J51" s="24" t="str">
        <x:f>IF(I51="Yes",IF(AND(ISNUMBER(F51),ISNUMBER(H51)),H51-F51,"n.a."),"n.a.")</x:f>
        <x:v>n.a.</x:v>
      </x:c>
      <x:c r="K51" s="17" t="str">
        <x:f>IF(I51="Yes",IF(AND(ISNUMBER(F51),ISNUMBER(H51),F51&gt;0),H51/F51-1,"n.a."),"n.a.")</x:f>
        <x:v>n.a.</x:v>
      </x:c>
      <x:c r="L51" s="13" t="str">
        <x:f>"n.a."</x:f>
        <x:v>n.a.</x:v>
      </x:c>
      <x:c r="M51" s="6" t="str">
        <x:v>National service: &gt;5.3m users → &gt;10m activations; definitions differ. The releases use different labels: unique active users since launch versus activations. Neither is a monthly-active-user count. The service initially supports specific national documents and is not a measure of complete cross-border EU wallet adoption. No CAGR is appropriate.</x:v>
      </x:c>
    </x:row>
    <x:row r="52" ht="36" hidden="0" customHeight="1">
      <x:c r="A52" s="12" t="n">
        <x:v>47</x:v>
      </x:c>
      <x:c r="B52" s="6" t="str">
        <x:v>Tokenized real-world assets</x:v>
      </x:c>
      <x:c r="C52" s="6" t="str">
        <x:v>Tokenized RWA market capitalization, excluding stablecoins</x:v>
      </x:c>
      <x:c r="D52" s="6" t="str">
        <x:v>US$ billion</x:v>
      </x:c>
      <x:c r="E52" s="12" t="n">
        <x:f>'Observations'!D154</x:f>
        <x:v>2025</x:v>
      </x:c>
      <x:c r="F52" s="26" t="n">
        <x:f>'Observations'!E154</x:f>
        <x:v>5.42</x:v>
      </x:c>
      <x:c r="G52" s="12" t="n">
        <x:f>'Observations'!D155</x:f>
        <x:v>2026</x:v>
      </x:c>
      <x:c r="H52" s="26" t="n">
        <x:f>'Observations'!E155</x:f>
        <x:v>19.32</x:v>
      </x:c>
      <x:c r="I52" s="15" t="str">
        <x:v>No</x:v>
      </x:c>
      <x:c r="J52" s="20" t="str">
        <x:f>IF(I52="Yes",IF(AND(ISNUMBER(F52),ISNUMBER(H52)),H52-F52,"n.a."),"n.a.")</x:f>
        <x:v>n.a.</x:v>
      </x:c>
      <x:c r="K52" s="17" t="str">
        <x:f>IF(I52="Yes",IF(AND(ISNUMBER(F52),ISNUMBER(H52),F52&gt;0),H52/F52-1,"n.a."),"n.a.")</x:f>
        <x:v>n.a.</x:v>
      </x:c>
      <x:c r="L52" s="13" t="str">
        <x:f>"n.a."</x:f>
        <x:v>n.a.</x:v>
      </x:c>
      <x:c r="M52" s="6" t="str">
        <x:v>+256.7% in the covered universe over 15 months (CoinGecko). A 15-month point-in-time comparison, not full-year growth. Coverage differs from RWA.xyz and bank forecasts. Asset prices, new listings and issuance affect the total. Tokenized derivatives trading volume is excluded and is not interchangeable with backed asset value.</x:v>
      </x:c>
    </x:row>
    <x:row r="53" ht="36" hidden="0" customHeight="1">
      <x:c r="A53" s="12" t="n">
        <x:v>48</x:v>
      </x:c>
      <x:c r="B53" s="6" t="str">
        <x:v>Regulated stablecoin payment rails</x:v>
      </x:c>
      <x:c r="C53" s="6" t="str">
        <x:v>USDC in circulation</x:v>
      </x:c>
      <x:c r="D53" s="6" t="str">
        <x:v>US$ billion</x:v>
      </x:c>
      <x:c r="E53" s="12" t="n">
        <x:f>'Observations'!D158</x:f>
        <x:v>2022</x:v>
      </x:c>
      <x:c r="F53" s="21" t="n">
        <x:f>'Observations'!E158</x:f>
        <x:v>44.554</x:v>
      </x:c>
      <x:c r="G53" s="12" t="n">
        <x:f>'Observations'!D162</x:f>
        <x:v>2026</x:v>
      </x:c>
      <x:c r="H53" s="20" t="n">
        <x:f>'Observations'!E162</x:f>
        <x:v>73.3</x:v>
      </x:c>
      <x:c r="I53" s="15" t="str">
        <x:v>No</x:v>
      </x:c>
      <x:c r="J53" s="21" t="str">
        <x:f>IF(I53="Yes",IF(AND(ISNUMBER(F53),ISNUMBER(H53)),H53-F53,"n.a."),"n.a.")</x:f>
        <x:v>n.a.</x:v>
      </x:c>
      <x:c r="K53" s="17" t="str">
        <x:f>IF(I53="Yes",IF(AND(ISNUMBER(F53),ISNUMBER(H53),F53&gt;0),H53/F53-1,"n.a."),"n.a.")</x:f>
        <x:v>n.a.</x:v>
      </x:c>
      <x:c r="L53" s="13" t="str">
        <x:f>"n.a."</x:f>
        <x:v>n.a.</x:v>
      </x:c>
      <x:c r="M53" s="6" t="str">
        <x:v>USDC $75.3bn at end-2025; $73.3bn at June 2026. 2022–2025 are year-end stocks; the 2026 point is June 30. Do not label it full-year 2026 or compare mismatched periods as annual growth. Supply is not real-economy payment throughput. Onchain volume includes trading, transfers and potentially repeated movement of the same funds.</x:v>
      </x:c>
    </x:row>
    <x:row r="54" ht="24" hidden="0" customHeight="1">
      <x:c r="A54" s="12" t="n">
        <x:v>49</x:v>
      </x:c>
      <x:c r="B54" s="6" t="str">
        <x:v>Earth-observation analytics</x:v>
      </x:c>
      <x:c r="C54" s="6" t="str">
        <x:v>Planet Labs annual revenue: company demand proxy</x:v>
      </x:c>
      <x:c r="D54" s="6" t="str">
        <x:v>US$ million/fiscal year</x:v>
      </x:c>
      <x:c r="E54" s="12" t="n">
        <x:f>'Observations'!D165</x:f>
        <x:v>2021</x:v>
      </x:c>
      <x:c r="F54" s="21" t="n">
        <x:f>'Observations'!E165</x:f>
        <x:v>113.168</x:v>
      </x:c>
      <x:c r="G54" s="12" t="n">
        <x:f>'Observations'!D170</x:f>
        <x:v>2026</x:v>
      </x:c>
      <x:c r="H54" s="21" t="n">
        <x:f>'Observations'!E170</x:f>
        <x:v>307.727</x:v>
      </x:c>
      <x:c r="I54" s="15" t="str">
        <x:v>Yes</x:v>
      </x:c>
      <x:c r="J54" s="21" t="n">
        <x:f>IF(I54="Yes",IF(AND(ISNUMBER(F54),ISNUMBER(H54)),H54-F54,"n.a."),"n.a.")</x:f>
        <x:v>194.55899999999997</x:v>
      </x:c>
      <x:c r="K54" s="17" t="n">
        <x:f>IF(I54="Yes",IF(AND(ISNUMBER(F54),ISNUMBER(H54),F54&gt;0),H54/F54-1,"n.a."),"n.a.")</x:f>
        <x:v>1.7192050756397563</x:v>
      </x:c>
      <x:c r="L54" s="13" t="str">
        <x:f>"n.a."</x:f>
        <x:v>n.a.</x:v>
      </x:c>
      <x:c r="M54" s="6" t="str">
        <x:v>Planet revenue +26% in FY2026; full five-year issuer series. One company, nominal revenue and a changing product mix; not global analytics revenue or adoption. FY2026 is a completed fiscal year ending January 2026. Government and satellite-service contracts may affect growth independently of commercial analytics adoption.</x:v>
      </x:c>
    </x:row>
    <x:row r="55" ht="36" hidden="0" customHeight="1">
      <x:c r="A55" s="12" t="n">
        <x:v>50</x:v>
      </x:c>
      <x:c r="B55" s="6" t="str">
        <x:v>Advanced desalination and water reuse</x:v>
      </x:c>
      <x:c r="C55" s="6" t="str">
        <x:v>Orange County GWRS design treatment capacity</x:v>
      </x:c>
      <x:c r="D55" s="6" t="str">
        <x:v>million US gallons/day</x:v>
      </x:c>
      <x:c r="E55" s="12" t="n">
        <x:f>'Observations'!D173</x:f>
        <x:v>2021</x:v>
      </x:c>
      <x:c r="F55" s="18" t="n">
        <x:f>'Observations'!E173</x:f>
        <x:v>100</x:v>
      </x:c>
      <x:c r="G55" s="12" t="n">
        <x:f>'Observations'!D175</x:f>
        <x:v>2026</x:v>
      </x:c>
      <x:c r="H55" s="18" t="n">
        <x:f>'Observations'!E175</x:f>
        <x:v>130</x:v>
      </x:c>
      <x:c r="I55" s="15" t="str">
        <x:v>No</x:v>
      </x:c>
      <x:c r="J55" s="18" t="str">
        <x:f>IF(I55="Yes",IF(AND(ISNUMBER(F55),ISNUMBER(H55)),H55-F55,"n.a."),"n.a.")</x:f>
        <x:v>n.a.</x:v>
      </x:c>
      <x:c r="K55" s="17" t="str">
        <x:f>IF(I55="Yes",IF(AND(ISNUMBER(F55),ISNUMBER(H55),F55&gt;0),H55/F55-1,"n.a."),"n.a.")</x:f>
        <x:v>n.a.</x:v>
      </x:c>
      <x:c r="L55" s="13" t="str">
        <x:f>"n.a."</x:f>
        <x:v>n.a.</x:v>
      </x:c>
      <x:c r="M55" s="6" t="str">
        <x:v>Representative reuse plant: 100 → 130 MGD capacity in 2023. This is nameplate capacity at one facility, not its daily realised output or the size of the global reuse/desalination market. The 2021 value reflects the 100 MGD expansion completed in 2015, which remained in place until the 2023 expansion. It does not imply annual measured production.</x:v>
      </x:c>
    </x:row>
  </x:sheetData>
  <x:pageMargins left="0.7" right="0.7" top="0.75" bottom="0.75" header="0.3" footer="0.3"/>
  <x:tableParts count="1">
    <x:tablePart xmlns:r="http://schemas.openxmlformats.org/officeDocument/2006/relationships" r:id="Rc9ec22a52e874bf1"/>
  </x:tableParts>
</x:worksheet>
</file>

<file path=xl/worksheets/sheet3.xml><?xml version="1.0" encoding="utf-8"?>
<x:worksheet xmlns:x="http://schemas.openxmlformats.org/spreadsheetml/2006/main">
  <x:sheetPr>
    <x:tabColor rgb="FF7F9C66"/>
  </x:sheetPr>
  <x:sheetViews>
    <x:sheetView showGridLines="0" workbookViewId="0">
      <x:pane xSplit="2" ySplit="5" topLeftCell="C6" activePane="bottomRight" state="frozen"/>
    </x:sheetView>
  </x:sheetViews>
  <x:sheetFormatPr defaultRowHeight="15"/>
  <x:cols>
    <x:col min="1" max="1" width="6" hidden="0" customWidth="1"/>
    <x:col min="2" max="2" width="43" hidden="0" customWidth="1"/>
    <x:col min="3" max="3" width="24" hidden="0" customWidth="1"/>
    <x:col min="4" max="4" width="9" hidden="0" customWidth="1"/>
    <x:col min="5" max="5" width="9" hidden="0" customWidth="1"/>
    <x:col min="6" max="6" width="9" hidden="0" customWidth="1"/>
    <x:col min="7" max="7" width="9" hidden="0" customWidth="1"/>
    <x:col min="8" max="8" width="9" hidden="0" customWidth="1"/>
    <x:col min="9" max="9" width="9" hidden="0" customWidth="1"/>
    <x:col min="10" max="10" width="9" hidden="0" customWidth="1"/>
    <x:col min="11" max="11" width="9" hidden="0" customWidth="1"/>
    <x:col min="12" max="12" width="9" hidden="0" customWidth="1"/>
    <x:col min="13" max="13" width="9" hidden="0" customWidth="1"/>
    <x:col min="14" max="14" width="14" hidden="0" customWidth="1"/>
    <x:col min="15" max="15" width="13" hidden="0" customWidth="1"/>
    <x:col min="16" max="16" width="115" hidden="0" customWidth="1"/>
  </x:cols>
  <x:sheetData>
    <x:row r="1" ht="15" hidden="0" customHeight="1">
      <x:c r="A1" s="2"/>
      <x:c r="B1" s="2"/>
      <x:c r="C1" s="2"/>
      <x:c r="D1" s="2"/>
      <x:c r="E1" s="2"/>
      <x:c r="F1" s="2"/>
      <x:c r="G1" s="2"/>
      <x:c r="H1" s="2"/>
      <x:c r="I1" s="2"/>
      <x:c r="J1" s="2"/>
      <x:c r="K1" s="2"/>
      <x:c r="L1" s="2"/>
      <x:c r="M1" s="2"/>
      <x:c r="N1" s="2"/>
      <x:c r="O1" s="2"/>
      <x:c r="P1" s="2"/>
    </x:row>
    <x:row r="2" ht="28" hidden="0" customHeight="1">
      <x:c r="A2" s="3" t="str">
        <x:v>Deployment maturity: history and outlook</x:v>
      </x:c>
      <x:c r="B2" s="2"/>
      <x:c r="C2" s="2"/>
      <x:c r="D2" s="2"/>
      <x:c r="E2" s="2"/>
      <x:c r="F2" s="2"/>
      <x:c r="G2" s="2"/>
      <x:c r="H2" s="2"/>
      <x:c r="I2" s="2"/>
      <x:c r="J2" s="2"/>
      <x:c r="K2" s="2"/>
      <x:c r="L2" s="2"/>
      <x:c r="M2" s="2"/>
      <x:c r="N2" s="2"/>
      <x:c r="O2" s="2"/>
      <x:c r="P2" s="2"/>
    </x:row>
    <x:row r="3" ht="25" hidden="0" customHeight="1">
      <x:c r="A3" s="4" t="str">
        <x:v>Ordinal analyst assessments. 0 Research; 1 Proof of concept; 2 Pilots; 3 Commercial niche; 4 Routine use; 5 Established. 2028 onward = scenario.</x:v>
      </x:c>
      <x:c r="B3" s="2"/>
      <x:c r="C3" s="2"/>
      <x:c r="D3" s="2"/>
      <x:c r="E3" s="2"/>
      <x:c r="F3" s="2"/>
      <x:c r="G3" s="2"/>
      <x:c r="H3" s="2"/>
      <x:c r="I3" s="2"/>
      <x:c r="J3" s="2"/>
      <x:c r="K3" s="2"/>
      <x:c r="L3" s="2"/>
      <x:c r="M3" s="2"/>
      <x:c r="N3" s="2"/>
      <x:c r="O3" s="2"/>
      <x:c r="P3" s="2"/>
    </x:row>
    <x:row r="4" ht="15" hidden="0" customHeight="1">
      <x:c r="A4" s="2"/>
      <x:c r="B4" s="2"/>
      <x:c r="C4" s="2"/>
      <x:c r="D4" s="2"/>
      <x:c r="E4" s="2"/>
      <x:c r="F4" s="2"/>
      <x:c r="G4" s="2"/>
      <x:c r="H4" s="2"/>
      <x:c r="I4" s="2"/>
      <x:c r="J4" s="2"/>
      <x:c r="K4" s="2"/>
      <x:c r="L4" s="2"/>
      <x:c r="M4" s="2"/>
      <x:c r="N4" s="2"/>
      <x:c r="O4" s="2"/>
      <x:c r="P4" s="2"/>
    </x:row>
    <x:row r="5" ht="36" hidden="0" customHeight="1">
      <x:c r="A5" s="11" t="str">
        <x:v>ID</x:v>
      </x:c>
      <x:c r="B5" s="11" t="str">
        <x:v>Technology</x:v>
      </x:c>
      <x:c r="C5" s="11" t="str">
        <x:v>Sector</x:v>
      </x:c>
      <x:c r="D5" s="11" t="str">
        <x:v>2021</x:v>
      </x:c>
      <x:c r="E5" s="11" t="str">
        <x:v>2022</x:v>
      </x:c>
      <x:c r="F5" s="11" t="str">
        <x:v>2023</x:v>
      </x:c>
      <x:c r="G5" s="11" t="str">
        <x:v>2024</x:v>
      </x:c>
      <x:c r="H5" s="11" t="str">
        <x:v>2025</x:v>
      </x:c>
      <x:c r="I5" s="11" t="str">
        <x:v>2026</x:v>
      </x:c>
      <x:c r="J5" s="14" t="str">
        <x:v>2028</x:v>
      </x:c>
      <x:c r="K5" s="14" t="str">
        <x:v>2030</x:v>
      </x:c>
      <x:c r="L5" s="14" t="str">
        <x:v>2032</x:v>
      </x:c>
      <x:c r="M5" s="14" t="str">
        <x:v>2035</x:v>
      </x:c>
      <x:c r="N5" s="11" t="str">
        <x:v>Mainstream year</x:v>
      </x:c>
      <x:c r="O5" s="11" t="str">
        <x:v>Confidence</x:v>
      </x:c>
      <x:c r="P5" s="11" t="str">
        <x:v>Rationale / conditions</x:v>
      </x:c>
    </x:row>
    <x:row r="6" ht="36" hidden="0" customHeight="1">
      <x:c r="A6" s="12" t="n">
        <x:v>1</x:v>
      </x:c>
      <x:c r="B6" s="6" t="str">
        <x:v>AI agents and workflow automation</x:v>
      </x:c>
      <x:c r="C6" s="6" t="str">
        <x:v>Intelligence</x:v>
      </x:c>
      <x:c r="D6" s="13" t="n">
        <x:v>1</x:v>
      </x:c>
      <x:c r="E6" s="13" t="n">
        <x:v>1</x:v>
      </x:c>
      <x:c r="F6" s="13" t="n">
        <x:v>2</x:v>
      </x:c>
      <x:c r="G6" s="13" t="n">
        <x:v>2</x:v>
      </x:c>
      <x:c r="H6" s="13" t="n">
        <x:v>3</x:v>
      </x:c>
      <x:c r="I6" s="13" t="n">
        <x:v>3</x:v>
      </x:c>
      <x:c r="J6" s="13" t="n">
        <x:v>3</x:v>
      </x:c>
      <x:c r="K6" s="13" t="n">
        <x:v>4</x:v>
      </x:c>
      <x:c r="L6" s="13" t="n">
        <x:v>4</x:v>
      </x:c>
      <x:c r="M6" s="13" t="n">
        <x:v>5</x:v>
      </x:c>
      <x:c r="N6" s="12" t="n">
        <x:v>2029</x:v>
      </x:c>
      <x:c r="O6" s="6" t="str">
        <x:v>Medium</x:v>
      </x:c>
      <x:c r="P6" s="6" t="str">
        <x:v>The survey shows movement beyond experimentation, while Gartner’s 2028 application forecast supports broad distribution. Widespread dependable execution should lag product availability. The window assumes identity controls, evaluations and operational ownership improve. Complex cross-company decisions may remain supervised well after 2035.</x:v>
      </x:c>
    </x:row>
    <x:row r="7" ht="24" hidden="0" customHeight="1">
      <x:c r="A7" s="12" t="n">
        <x:v>2</x:v>
      </x:c>
      <x:c r="B7" s="6" t="str">
        <x:v>Multimodal AI copilots</x:v>
      </x:c>
      <x:c r="C7" s="6" t="str">
        <x:v>Intelligence</x:v>
      </x:c>
      <x:c r="D7" s="13" t="n">
        <x:v>1</x:v>
      </x:c>
      <x:c r="E7" s="13" t="n">
        <x:v>1</x:v>
      </x:c>
      <x:c r="F7" s="13" t="n">
        <x:v>2</x:v>
      </x:c>
      <x:c r="G7" s="13" t="n">
        <x:v>3</x:v>
      </x:c>
      <x:c r="H7" s="13" t="n">
        <x:v>3</x:v>
      </x:c>
      <x:c r="I7" s="13" t="n">
        <x:v>3</x:v>
      </x:c>
      <x:c r="J7" s="13" t="n">
        <x:v>4</x:v>
      </x:c>
      <x:c r="K7" s="13" t="n">
        <x:v>4</x:v>
      </x:c>
      <x:c r="L7" s="13" t="n">
        <x:v>5</x:v>
      </x:c>
      <x:c r="M7" s="13" t="n">
        <x:v>5</x:v>
      </x:c>
      <x:c r="N7" s="12" t="n">
        <x:v>2027</x:v>
      </x:c>
      <x:c r="O7" s="6" t="str">
        <x:v>High</x:v>
      </x:c>
      <x:c r="P7" s="6" t="str">
        <x:v>Large existing assistant audiences and integration into familiar interfaces make this a near-term adoption wave. The definition requires routine useful assistance, not flawless factual performance. Sensitive, safety-critical or fully autonomous applications face a longer timetable, and sustained paid usage will matter more than launch-day interest.</x:v>
      </x:c>
    </x:row>
    <x:row r="8" ht="24" hidden="0" customHeight="1">
      <x:c r="A8" s="12" t="n">
        <x:v>3</x:v>
      </x:c>
      <x:c r="B8" s="6" t="str">
        <x:v>Edge and on-device AI</x:v>
      </x:c>
      <x:c r="C8" s="6" t="str">
        <x:v>Intelligence</x:v>
      </x:c>
      <x:c r="D8" s="13" t="n">
        <x:v>1</x:v>
      </x:c>
      <x:c r="E8" s="13" t="n">
        <x:v>1</x:v>
      </x:c>
      <x:c r="F8" s="13" t="n">
        <x:v>2</x:v>
      </x:c>
      <x:c r="G8" s="13" t="n">
        <x:v>2</x:v>
      </x:c>
      <x:c r="H8" s="13" t="n">
        <x:v>3</x:v>
      </x:c>
      <x:c r="I8" s="13" t="n">
        <x:v>3</x:v>
      </x:c>
      <x:c r="J8" s="13" t="n">
        <x:v>3</x:v>
      </x:c>
      <x:c r="K8" s="13" t="n">
        <x:v>4</x:v>
      </x:c>
      <x:c r="L8" s="13" t="n">
        <x:v>4</x:v>
      </x:c>
      <x:c r="M8" s="13" t="n">
        <x:v>5</x:v>
      </x:c>
      <x:c r="N8" s="12" t="n">
        <x:v>2029</x:v>
      </x:c>
      <x:c r="O8" s="6" t="str">
        <x:v>High</x:v>
      </x:c>
      <x:c r="P8" s="6" t="str">
        <x:v>A normal device replacement cycle can distribute capable hardware rapidly, and Gartner expected AI PCs to become standard by 2029. Adoption of useful applications may lag the installed chips. Memory costs, battery life and weaker-than-expected PC demand could delay the window, especially outside premium markets.</x:v>
      </x:c>
    </x:row>
    <x:row r="9" ht="24" hidden="0" customHeight="1">
      <x:c r="A9" s="12" t="n">
        <x:v>4</x:v>
      </x:c>
      <x:c r="B9" s="6" t="str">
        <x:v>AI-native software development</x:v>
      </x:c>
      <x:c r="C9" s="6" t="str">
        <x:v>Intelligence</x:v>
      </x:c>
      <x:c r="D9" s="13" t="n">
        <x:v>1</x:v>
      </x:c>
      <x:c r="E9" s="13" t="n">
        <x:v>2</x:v>
      </x:c>
      <x:c r="F9" s="13" t="n">
        <x:v>3</x:v>
      </x:c>
      <x:c r="G9" s="13" t="n">
        <x:v>3</x:v>
      </x:c>
      <x:c r="H9" s="13" t="n">
        <x:v>3</x:v>
      </x:c>
      <x:c r="I9" s="13" t="n">
        <x:v>3</x:v>
      </x:c>
      <x:c r="J9" s="13" t="n">
        <x:v>4</x:v>
      </x:c>
      <x:c r="K9" s="13" t="n">
        <x:v>5</x:v>
      </x:c>
      <x:c r="L9" s="13" t="n">
        <x:v>5</x:v>
      </x:c>
      <x:c r="M9" s="13" t="n">
        <x:v>5</x:v>
      </x:c>
      <x:c r="N9" s="12" t="n">
        <x:v>2027</x:v>
      </x:c>
      <x:c r="O9" s="6" t="str">
        <x:v>High</x:v>
      </x:c>
      <x:c r="P9" s="6" t="str">
        <x:v>The product category has paying users, mature distribution and fast feedback. In the 2026 McKinsey survey, coding-agent scaling was already material among large organizations. The forecast concerns routine assistance and bounded delegated changes; autonomous ownership of complex software systems remains much less certain.</x:v>
      </x:c>
    </x:row>
    <x:row r="10" ht="24" hidden="0" customHeight="1">
      <x:c r="A10" s="12" t="n">
        <x:v>5</x:v>
      </x:c>
      <x:c r="B10" s="6" t="str">
        <x:v>AI search and enterprise knowledge retrieval</x:v>
      </x:c>
      <x:c r="C10" s="6" t="str">
        <x:v>Intelligence</x:v>
      </x:c>
      <x:c r="D10" s="13" t="n">
        <x:v>1</x:v>
      </x:c>
      <x:c r="E10" s="13" t="n">
        <x:v>2</x:v>
      </x:c>
      <x:c r="F10" s="13" t="n">
        <x:v>2</x:v>
      </x:c>
      <x:c r="G10" s="13" t="n">
        <x:v>3</x:v>
      </x:c>
      <x:c r="H10" s="13" t="n">
        <x:v>3</x:v>
      </x:c>
      <x:c r="I10" s="13" t="n">
        <x:v>3</x:v>
      </x:c>
      <x:c r="J10" s="13" t="n">
        <x:v>4</x:v>
      </x:c>
      <x:c r="K10" s="13" t="n">
        <x:v>4</x:v>
      </x:c>
      <x:c r="L10" s="13" t="n">
        <x:v>5</x:v>
      </x:c>
      <x:c r="M10" s="13" t="n">
        <x:v>5</x:v>
      </x:c>
      <x:c r="N10" s="12" t="n">
        <x:v>2028</x:v>
      </x:c>
      <x:c r="O10" s="6" t="str">
        <x:v>High</x:v>
      </x:c>
      <x:c r="P10" s="6" t="str">
        <x:v>Useful products exist and distribution through cloud, productivity and data platforms is strong. Broader mainstream use requires reliable connectors, document freshness and access controls. The estimate assumes organizations treat source attribution and permission correctness as product requirements, rather than relying on fluent answers alone.</x:v>
      </x:c>
    </x:row>
    <x:row r="11" ht="24" hidden="0" customHeight="1">
      <x:c r="A11" s="12" t="n">
        <x:v>6</x:v>
      </x:c>
      <x:c r="B11" s="6" t="str">
        <x:v>AI accelerators and heterogeneous computing</x:v>
      </x:c>
      <x:c r="C11" s="6" t="str">
        <x:v>Compute &amp; trust</x:v>
      </x:c>
      <x:c r="D11" s="13" t="n">
        <x:v>2</x:v>
      </x:c>
      <x:c r="E11" s="13" t="n">
        <x:v>2</x:v>
      </x:c>
      <x:c r="F11" s="13" t="n">
        <x:v>3</x:v>
      </x:c>
      <x:c r="G11" s="13" t="n">
        <x:v>3</x:v>
      </x:c>
      <x:c r="H11" s="13" t="n">
        <x:v>3</x:v>
      </x:c>
      <x:c r="I11" s="13" t="n">
        <x:v>3</x:v>
      </x:c>
      <x:c r="J11" s="13" t="n">
        <x:v>4</x:v>
      </x:c>
      <x:c r="K11" s="13" t="n">
        <x:v>4</x:v>
      </x:c>
      <x:c r="L11" s="13" t="n">
        <x:v>5</x:v>
      </x:c>
      <x:c r="M11" s="13" t="n">
        <x:v>5</x:v>
      </x:c>
      <x:c r="N11" s="12" t="n">
        <x:v>2027</x:v>
      </x:c>
      <x:c r="O11" s="6" t="str">
        <x:v>High</x:v>
      </x:c>
      <x:c r="P11" s="6" t="str">
        <x:v>GPUs are already established. The emerging layer is broader deployment of custom inference hardware and optimized combinations of compute, memory and networks. The window follows expanding commercial infrastructure, while software portability, chip utilization and energy availability determine whether alternative architectures scale.</x:v>
      </x:c>
    </x:row>
    <x:row r="12" ht="24" hidden="0" customHeight="1">
      <x:c r="A12" s="12" t="n">
        <x:v>7</x:v>
      </x:c>
      <x:c r="B12" s="6" t="str">
        <x:v>Chiplets and advanced semiconductor packaging</x:v>
      </x:c>
      <x:c r="C12" s="6" t="str">
        <x:v>Compute &amp; trust</x:v>
      </x:c>
      <x:c r="D12" s="13" t="n">
        <x:v>2</x:v>
      </x:c>
      <x:c r="E12" s="13" t="n">
        <x:v>2</x:v>
      </x:c>
      <x:c r="F12" s="13" t="n">
        <x:v>3</x:v>
      </x:c>
      <x:c r="G12" s="13" t="n">
        <x:v>3</x:v>
      </x:c>
      <x:c r="H12" s="13" t="n">
        <x:v>3</x:v>
      </x:c>
      <x:c r="I12" s="13" t="n">
        <x:v>3</x:v>
      </x:c>
      <x:c r="J12" s="13" t="n">
        <x:v>4</x:v>
      </x:c>
      <x:c r="K12" s="13" t="n">
        <x:v>4</x:v>
      </x:c>
      <x:c r="L12" s="13" t="n">
        <x:v>5</x:v>
      </x:c>
      <x:c r="M12" s="13" t="n">
        <x:v>5</x:v>
      </x:c>
      <x:c r="N12" s="12" t="n">
        <x:v>2028</x:v>
      </x:c>
      <x:c r="O12" s="6" t="str">
        <x:v>High</x:v>
      </x:c>
      <x:c r="P12" s="6" t="str">
        <x:v>Commercial multi-die products and a maturing interface standard support the window. This scope includes tightly controlled vendor ecosystems. Freely mixing third-party chiplets has harder validation, yield, warranty and business-model problems and may take longer than mainstream advanced packaging itself.</x:v>
      </x:c>
    </x:row>
    <x:row r="13" ht="36" hidden="0" customHeight="1">
      <x:c r="A13" s="12" t="n">
        <x:v>8</x:v>
      </x:c>
      <x:c r="B13" s="6" t="str">
        <x:v>Silicon photonics and optical interconnects</x:v>
      </x:c>
      <x:c r="C13" s="6" t="str">
        <x:v>Compute &amp; trust</x:v>
      </x:c>
      <x:c r="D13" s="13" t="n">
        <x:v>1</x:v>
      </x:c>
      <x:c r="E13" s="13" t="n">
        <x:v>2</x:v>
      </x:c>
      <x:c r="F13" s="13" t="n">
        <x:v>2</x:v>
      </x:c>
      <x:c r="G13" s="13" t="n">
        <x:v>2</x:v>
      </x:c>
      <x:c r="H13" s="13" t="n">
        <x:v>3</x:v>
      </x:c>
      <x:c r="I13" s="13" t="n">
        <x:v>3</x:v>
      </x:c>
      <x:c r="J13" s="13" t="n">
        <x:v>3</x:v>
      </x:c>
      <x:c r="K13" s="13" t="n">
        <x:v>4</x:v>
      </x:c>
      <x:c r="L13" s="13" t="n">
        <x:v>4</x:v>
      </x:c>
      <x:c r="M13" s="13" t="n">
        <x:v>5</x:v>
      </x:c>
      <x:c r="N13" s="12" t="n">
        <x:v>2030</x:v>
      </x:c>
      <x:c r="O13" s="6" t="str">
        <x:v>Medium</x:v>
      </x:c>
      <x:c r="P13" s="6" t="str">
        <x:v>Bandwidth economics and current supplier investment support deployment this decade. Mature pluggable optics remain a strong alternative, so the transition depends on reliability, manufacturability and serviceability rather than technical demonstrations alone. Enterprise-wide optical chip-to-chip interconnects could arrive later than hyperscale use.</x:v>
      </x:c>
    </x:row>
    <x:row r="14" ht="36" hidden="0" customHeight="1">
      <x:c r="A14" s="12" t="n">
        <x:v>9</x:v>
      </x:c>
      <x:c r="B14" s="6" t="str">
        <x:v>Post-quantum cryptography</x:v>
      </x:c>
      <x:c r="C14" s="6" t="str">
        <x:v>Compute &amp; trust</x:v>
      </x:c>
      <x:c r="D14" s="13" t="n">
        <x:v>1</x:v>
      </x:c>
      <x:c r="E14" s="13" t="n">
        <x:v>2</x:v>
      </x:c>
      <x:c r="F14" s="13" t="n">
        <x:v>2</x:v>
      </x:c>
      <x:c r="G14" s="13" t="n">
        <x:v>3</x:v>
      </x:c>
      <x:c r="H14" s="13" t="n">
        <x:v>3</x:v>
      </x:c>
      <x:c r="I14" s="13" t="n">
        <x:v>3</x:v>
      </x:c>
      <x:c r="J14" s="13" t="n">
        <x:v>3</x:v>
      </x:c>
      <x:c r="K14" s="13" t="n">
        <x:v>4</x:v>
      </x:c>
      <x:c r="L14" s="13" t="n">
        <x:v>4</x:v>
      </x:c>
      <x:c r="M14" s="13" t="n">
        <x:v>5</x:v>
      </x:c>
      <x:c r="N14" s="12" t="n">
        <x:v>2030</x:v>
      </x:c>
      <x:c r="O14" s="6" t="str">
        <x:v>High</x:v>
      </x:c>
      <x:c r="P14" s="6" t="str">
        <x:v>Standards and major-platform rollout make adoption likely before practical large quantum attacks are demonstrated. Cloudflare’s stated 2029 roadmap anchors an early infrastructure target. Complete replacement across long-lived embedded equipment, archives and legacy estates can extend beyond 2035, so the headline year describes new and priority deployments.</x:v>
      </x:c>
    </x:row>
    <x:row r="15" ht="36" hidden="0" customHeight="1">
      <x:c r="A15" s="12" t="n">
        <x:v>10</x:v>
      </x:c>
      <x:c r="B15" s="6" t="str">
        <x:v>Confidential computing and privacy-preserving AI</x:v>
      </x:c>
      <x:c r="C15" s="6" t="str">
        <x:v>Compute &amp; trust</x:v>
      </x:c>
      <x:c r="D15" s="13" t="n">
        <x:v>1</x:v>
      </x:c>
      <x:c r="E15" s="13" t="n">
        <x:v>2</x:v>
      </x:c>
      <x:c r="F15" s="13" t="n">
        <x:v>2</x:v>
      </x:c>
      <x:c r="G15" s="13" t="n">
        <x:v>3</x:v>
      </x:c>
      <x:c r="H15" s="13" t="n">
        <x:v>3</x:v>
      </x:c>
      <x:c r="I15" s="13" t="n">
        <x:v>3</x:v>
      </x:c>
      <x:c r="J15" s="13" t="n">
        <x:v>3</x:v>
      </x:c>
      <x:c r="K15" s="13" t="n">
        <x:v>3</x:v>
      </x:c>
      <x:c r="L15" s="13" t="n">
        <x:v>4</x:v>
      </x:c>
      <x:c r="M15" s="13" t="n">
        <x:v>4</x:v>
      </x:c>
      <x:c r="N15" s="12" t="n">
        <x:v>2031</x:v>
      </x:c>
      <x:c r="O15" s="6" t="str">
        <x:v>Medium</x:v>
      </x:c>
      <x:c r="P15" s="6" t="str">
        <x:v>Production deployments and major-platform investment support a transition beyond pilots. Attestation, key management, software compatibility and independent assurance still add complexity. The date mainly concerns hardware-protected computing; it does not assume general-purpose fully homomorphic AI becomes economical on the same schedule.</x:v>
      </x:c>
    </x:row>
    <x:row r="16" ht="24" hidden="0" customHeight="1">
      <x:c r="A16" s="12" t="n">
        <x:v>11</x:v>
      </x:c>
      <x:c r="B16" s="6" t="str">
        <x:v>Private 5G and industrial wireless</x:v>
      </x:c>
      <x:c r="C16" s="6" t="str">
        <x:v>Connected industry</x:v>
      </x:c>
      <x:c r="D16" s="13" t="n">
        <x:v>2</x:v>
      </x:c>
      <x:c r="E16" s="13" t="n">
        <x:v>2</x:v>
      </x:c>
      <x:c r="F16" s="13" t="n">
        <x:v>3</x:v>
      </x:c>
      <x:c r="G16" s="13" t="n">
        <x:v>3</x:v>
      </x:c>
      <x:c r="H16" s="13" t="n">
        <x:v>3</x:v>
      </x:c>
      <x:c r="I16" s="13" t="n">
        <x:v>3</x:v>
      </x:c>
      <x:c r="J16" s="13" t="n">
        <x:v>3</x:v>
      </x:c>
      <x:c r="K16" s="13" t="n">
        <x:v>4</x:v>
      </x:c>
      <x:c r="L16" s="13" t="n">
        <x:v>4</x:v>
      </x:c>
      <x:c r="M16" s="13" t="n">
        <x:v>4</x:v>
      </x:c>
      <x:c r="N16" s="12" t="n">
        <x:v>2029</x:v>
      </x:c>
      <x:c r="O16" s="6" t="str">
        <x:v>Medium</x:v>
      </x:c>
      <x:c r="P16" s="6" t="str">
        <x:v>A growing reference base supports mainstream procurement in ports, mines, utilities and complex factories. Growth is slower than early expectations, and supplier portfolios are changing. The window assumes lower integration costs and clear service-level advantages. Smaller sites may continue to prefer Wi-Fi or managed public networks.</x:v>
      </x:c>
    </x:row>
    <x:row r="17" ht="36" hidden="0" customHeight="1">
      <x:c r="A17" s="12" t="n">
        <x:v>12</x:v>
      </x:c>
      <x:c r="B17" s="6" t="str">
        <x:v>Direct-to-device satellite connectivity</x:v>
      </x:c>
      <x:c r="C17" s="6" t="str">
        <x:v>Connected industry</x:v>
      </x:c>
      <x:c r="D17" s="13" t="n">
        <x:v>1</x:v>
      </x:c>
      <x:c r="E17" s="13" t="n">
        <x:v>2</x:v>
      </x:c>
      <x:c r="F17" s="13" t="n">
        <x:v>3</x:v>
      </x:c>
      <x:c r="G17" s="13" t="n">
        <x:v>3</x:v>
      </x:c>
      <x:c r="H17" s="13" t="n">
        <x:v>3</x:v>
      </x:c>
      <x:c r="I17" s="13" t="n">
        <x:v>3</x:v>
      </x:c>
      <x:c r="J17" s="13" t="n">
        <x:v>4</x:v>
      </x:c>
      <x:c r="K17" s="13" t="n">
        <x:v>4</x:v>
      </x:c>
      <x:c r="L17" s="13" t="n">
        <x:v>5</x:v>
      </x:c>
      <x:c r="M17" s="13" t="n">
        <x:v>5</x:v>
      </x:c>
      <x:c r="N17" s="12" t="n">
        <x:v>2028</x:v>
      </x:c>
      <x:c r="O17" s="6" t="str">
        <x:v>High</x:v>
      </x:c>
      <x:c r="P17" s="6" t="str">
        <x:v>Existing SOS availability and commercial carrier integration support a near-term window. Capacity, radio physics, spectrum approvals and satellite deployment limit richer services. Broadband-like data everywhere is outside this forecast. Reliability and geographic permission should be measured separately from launch count and marketing coverage maps.</x:v>
      </x:c>
    </x:row>
    <x:row r="18" ht="36" hidden="0" customHeight="1">
      <x:c r="A18" s="12" t="n">
        <x:v>13</x:v>
      </x:c>
      <x:c r="B18" s="6" t="str">
        <x:v>Industrial IoT and predictive maintenance</x:v>
      </x:c>
      <x:c r="C18" s="6" t="str">
        <x:v>Connected industry</x:v>
      </x:c>
      <x:c r="D18" s="13" t="n">
        <x:v>2</x:v>
      </x:c>
      <x:c r="E18" s="13" t="n">
        <x:v>3</x:v>
      </x:c>
      <x:c r="F18" s="13" t="n">
        <x:v>3</x:v>
      </x:c>
      <x:c r="G18" s="13" t="n">
        <x:v>3</x:v>
      </x:c>
      <x:c r="H18" s="13" t="n">
        <x:v>3</x:v>
      </x:c>
      <x:c r="I18" s="13" t="n">
        <x:v>3</x:v>
      </x:c>
      <x:c r="J18" s="13" t="n">
        <x:v>4</x:v>
      </x:c>
      <x:c r="K18" s="13" t="n">
        <x:v>4</x:v>
      </x:c>
      <x:c r="L18" s="13" t="n">
        <x:v>5</x:v>
      </x:c>
      <x:c r="M18" s="13" t="n">
        <x:v>5</x:v>
      </x:c>
      <x:c r="N18" s="12" t="n">
        <x:v>2028</x:v>
      </x:c>
      <x:c r="O18" s="6" t="str">
        <x:v>High</x:v>
      </x:c>
      <x:c r="P18" s="6" t="str">
        <x:v>The enabling stack is mature and downtime provides a measurable business case. Adoption should expand through existing controls, maintenance and equipment suppliers. The date assumes integration with maintenance processes and trustworthy failure labels. Rare failures, small sites and legacy machinery can keep some applications uneconomic.</x:v>
      </x:c>
    </x:row>
    <x:row r="19" ht="36" hidden="0" customHeight="1">
      <x:c r="A19" s="12" t="n">
        <x:v>14</x:v>
      </x:c>
      <x:c r="B19" s="6" t="str">
        <x:v>Industrial digital twins</x:v>
      </x:c>
      <x:c r="C19" s="6" t="str">
        <x:v>Connected industry</x:v>
      </x:c>
      <x:c r="D19" s="13" t="n">
        <x:v>2</x:v>
      </x:c>
      <x:c r="E19" s="13" t="n">
        <x:v>2</x:v>
      </x:c>
      <x:c r="F19" s="13" t="n">
        <x:v>3</x:v>
      </x:c>
      <x:c r="G19" s="13" t="n">
        <x:v>3</x:v>
      </x:c>
      <x:c r="H19" s="13" t="n">
        <x:v>3</x:v>
      </x:c>
      <x:c r="I19" s="13" t="n">
        <x:v>3</x:v>
      </x:c>
      <x:c r="J19" s="13" t="n">
        <x:v>3</x:v>
      </x:c>
      <x:c r="K19" s="13" t="n">
        <x:v>4</x:v>
      </x:c>
      <x:c r="L19" s="13" t="n">
        <x:v>4</x:v>
      </x:c>
      <x:c r="M19" s="13" t="n">
        <x:v>5</x:v>
      </x:c>
      <x:c r="N19" s="12" t="n">
        <x:v>2030</x:v>
      </x:c>
      <x:c r="O19" s="6" t="str">
        <x:v>Medium</x:v>
      </x:c>
      <x:c r="P19" s="6" t="str">
        <x:v>Long asset lives and existing engineering platforms provide a strong distribution route, while simulation can reduce commissioning and operating risk. Adoption is likely to concentrate where errors are expensive and data is available. The window assumes model-maintenance costs and interoperability improve; universal twins of every factory are not assumed.</x:v>
      </x:c>
    </x:row>
    <x:row r="20" ht="36" hidden="0" customHeight="1">
      <x:c r="A20" s="12" t="n">
        <x:v>15</x:v>
      </x:c>
      <x:c r="B20" s="6" t="str">
        <x:v>Enterprise spatial computing</x:v>
      </x:c>
      <x:c r="C20" s="6" t="str">
        <x:v>Connected industry</x:v>
      </x:c>
      <x:c r="D20" s="13" t="n">
        <x:v>2</x:v>
      </x:c>
      <x:c r="E20" s="13" t="n">
        <x:v>2</x:v>
      </x:c>
      <x:c r="F20" s="13" t="n">
        <x:v>3</x:v>
      </x:c>
      <x:c r="G20" s="13" t="n">
        <x:v>3</x:v>
      </x:c>
      <x:c r="H20" s="13" t="n">
        <x:v>3</x:v>
      </x:c>
      <x:c r="I20" s="13" t="n">
        <x:v>3</x:v>
      </x:c>
      <x:c r="J20" s="13" t="n">
        <x:v>3</x:v>
      </x:c>
      <x:c r="K20" s="13" t="n">
        <x:v>3</x:v>
      </x:c>
      <x:c r="L20" s="13" t="n">
        <x:v>4</x:v>
      </x:c>
      <x:c r="M20" s="13" t="n">
        <x:v>4</x:v>
      </x:c>
      <x:c r="N20" s="12" t="n">
        <x:v>2032</x:v>
      </x:c>
      <x:c r="O20" s="6" t="str">
        <x:v>Low</x:v>
      </x:c>
      <x:c r="P20" s="6" t="str">
        <x:v>Specialist use cases already have working products, but comfort, content production and recurring value still limit wider rollout. The estimate is conditional on practical hardware and sustained deployment economics. A downside case remains niche beyond 2035; the forecast does not assume office workers universally replace monitors or meetings with headsets.</x:v>
      </x:c>
    </x:row>
    <x:row r="21" ht="36" hidden="0" customHeight="1">
      <x:c r="A21" s="12" t="n">
        <x:v>16</x:v>
      </x:c>
      <x:c r="B21" s="6" t="str">
        <x:v>Collaborative robots and autonomous mobile robots</x:v>
      </x:c>
      <x:c r="C21" s="6" t="str">
        <x:v>Automation &amp; mobility</x:v>
      </x:c>
      <x:c r="D21" s="13" t="n">
        <x:v>2</x:v>
      </x:c>
      <x:c r="E21" s="13" t="n">
        <x:v>3</x:v>
      </x:c>
      <x:c r="F21" s="13" t="n">
        <x:v>3</x:v>
      </x:c>
      <x:c r="G21" s="13" t="n">
        <x:v>3</x:v>
      </x:c>
      <x:c r="H21" s="13" t="n">
        <x:v>3</x:v>
      </x:c>
      <x:c r="I21" s="13" t="n">
        <x:v>3</x:v>
      </x:c>
      <x:c r="J21" s="13" t="n">
        <x:v>4</x:v>
      </x:c>
      <x:c r="K21" s="13" t="n">
        <x:v>4</x:v>
      </x:c>
      <x:c r="L21" s="13" t="n">
        <x:v>5</x:v>
      </x:c>
      <x:c r="M21" s="13" t="n">
        <x:v>5</x:v>
      </x:c>
      <x:c r="N21" s="12" t="n">
        <x:v>2027</x:v>
      </x:c>
      <x:c r="O21" s="6" t="str">
        <x:v>High</x:v>
      </x:c>
      <x:c r="P21" s="6" t="str">
        <x:v>Mature suppliers, deployed fleets and established integration practices support the window. Mainstream means a normal option for suitable tasks, not robots at every small factory. Integration, workflow variability and safety assessment can dominate the hardware cost. Growth should be evaluated by productive installations rather than vendor demonstrations.</x:v>
      </x:c>
    </x:row>
    <x:row r="22" ht="36" hidden="0" customHeight="1">
      <x:c r="A22" s="12" t="n">
        <x:v>17</x:v>
      </x:c>
      <x:c r="B22" s="6" t="str">
        <x:v>Humanoid robots in structured industrial work</x:v>
      </x:c>
      <x:c r="C22" s="6" t="str">
        <x:v>Automation &amp; mobility</x:v>
      </x:c>
      <x:c r="D22" s="13" t="n">
        <x:v>1</x:v>
      </x:c>
      <x:c r="E22" s="13" t="n">
        <x:v>1</x:v>
      </x:c>
      <x:c r="F22" s="13" t="n">
        <x:v>2</x:v>
      </x:c>
      <x:c r="G22" s="13" t="n">
        <x:v>2</x:v>
      </x:c>
      <x:c r="H22" s="13" t="n">
        <x:v>2</x:v>
      </x:c>
      <x:c r="I22" s="13" t="n">
        <x:v>3</x:v>
      </x:c>
      <x:c r="J22" s="13" t="n">
        <x:v>3</x:v>
      </x:c>
      <x:c r="K22" s="13" t="n">
        <x:v>3</x:v>
      </x:c>
      <x:c r="L22" s="13" t="n">
        <x:v>3</x:v>
      </x:c>
      <x:c r="M22" s="13" t="n">
        <x:v>4</x:v>
      </x:c>
      <x:c r="N22" s="12" t="n">
        <x:v>2034</x:v>
      </x:c>
      <x:c r="O22" s="6" t="str">
        <x:v>Low</x:v>
      </x:c>
      <x:c r="P22" s="6" t="str">
        <x:v>Real customer trials and early revenue make industrial niches plausible by 2035. Reliability, safety, maintenance and labor-equivalent cost remain unproven at broad scale. A credible downside is that adoption remains a niche beyond 2035 or is displaced by cheaper robot arms and wheeled systems. General-purpose household robots are outside this forecast.</x:v>
      </x:c>
    </x:row>
    <x:row r="23" ht="24" hidden="0" customHeight="1">
      <x:c r="A23" s="12" t="n">
        <x:v>18</x:v>
      </x:c>
      <x:c r="B23" s="6" t="str">
        <x:v>Robotaxis and autonomous driving</x:v>
      </x:c>
      <x:c r="C23" s="6" t="str">
        <x:v>Automation &amp; mobility</x:v>
      </x:c>
      <x:c r="D23" s="13" t="n">
        <x:v>2</x:v>
      </x:c>
      <x:c r="E23" s="13" t="n">
        <x:v>2</x:v>
      </x:c>
      <x:c r="F23" s="13" t="n">
        <x:v>3</x:v>
      </x:c>
      <x:c r="G23" s="13" t="n">
        <x:v>3</x:v>
      </x:c>
      <x:c r="H23" s="13" t="n">
        <x:v>3</x:v>
      </x:c>
      <x:c r="I23" s="13" t="n">
        <x:v>3</x:v>
      </x:c>
      <x:c r="J23" s="13" t="n">
        <x:v>3</x:v>
      </x:c>
      <x:c r="K23" s="13" t="n">
        <x:v>4</x:v>
      </x:c>
      <x:c r="L23" s="13" t="n">
        <x:v>4</x:v>
      </x:c>
      <x:c r="M23" s="13" t="n">
        <x:v>5</x:v>
      </x:c>
      <x:c r="N23" s="12" t="n">
        <x:v>2030</x:v>
      </x:c>
      <x:c r="O23" s="6" t="str">
        <x:v>Medium</x:v>
      </x:c>
      <x:c r="P23" s="6" t="str">
        <x:v>The operating base supports city-by-city expansion before 2030. Wider weather coverage, lower fleet cost and regulatory acceptance determine whether that becomes ordinary urban transport. A safety incident or poor economics can delay individual markets beyond 2035.</x:v>
      </x:c>
    </x:row>
    <x:row r="24" ht="24" hidden="0" customHeight="1">
      <x:c r="A24" s="12" t="n">
        <x:v>19</x:v>
      </x:c>
      <x:c r="B24" s="6" t="str">
        <x:v>Autonomous delivery drones</x:v>
      </x:c>
      <x:c r="C24" s="6" t="str">
        <x:v>Automation &amp; mobility</x:v>
      </x:c>
      <x:c r="D24" s="13" t="n">
        <x:v>2</x:v>
      </x:c>
      <x:c r="E24" s="13" t="n">
        <x:v>3</x:v>
      </x:c>
      <x:c r="F24" s="13" t="n">
        <x:v>3</x:v>
      </x:c>
      <x:c r="G24" s="13" t="n">
        <x:v>3</x:v>
      </x:c>
      <x:c r="H24" s="13" t="n">
        <x:v>3</x:v>
      </x:c>
      <x:c r="I24" s="13" t="n">
        <x:v>3</x:v>
      </x:c>
      <x:c r="J24" s="13" t="n">
        <x:v>4</x:v>
      </x:c>
      <x:c r="K24" s="13" t="n">
        <x:v>4</x:v>
      </x:c>
      <x:c r="L24" s="13" t="n">
        <x:v>5</x:v>
      </x:c>
      <x:c r="M24" s="13" t="n">
        <x:v>5</x:v>
      </x:c>
      <x:c r="N24" s="12" t="n">
        <x:v>2029</x:v>
      </x:c>
      <x:c r="O24" s="6" t="str">
        <x:v>Medium</x:v>
      </x:c>
      <x:c r="P24" s="6" t="str">
        <x:v>Repeat deployments and retailer partnerships make regional routine use plausible before 2030. Aerial operations cannot cover every address, parcel size or weather condition; widespread dense-city delivery may remain later.</x:v>
      </x:c>
    </x:row>
    <x:row r="25" ht="24" hidden="0" customHeight="1">
      <x:c r="A25" s="12" t="n">
        <x:v>20</x:v>
      </x:c>
      <x:c r="B25" s="6" t="str">
        <x:v>Software-defined vehicles</x:v>
      </x:c>
      <x:c r="C25" s="6" t="str">
        <x:v>Automation &amp; mobility</x:v>
      </x:c>
      <x:c r="D25" s="13" t="n">
        <x:v>2</x:v>
      </x:c>
      <x:c r="E25" s="13" t="n">
        <x:v>2</x:v>
      </x:c>
      <x:c r="F25" s="13" t="n">
        <x:v>3</x:v>
      </x:c>
      <x:c r="G25" s="13" t="n">
        <x:v>3</x:v>
      </x:c>
      <x:c r="H25" s="13" t="n">
        <x:v>3</x:v>
      </x:c>
      <x:c r="I25" s="13" t="n">
        <x:v>3</x:v>
      </x:c>
      <x:c r="J25" s="13" t="n">
        <x:v>4</x:v>
      </x:c>
      <x:c r="K25" s="13" t="n">
        <x:v>4</x:v>
      </x:c>
      <x:c r="L25" s="13" t="n">
        <x:v>5</x:v>
      </x:c>
      <x:c r="M25" s="13" t="n">
        <x:v>5</x:v>
      </x:c>
      <x:c r="N25" s="12" t="n">
        <x:v>2029</x:v>
      </x:c>
      <x:c r="O25" s="6" t="str">
        <x:v>High</x:v>
      </x:c>
      <x:c r="P25" s="6" t="str">
        <x:v>Existing software suppliers and announced next-generation platforms support routine use this decade. Vehicle programme cycles slow deployment; the installed vehicle fleet will take much longer to turn over.</x:v>
      </x:c>
    </x:row>
    <x:row r="26" ht="24" hidden="0" customHeight="1">
      <x:c r="A26" s="12" t="n">
        <x:v>21</x:v>
      </x:c>
      <x:c r="B26" s="6" t="str">
        <x:v>AI diagnostics and clinical copilots</x:v>
      </x:c>
      <x:c r="C26" s="6" t="str">
        <x:v>Healthcare</x:v>
      </x:c>
      <x:c r="D26" s="13" t="n">
        <x:v>2</x:v>
      </x:c>
      <x:c r="E26" s="13" t="n">
        <x:v>2</x:v>
      </x:c>
      <x:c r="F26" s="13" t="n">
        <x:v>3</x:v>
      </x:c>
      <x:c r="G26" s="13" t="n">
        <x:v>3</x:v>
      </x:c>
      <x:c r="H26" s="13" t="n">
        <x:v>3</x:v>
      </x:c>
      <x:c r="I26" s="13" t="n">
        <x:v>3</x:v>
      </x:c>
      <x:c r="J26" s="13" t="n">
        <x:v>4</x:v>
      </x:c>
      <x:c r="K26" s="13" t="n">
        <x:v>4</x:v>
      </x:c>
      <x:c r="L26" s="13" t="n">
        <x:v>5</x:v>
      </x:c>
      <x:c r="M26" s="13" t="n">
        <x:v>5</x:v>
      </x:c>
      <x:c r="N26" s="12" t="n">
        <x:v>2028</x:v>
      </x:c>
      <x:c r="O26" s="6" t="str">
        <x:v>High</x:v>
      </x:c>
      <x:c r="P26" s="6" t="str">
        <x:v>The labour-saving use case is immediate and survey adoption is already high. Moving from any experimentation to reliable integrated care requires local validation, outcome monitoring and workflow accountability. Autonomous clinical care is outside this forecast.</x:v>
      </x:c>
    </x:row>
    <x:row r="27" ht="24" hidden="0" customHeight="1">
      <x:c r="A27" s="12" t="n">
        <x:v>22</x:v>
      </x:c>
      <x:c r="B27" s="6" t="str">
        <x:v>Precision oncology and liquid biopsies</x:v>
      </x:c>
      <x:c r="C27" s="6" t="str">
        <x:v>Healthcare</x:v>
      </x:c>
      <x:c r="D27" s="13" t="n">
        <x:v>3</x:v>
      </x:c>
      <x:c r="E27" s="13" t="n">
        <x:v>3</x:v>
      </x:c>
      <x:c r="F27" s="13" t="n">
        <x:v>3</x:v>
      </x:c>
      <x:c r="G27" s="13" t="n">
        <x:v>3</x:v>
      </x:c>
      <x:c r="H27" s="13" t="n">
        <x:v>3</x:v>
      </x:c>
      <x:c r="I27" s="13" t="n">
        <x:v>3</x:v>
      </x:c>
      <x:c r="J27" s="13" t="n">
        <x:v>4</x:v>
      </x:c>
      <x:c r="K27" s="13" t="n">
        <x:v>4</x:v>
      </x:c>
      <x:c r="L27" s="13" t="n">
        <x:v>5</x:v>
      </x:c>
      <x:c r="M27" s="13" t="n">
        <x:v>5</x:v>
      </x:c>
      <x:c r="N27" s="12" t="n">
        <x:v>2029</x:v>
      </x:c>
      <x:c r="O27" s="6" t="str">
        <x:v>High</x:v>
      </x:c>
      <x:c r="P27" s="6" t="str">
        <x:v>Existing test volume and growing treatment matching support routine oncology use this decade. Screening benefit requires outcome evidence, reimbursement and appropriate follow-up; those applications can take longer.</x:v>
      </x:c>
    </x:row>
    <x:row r="28" ht="24" hidden="0" customHeight="1">
      <x:c r="A28" s="12" t="n">
        <x:v>23</x:v>
      </x:c>
      <x:c r="B28" s="6" t="str">
        <x:v>Gene-editing therapies</x:v>
      </x:c>
      <x:c r="C28" s="6" t="str">
        <x:v>Healthcare</x:v>
      </x:c>
      <x:c r="D28" s="13" t="n">
        <x:v>1</x:v>
      </x:c>
      <x:c r="E28" s="13" t="n">
        <x:v>2</x:v>
      </x:c>
      <x:c r="F28" s="13" t="n">
        <x:v>3</x:v>
      </x:c>
      <x:c r="G28" s="13" t="n">
        <x:v>3</x:v>
      </x:c>
      <x:c r="H28" s="13" t="n">
        <x:v>3</x:v>
      </x:c>
      <x:c r="I28" s="13" t="n">
        <x:v>3</x:v>
      </x:c>
      <x:c r="J28" s="13" t="n">
        <x:v>3</x:v>
      </x:c>
      <x:c r="K28" s="13" t="n">
        <x:v>3</x:v>
      </x:c>
      <x:c r="L28" s="13" t="n">
        <x:v>4</x:v>
      </x:c>
      <x:c r="M28" s="13" t="n">
        <x:v>4</x:v>
      </x:c>
      <x:c r="N28" s="12" t="n">
        <x:v>2032</x:v>
      </x:c>
      <x:c r="O28" s="6" t="str">
        <x:v>Medium</x:v>
      </x:c>
      <x:c r="P28" s="6" t="str">
        <x:v>Approved ex-vivo treatment and rising launch revenue establish a commercial base. Conditioning, specialised capacity, reimbursement and long-term follow-up make broad access gradual. Many proposed in-vivo indications can slip past 2035.</x:v>
      </x:c>
    </x:row>
    <x:row r="29" ht="24" hidden="0" customHeight="1">
      <x:c r="A29" s="12" t="n">
        <x:v>24</x:v>
      </x:c>
      <x:c r="B29" s="6" t="str">
        <x:v>RNA therapeutics and next-generation vaccines</x:v>
      </x:c>
      <x:c r="C29" s="6" t="str">
        <x:v>Healthcare</x:v>
      </x:c>
      <x:c r="D29" s="13" t="n">
        <x:v>3</x:v>
      </x:c>
      <x:c r="E29" s="13" t="n">
        <x:v>3</x:v>
      </x:c>
      <x:c r="F29" s="13" t="n">
        <x:v>3</x:v>
      </x:c>
      <x:c r="G29" s="13" t="n">
        <x:v>3</x:v>
      </x:c>
      <x:c r="H29" s="13" t="n">
        <x:v>3</x:v>
      </x:c>
      <x:c r="I29" s="13" t="n">
        <x:v>3</x:v>
      </x:c>
      <x:c r="J29" s="13" t="n">
        <x:v>3</x:v>
      </x:c>
      <x:c r="K29" s="13" t="n">
        <x:v>4</x:v>
      </x:c>
      <x:c r="L29" s="13" t="n">
        <x:v>4</x:v>
      </x:c>
      <x:c r="M29" s="13" t="n">
        <x:v>5</x:v>
      </x:c>
      <x:c r="N29" s="12" t="n">
        <x:v>2030</x:v>
      </x:c>
      <x:c r="O29" s="6" t="str">
        <x:v>Medium</x:v>
      </x:c>
      <x:c r="P29" s="6" t="str">
        <x:v>Already approved RNA products validate parts of the platform. Broader routine use depends on delivery beyond the liver, manufacturing and indication-specific clinical benefit. Cancer vaccines and RNA editing remain conditional on trial outcomes.</x:v>
      </x:c>
    </x:row>
    <x:row r="30" ht="24" hidden="0" customHeight="1">
      <x:c r="A30" s="12" t="n">
        <x:v>25</x:v>
      </x:c>
      <x:c r="B30" s="6" t="str">
        <x:v>Remote patient monitoring and medical wearables</x:v>
      </x:c>
      <x:c r="C30" s="6" t="str">
        <x:v>Healthcare</x:v>
      </x:c>
      <x:c r="D30" s="13" t="n">
        <x:v>3</x:v>
      </x:c>
      <x:c r="E30" s="13" t="n">
        <x:v>3</x:v>
      </x:c>
      <x:c r="F30" s="13" t="n">
        <x:v>3</x:v>
      </x:c>
      <x:c r="G30" s="13" t="n">
        <x:v>3</x:v>
      </x:c>
      <x:c r="H30" s="13" t="n">
        <x:v>3</x:v>
      </x:c>
      <x:c r="I30" s="13" t="n">
        <x:v>3</x:v>
      </x:c>
      <x:c r="J30" s="13" t="n">
        <x:v>4</x:v>
      </x:c>
      <x:c r="K30" s="13" t="n">
        <x:v>4</x:v>
      </x:c>
      <x:c r="L30" s="13" t="n">
        <x:v>5</x:v>
      </x:c>
      <x:c r="M30" s="13" t="n">
        <x:v>5</x:v>
      </x:c>
      <x:c r="N30" s="12" t="n">
        <x:v>2028</x:v>
      </x:c>
      <x:c r="O30" s="6" t="str">
        <x:v>High</x:v>
      </x:c>
      <x:c r="P30" s="6" t="str">
        <x:v>Device revenue growth and recognised remote monitoring workflows support near-term expansion. A wearable alone does not create clinical benefit: reliable data transmission and a care team’s response are necessary.</x:v>
      </x:c>
    </x:row>
    <x:row r="31" ht="24" hidden="0" customHeight="1">
      <x:c r="A31" s="12" t="n">
        <x:v>26</x:v>
      </x:c>
      <x:c r="B31" s="6" t="str">
        <x:v>AI-enabled drug discovery</x:v>
      </x:c>
      <x:c r="C31" s="6" t="str">
        <x:v>Bio &amp; production</x:v>
      </x:c>
      <x:c r="D31" s="13" t="n">
        <x:v>2</x:v>
      </x:c>
      <x:c r="E31" s="13" t="n">
        <x:v>2</x:v>
      </x:c>
      <x:c r="F31" s="13" t="n">
        <x:v>2</x:v>
      </x:c>
      <x:c r="G31" s="13" t="n">
        <x:v>3</x:v>
      </x:c>
      <x:c r="H31" s="13" t="n">
        <x:v>3</x:v>
      </x:c>
      <x:c r="I31" s="13" t="n">
        <x:v>3</x:v>
      </x:c>
      <x:c r="J31" s="13" t="n">
        <x:v>3</x:v>
      </x:c>
      <x:c r="K31" s="13" t="n">
        <x:v>4</x:v>
      </x:c>
      <x:c r="L31" s="13" t="n">
        <x:v>4</x:v>
      </x:c>
      <x:c r="M31" s="13" t="n">
        <x:v>5</x:v>
      </x:c>
      <x:c r="N31" s="12" t="n">
        <x:v>2029</x:v>
      </x:c>
      <x:c r="O31" s="6" t="str">
        <x:v>High</x:v>
      </x:c>
      <x:c r="P31" s="6" t="str">
        <x:v>Software and experimental integration already have commercial buyers. Routine workflow adoption should precede a definitive industry-wide improvement in clinical success, which takes years to measure. Clinical attrition remains the main economic uncertainty.</x:v>
      </x:c>
    </x:row>
    <x:row r="32" ht="24" hidden="0" customHeight="1">
      <x:c r="A32" s="12" t="n">
        <x:v>27</x:v>
      </x:c>
      <x:c r="B32" s="6" t="str">
        <x:v>Synthetic biology and biomanufacturing</x:v>
      </x:c>
      <x:c r="C32" s="6" t="str">
        <x:v>Bio &amp; production</x:v>
      </x:c>
      <x:c r="D32" s="13" t="n">
        <x:v>2</x:v>
      </x:c>
      <x:c r="E32" s="13" t="n">
        <x:v>2</x:v>
      </x:c>
      <x:c r="F32" s="13" t="n">
        <x:v>3</x:v>
      </x:c>
      <x:c r="G32" s="13" t="n">
        <x:v>3</x:v>
      </x:c>
      <x:c r="H32" s="13" t="n">
        <x:v>3</x:v>
      </x:c>
      <x:c r="I32" s="13" t="n">
        <x:v>3</x:v>
      </x:c>
      <x:c r="J32" s="13" t="n">
        <x:v>3</x:v>
      </x:c>
      <x:c r="K32" s="13" t="n">
        <x:v>4</x:v>
      </x:c>
      <x:c r="L32" s="13" t="n">
        <x:v>4</x:v>
      </x:c>
      <x:c r="M32" s="13" t="n">
        <x:v>5</x:v>
      </x:c>
      <x:c r="N32" s="12" t="n">
        <x:v>2030</x:v>
      </x:c>
      <x:c r="O32" s="6" t="str">
        <x:v>Medium</x:v>
      </x:c>
      <x:c r="P32" s="6" t="str">
        <x:v>The most valuable, lower-volume products can absorb development and purification costs. Bulk commodity displacement is a separate, slower case dependent on feedstock, scale and energy economics; some applications will remain uneconomic beyond 2035.</x:v>
      </x:c>
    </x:row>
    <x:row r="33" ht="24" hidden="0" customHeight="1">
      <x:c r="A33" s="12" t="n">
        <x:v>28</x:v>
      </x:c>
      <x:c r="B33" s="6" t="str">
        <x:v>Precision fermentation for food</x:v>
      </x:c>
      <x:c r="C33" s="6" t="str">
        <x:v>Bio &amp; production</x:v>
      </x:c>
      <x:c r="D33" s="13" t="n">
        <x:v>1</x:v>
      </x:c>
      <x:c r="E33" s="13" t="n">
        <x:v>2</x:v>
      </x:c>
      <x:c r="F33" s="13" t="n">
        <x:v>2</x:v>
      </x:c>
      <x:c r="G33" s="13" t="n">
        <x:v>3</x:v>
      </x:c>
      <x:c r="H33" s="13" t="n">
        <x:v>3</x:v>
      </x:c>
      <x:c r="I33" s="13" t="n">
        <x:v>3</x:v>
      </x:c>
      <x:c r="J33" s="13" t="n">
        <x:v>3</x:v>
      </x:c>
      <x:c r="K33" s="13" t="n">
        <x:v>3</x:v>
      </x:c>
      <x:c r="L33" s="13" t="n">
        <x:v>3</x:v>
      </x:c>
      <x:c r="M33" s="13" t="n">
        <x:v>4</x:v>
      </x:c>
      <x:c r="N33" s="12" t="n">
        <x:v>2033</x:v>
      </x:c>
      <x:c r="O33" s="6" t="str">
        <x:v>Low</x:v>
      </x:c>
      <x:c r="P33" s="6" t="str">
        <x:v>High-value ingredients have a more plausible route than replacing commodity dairy protein at once. Regulatory approval, fermentation capacity, purification cost and repeat consumer demand can delay even niche mainstream use beyond 2035.</x:v>
      </x:c>
    </x:row>
    <x:row r="34" ht="24" hidden="0" customHeight="1">
      <x:c r="A34" s="12" t="n">
        <x:v>29</x:v>
      </x:c>
      <x:c r="B34" s="6" t="str">
        <x:v>Organoids and organ-on-chip testing</x:v>
      </x:c>
      <x:c r="C34" s="6" t="str">
        <x:v>Bio &amp; production</x:v>
      </x:c>
      <x:c r="D34" s="13" t="n">
        <x:v>2</x:v>
      </x:c>
      <x:c r="E34" s="13" t="n">
        <x:v>2</x:v>
      </x:c>
      <x:c r="F34" s="13" t="n">
        <x:v>2</x:v>
      </x:c>
      <x:c r="G34" s="13" t="n">
        <x:v>3</x:v>
      </x:c>
      <x:c r="H34" s="13" t="n">
        <x:v>3</x:v>
      </x:c>
      <x:c r="I34" s="13" t="n">
        <x:v>3</x:v>
      </x:c>
      <x:c r="J34" s="13" t="n">
        <x:v>3</x:v>
      </x:c>
      <x:c r="K34" s="13" t="n">
        <x:v>4</x:v>
      </x:c>
      <x:c r="L34" s="13" t="n">
        <x:v>4</x:v>
      </x:c>
      <x:c r="M34" s="13" t="n">
        <x:v>5</x:v>
      </x:c>
      <x:c r="N34" s="12" t="n">
        <x:v>2030</x:v>
      </x:c>
      <x:c r="O34" s="6" t="str">
        <x:v>Medium</x:v>
      </x:c>
      <x:c r="P34" s="6" t="str">
        <x:v>Platforms already serve pharmaceutical researchers and policy supports better human-relevant evidence. Reproducibility, throughput and predictive validation remain necessary. Replacement of all animal studies and transplantation of complete organs are outside this forecast.</x:v>
      </x:c>
    </x:row>
    <x:row r="35" ht="24" hidden="0" customHeight="1">
      <x:c r="A35" s="12" t="n">
        <x:v>30</x:v>
      </x:c>
      <x:c r="B35" s="6" t="str">
        <x:v>Autonomous agriculture and precision farming</x:v>
      </x:c>
      <x:c r="C35" s="6" t="str">
        <x:v>Bio &amp; production</x:v>
      </x:c>
      <x:c r="D35" s="13" t="n">
        <x:v>2</x:v>
      </x:c>
      <x:c r="E35" s="13" t="n">
        <x:v>2</x:v>
      </x:c>
      <x:c r="F35" s="13" t="n">
        <x:v>3</x:v>
      </x:c>
      <x:c r="G35" s="13" t="n">
        <x:v>3</x:v>
      </x:c>
      <x:c r="H35" s="13" t="n">
        <x:v>3</x:v>
      </x:c>
      <x:c r="I35" s="13" t="n">
        <x:v>3</x:v>
      </x:c>
      <x:c r="J35" s="13" t="n">
        <x:v>4</x:v>
      </x:c>
      <x:c r="K35" s="13" t="n">
        <x:v>4</x:v>
      </x:c>
      <x:c r="L35" s="13" t="n">
        <x:v>5</x:v>
      </x:c>
      <x:c r="M35" s="13" t="n">
        <x:v>5</x:v>
      </x:c>
      <x:c r="N35" s="12" t="n">
        <x:v>2029</x:v>
      </x:c>
      <x:c r="O35" s="6" t="str">
        <x:v>High</x:v>
      </x:c>
      <x:c r="P35" s="6" t="str">
        <x:v>Savings in chemicals, labour and time can create a measurable purchase case. Crops, field geometry and capital access differ, so the forecast concerns selected farm operations rather than fully unattended farms everywhere.</x:v>
      </x:c>
    </x:row>
    <x:row r="36" ht="24" hidden="0" customHeight="1">
      <x:c r="A36" s="12" t="n">
        <x:v>31</x:v>
      </x:c>
      <x:c r="B36" s="6" t="str">
        <x:v>Perovskite-silicon tandem solar</x:v>
      </x:c>
      <x:c r="C36" s="6" t="str">
        <x:v>Clean power</x:v>
      </x:c>
      <x:c r="D36" s="13" t="n">
        <x:v>1</x:v>
      </x:c>
      <x:c r="E36" s="13" t="n">
        <x:v>1</x:v>
      </x:c>
      <x:c r="F36" s="13" t="n">
        <x:v>2</x:v>
      </x:c>
      <x:c r="G36" s="13" t="n">
        <x:v>3</x:v>
      </x:c>
      <x:c r="H36" s="13" t="n">
        <x:v>3</x:v>
      </x:c>
      <x:c r="I36" s="13" t="n">
        <x:v>3</x:v>
      </x:c>
      <x:c r="J36" s="13" t="n">
        <x:v>3</x:v>
      </x:c>
      <x:c r="K36" s="13" t="n">
        <x:v>3</x:v>
      </x:c>
      <x:c r="L36" s="13" t="n">
        <x:v>4</x:v>
      </x:c>
      <x:c r="M36" s="13" t="n">
        <x:v>4</x:v>
      </x:c>
      <x:c r="N36" s="12" t="n">
        <x:v>2031</x:v>
      </x:c>
      <x:c r="O36" s="6" t="str">
        <x:v>Medium</x:v>
      </x:c>
      <x:c r="P36" s="6" t="str">
        <x:v>Record efficiency gives a strong incentive where area has value. Large-area uniformity, encapsulation, degradation and warranties determine whether premium shipments become a routine choice. Broad commodity market dominance is not assumed.</x:v>
      </x:c>
    </x:row>
    <x:row r="37" ht="24" hidden="0" customHeight="1">
      <x:c r="A37" s="12" t="n">
        <x:v>32</x:v>
      </x:c>
      <x:c r="B37" s="6" t="str">
        <x:v>Long-duration energy storage</x:v>
      </x:c>
      <x:c r="C37" s="6" t="str">
        <x:v>Clean power</x:v>
      </x:c>
      <x:c r="D37" s="13" t="n">
        <x:v>2</x:v>
      </x:c>
      <x:c r="E37" s="13" t="n">
        <x:v>2</x:v>
      </x:c>
      <x:c r="F37" s="13" t="n">
        <x:v>2</x:v>
      </x:c>
      <x:c r="G37" s="13" t="n">
        <x:v>3</x:v>
      </x:c>
      <x:c r="H37" s="13" t="n">
        <x:v>3</x:v>
      </x:c>
      <x:c r="I37" s="13" t="n">
        <x:v>3</x:v>
      </x:c>
      <x:c r="J37" s="13" t="n">
        <x:v>3</x:v>
      </x:c>
      <x:c r="K37" s="13" t="n">
        <x:v>3</x:v>
      </x:c>
      <x:c r="L37" s="13" t="n">
        <x:v>4</x:v>
      </x:c>
      <x:c r="M37" s="13" t="n">
        <x:v>4</x:v>
      </x:c>
      <x:c r="N37" s="12" t="n">
        <x:v>2032</x:v>
      </x:c>
      <x:c r="O37" s="6" t="str">
        <x:v>Medium</x:v>
      </x:c>
      <x:c r="P37" s="6" t="str">
        <x:v>Greater renewable exposure creates use cases, but lithium-ion remains a formidable competitor over shorter durations. Contracts that pay for prolonged availability, rather than only energy throughput, are essential. Some chemistries may not scale by 2035.</x:v>
      </x:c>
    </x:row>
    <x:row r="38" ht="24" hidden="0" customHeight="1">
      <x:c r="A38" s="12" t="n">
        <x:v>33</x:v>
      </x:c>
      <x:c r="B38" s="6" t="str">
        <x:v>Sodium-ion batteries</x:v>
      </x:c>
      <x:c r="C38" s="6" t="str">
        <x:v>Clean power</x:v>
      </x:c>
      <x:c r="D38" s="13" t="n">
        <x:v>1</x:v>
      </x:c>
      <x:c r="E38" s="13" t="n">
        <x:v>2</x:v>
      </x:c>
      <x:c r="F38" s="13" t="n">
        <x:v>2</x:v>
      </x:c>
      <x:c r="G38" s="13" t="n">
        <x:v>2</x:v>
      </x:c>
      <x:c r="H38" s="13" t="n">
        <x:v>3</x:v>
      </x:c>
      <x:c r="I38" s="13" t="n">
        <x:v>3</x:v>
      </x:c>
      <x:c r="J38" s="13" t="n">
        <x:v>3</x:v>
      </x:c>
      <x:c r="K38" s="13" t="n">
        <x:v>4</x:v>
      </x:c>
      <x:c r="L38" s="13" t="n">
        <x:v>4</x:v>
      </x:c>
      <x:c r="M38" s="13" t="n">
        <x:v>5</x:v>
      </x:c>
      <x:c r="N38" s="12" t="n">
        <x:v>2030</x:v>
      </x:c>
      <x:c r="O38" s="6" t="str">
        <x:v>Medium</x:v>
      </x:c>
      <x:c r="P38" s="6" t="str">
        <x:v>Major manufacturers and initial vehicle programmes support a plausible commercial pathway. Lower energy density and cheap competing LFP can delay adoption. Manufacturer mass-production language should be checked against actual shipped GWh.</x:v>
      </x:c>
    </x:row>
    <x:row r="39" ht="36" hidden="0" customHeight="1">
      <x:c r="A39" s="12" t="n">
        <x:v>34</x:v>
      </x:c>
      <x:c r="B39" s="6" t="str">
        <x:v>Advanced geothermal</x:v>
      </x:c>
      <x:c r="C39" s="6" t="str">
        <x:v>Clean power</x:v>
      </x:c>
      <x:c r="D39" s="13" t="n">
        <x:v>1</x:v>
      </x:c>
      <x:c r="E39" s="13" t="n">
        <x:v>2</x:v>
      </x:c>
      <x:c r="F39" s="13" t="n">
        <x:v>3</x:v>
      </x:c>
      <x:c r="G39" s="13" t="n">
        <x:v>3</x:v>
      </x:c>
      <x:c r="H39" s="13" t="n">
        <x:v>3</x:v>
      </x:c>
      <x:c r="I39" s="13" t="n">
        <x:v>3</x:v>
      </x:c>
      <x:c r="J39" s="13" t="n">
        <x:v>3</x:v>
      </x:c>
      <x:c r="K39" s="13" t="n">
        <x:v>3</x:v>
      </x:c>
      <x:c r="L39" s="13" t="n">
        <x:v>4</x:v>
      </x:c>
      <x:c r="M39" s="13" t="n">
        <x:v>4</x:v>
      </x:c>
      <x:c r="N39" s="12" t="n">
        <x:v>2031</x:v>
      </x:c>
      <x:c r="O39" s="6" t="str">
        <x:v>Medium</x:v>
      </x:c>
      <x:c r="P39" s="6" t="str">
        <x:v>The first commercial projects now support a late-2020s replication cycle. Repeat wells, reliable multi-year production and financeable contracts could make selected projects routine early in the 2030s. Permitting, induced seismicity, reservoir decline or disappointing drilling costs could delay adoption beyond this window. IEA’s possible 80% cost decline by 2035 is conditional, not a guaranteed learning curve.</x:v>
      </x:c>
    </x:row>
    <x:row r="40" ht="36" hidden="0" customHeight="1">
      <x:c r="A40" s="12" t="n">
        <x:v>35</x:v>
      </x:c>
      <x:c r="B40" s="6" t="str">
        <x:v>Small modular nuclear reactors</x:v>
      </x:c>
      <x:c r="C40" s="6" t="str">
        <x:v>Clean power</x:v>
      </x:c>
      <x:c r="D40" s="13" t="n">
        <x:v>1</x:v>
      </x:c>
      <x:c r="E40" s="13" t="n">
        <x:v>1</x:v>
      </x:c>
      <x:c r="F40" s="13" t="n">
        <x:v>2</x:v>
      </x:c>
      <x:c r="G40" s="13" t="n">
        <x:v>2</x:v>
      </x:c>
      <x:c r="H40" s="13" t="n">
        <x:v>2</x:v>
      </x:c>
      <x:c r="I40" s="13" t="n">
        <x:v>2</x:v>
      </x:c>
      <x:c r="J40" s="13" t="n">
        <x:v>3</x:v>
      </x:c>
      <x:c r="K40" s="13" t="n">
        <x:v>3</x:v>
      </x:c>
      <x:c r="L40" s="13" t="n">
        <x:v>3</x:v>
      </x:c>
      <x:c r="M40" s="13" t="n">
        <x:v>4</x:v>
      </x:c>
      <x:c r="N40" s="12" t="n">
        <x:v>2034</x:v>
      </x:c>
      <x:c r="O40" s="6" t="str">
        <x:v>Low</x:v>
      </x:c>
      <x:c r="P40" s="6" t="str">
        <x:v>First commercial deployments around 2030 need operating evidence before repeat fleets become routine. Successful early projects could support serial procurement in the early-to-mid 2030s. Delays in licensing, construction economics or specialist fuel can push broad adoption past 2035. The IEA’s 2050 scenarios span 40–120 GW, illustrating the policy sensitivity.</x:v>
      </x:c>
    </x:row>
    <x:row r="41" ht="36" hidden="0" customHeight="1">
      <x:c r="A41" s="12" t="n">
        <x:v>36</x:v>
      </x:c>
      <x:c r="B41" s="6" t="str">
        <x:v>High-temperature and industrial heat pumps</x:v>
      </x:c>
      <x:c r="C41" s="6" t="str">
        <x:v>Electrification</x:v>
      </x:c>
      <x:c r="D41" s="13" t="n">
        <x:v>2</x:v>
      </x:c>
      <x:c r="E41" s="13" t="n">
        <x:v>2</x:v>
      </x:c>
      <x:c r="F41" s="13" t="n">
        <x:v>2</x:v>
      </x:c>
      <x:c r="G41" s="13" t="n">
        <x:v>3</x:v>
      </x:c>
      <x:c r="H41" s="13" t="n">
        <x:v>3</x:v>
      </x:c>
      <x:c r="I41" s="13" t="n">
        <x:v>3</x:v>
      </x:c>
      <x:c r="J41" s="13" t="n">
        <x:v>3</x:v>
      </x:c>
      <x:c r="K41" s="13" t="n">
        <x:v>3</x:v>
      </x:c>
      <x:c r="L41" s="13" t="n">
        <x:v>4</x:v>
      </x:c>
      <x:c r="M41" s="13" t="n">
        <x:v>4</x:v>
      </x:c>
      <x:c r="N41" s="12" t="n">
        <x:v>2031</x:v>
      </x:c>
      <x:c r="O41" s="6" t="str">
        <x:v>Medium</x:v>
      </x:c>
      <x:c r="P41" s="6" t="str">
        <x:v>Repeat industrial packages, integrator experience and rising efficiency support adoption in the early 2030s. This does not imply widespread replacement of very high-temperature furnaces. IEA’s current-policy scenario is broadly stagnant through 2035, whereas its stated-policy scenario reaches about 8% of light-industry heat demand; policy and electricity economics are therefore material conditions.</x:v>
      </x:c>
    </x:row>
    <x:row r="42" ht="24" hidden="0" customHeight="1">
      <x:c r="A42" s="12" t="n">
        <x:v>37</x:v>
      </x:c>
      <x:c r="B42" s="6" t="str">
        <x:v>Virtual power plants and demand flexibility</x:v>
      </x:c>
      <x:c r="C42" s="6" t="str">
        <x:v>Electrification</x:v>
      </x:c>
      <x:c r="D42" s="13" t="n">
        <x:v>3</x:v>
      </x:c>
      <x:c r="E42" s="13" t="n">
        <x:v>3</x:v>
      </x:c>
      <x:c r="F42" s="13" t="n">
        <x:v>3</x:v>
      </x:c>
      <x:c r="G42" s="13" t="n">
        <x:v>3</x:v>
      </x:c>
      <x:c r="H42" s="13" t="n">
        <x:v>3</x:v>
      </x:c>
      <x:c r="I42" s="13" t="n">
        <x:v>3</x:v>
      </x:c>
      <x:c r="J42" s="13" t="n">
        <x:v>4</x:v>
      </x:c>
      <x:c r="K42" s="13" t="n">
        <x:v>4</x:v>
      </x:c>
      <x:c r="L42" s="13" t="n">
        <x:v>5</x:v>
      </x:c>
      <x:c r="M42" s="13" t="n">
        <x:v>5</x:v>
      </x:c>
      <x:c r="N42" s="12" t="n">
        <x:v>2028</x:v>
      </x:c>
      <x:c r="O42" s="6" t="str">
        <x:v>High</x:v>
      </x:c>
      <x:c r="P42" s="6" t="str">
        <x:v>Existing commercial programmes reduce technology risk; market access, device interoperability and dependable dispatch are the remaining scaling tasks. Some regions already meet this definition, while others may not by 2035. Retail tariffs, incentives and utility rules determine the local date more than software maturity.</x:v>
      </x:c>
    </x:row>
    <x:row r="43" ht="36" hidden="0" customHeight="1">
      <x:c r="A43" s="12" t="n">
        <x:v>38</x:v>
      </x:c>
      <x:c r="B43" s="6" t="str">
        <x:v>Advanced transmission and grid-enhancing technologies</x:v>
      </x:c>
      <x:c r="C43" s="6" t="str">
        <x:v>Electrification</x:v>
      </x:c>
      <x:c r="D43" s="13" t="n">
        <x:v>3</x:v>
      </x:c>
      <x:c r="E43" s="13" t="n">
        <x:v>3</x:v>
      </x:c>
      <x:c r="F43" s="13" t="n">
        <x:v>3</x:v>
      </x:c>
      <x:c r="G43" s="13" t="n">
        <x:v>3</x:v>
      </x:c>
      <x:c r="H43" s="13" t="n">
        <x:v>3</x:v>
      </x:c>
      <x:c r="I43" s="13" t="n">
        <x:v>3</x:v>
      </x:c>
      <x:c r="J43" s="13" t="n">
        <x:v>4</x:v>
      </x:c>
      <x:c r="K43" s="13" t="n">
        <x:v>4</x:v>
      </x:c>
      <x:c r="L43" s="13" t="n">
        <x:v>5</x:v>
      </x:c>
      <x:c r="M43" s="13" t="n">
        <x:v>5</x:v>
      </x:c>
      <x:c r="N43" s="12" t="n">
        <x:v>2028</x:v>
      </x:c>
      <x:c r="O43" s="6" t="str">
        <x:v>High</x:v>
      </x:c>
      <x:c r="P43" s="6" t="str">
        <x:v>Products have commercial operating experience and can be installed within existing corridors. Broader procurement can become routine before 2030 as operators develop engineering standards and performance records. Adoption will remain selective because each grid bottleneck needs a different remedy; this window is not a forecast that most lines will be rebuilt.</x:v>
      </x:c>
    </x:row>
    <x:row r="44" ht="36" hidden="0" customHeight="1">
      <x:c r="A44" s="12" t="n">
        <x:v>39</x:v>
      </x:c>
      <x:c r="B44" s="6" t="str">
        <x:v>Smart and bidirectional EV charging</x:v>
      </x:c>
      <x:c r="C44" s="6" t="str">
        <x:v>Electrification</x:v>
      </x:c>
      <x:c r="D44" s="13" t="n">
        <x:v>2</x:v>
      </x:c>
      <x:c r="E44" s="13" t="n">
        <x:v>2</x:v>
      </x:c>
      <x:c r="F44" s="13" t="n">
        <x:v>2</x:v>
      </x:c>
      <x:c r="G44" s="13" t="n">
        <x:v>3</x:v>
      </x:c>
      <x:c r="H44" s="13" t="n">
        <x:v>3</x:v>
      </x:c>
      <x:c r="I44" s="13" t="n">
        <x:v>3</x:v>
      </x:c>
      <x:c r="J44" s="13" t="n">
        <x:v>3</x:v>
      </x:c>
      <x:c r="K44" s="13" t="n">
        <x:v>4</x:v>
      </x:c>
      <x:c r="L44" s="13" t="n">
        <x:v>4</x:v>
      </x:c>
      <x:c r="M44" s="13" t="n">
        <x:v>5</x:v>
      </x:c>
      <x:c r="N44" s="12" t="n">
        <x:v>2030</x:v>
      </x:c>
      <x:c r="O44" s="6" t="str">
        <x:v>Medium</x:v>
      </x:c>
      <x:c r="P44" s="6" t="str">
        <x:v>Smart charging is already routine in some products. The later date applies to widespread, supportable bidirectional packages with clear warranties, interoperable equipment and predictable tariffs. Fleets with regular parking schedules are likely to scale earlier than every household. Tariff design and vehicle replacement cycles can keep many markets below this threshold in 2035.</x:v>
      </x:c>
    </x:row>
    <x:row r="45" ht="36" hidden="0" customHeight="1">
      <x:c r="A45" s="12" t="n">
        <x:v>40</x:v>
      </x:c>
      <x:c r="B45" s="6" t="str">
        <x:v>Battery recycling and materials recovery</x:v>
      </x:c>
      <x:c r="C45" s="6" t="str">
        <x:v>Electrification</x:v>
      </x:c>
      <x:c r="D45" s="13" t="n">
        <x:v>3</x:v>
      </x:c>
      <x:c r="E45" s="13" t="n">
        <x:v>3</x:v>
      </x:c>
      <x:c r="F45" s="13" t="n">
        <x:v>3</x:v>
      </x:c>
      <x:c r="G45" s="13" t="n">
        <x:v>3</x:v>
      </x:c>
      <x:c r="H45" s="13" t="n">
        <x:v>3</x:v>
      </x:c>
      <x:c r="I45" s="13" t="n">
        <x:v>3</x:v>
      </x:c>
      <x:c r="J45" s="13" t="n">
        <x:v>3</x:v>
      </x:c>
      <x:c r="K45" s="13" t="n">
        <x:v>4</x:v>
      </x:c>
      <x:c r="L45" s="13" t="n">
        <x:v>4</x:v>
      </x:c>
      <x:c r="M45" s="13" t="n">
        <x:v>5</x:v>
      </x:c>
      <x:c r="N45" s="12" t="n">
        <x:v>2029</x:v>
      </x:c>
      <x:c r="O45" s="6" t="str">
        <x:v>Medium</x:v>
      </x:c>
      <x:c r="P45" s="6" t="str">
        <x:v>Industrial recycling already exists, particularly in China. The emerging phase is efficient lithium recovery, wider LFP processing and dependable regional closed loops. Rising collected volumes and qualification with cell makers could make these routine around the end of the decade. Low metal prices or underutilised plants can cause consolidation and delay regional expansion.</x:v>
      </x:c>
    </x:row>
    <x:row r="46" ht="36" hidden="0" customHeight="1">
      <x:c r="A46" s="12" t="n">
        <x:v>41</x:v>
      </x:c>
      <x:c r="B46" s="6" t="str">
        <x:v>Low-emissions hydrogen and electrolyzers</x:v>
      </x:c>
      <x:c r="C46" s="6" t="str">
        <x:v>Sustainable industry</x:v>
      </x:c>
      <x:c r="D46" s="13" t="n">
        <x:v>2</x:v>
      </x:c>
      <x:c r="E46" s="13" t="n">
        <x:v>2</x:v>
      </x:c>
      <x:c r="F46" s="13" t="n">
        <x:v>2</x:v>
      </x:c>
      <x:c r="G46" s="13" t="n">
        <x:v>3</x:v>
      </x:c>
      <x:c r="H46" s="13" t="n">
        <x:v>3</x:v>
      </x:c>
      <x:c r="I46" s="13" t="n">
        <x:v>3</x:v>
      </x:c>
      <x:c r="J46" s="13" t="n">
        <x:v>3</x:v>
      </x:c>
      <x:c r="K46" s="13" t="n">
        <x:v>3</x:v>
      </x:c>
      <x:c r="L46" s="13" t="n">
        <x:v>3</x:v>
      </x:c>
      <x:c r="M46" s="13" t="n">
        <x:v>4</x:v>
      </x:c>
      <x:c r="N46" s="12" t="n">
        <x:v>2033</x:v>
      </x:c>
      <x:c r="O46" s="6" t="str">
        <x:v>Low</x:v>
      </x:c>
      <x:c r="P46" s="6" t="str">
        <x:v>Existing industrial demand reduces the need to create a new end use, but large cost gaps and uncertain offtake remain. Several committed projects can establish regional markets by 2030, followed by repeat projects in the early 2030s. This is conditional sector adoption; large-scale use in household heating, ordinary cars or all heavy industry is not assumed. A broad market could slip beyond 2035.</x:v>
      </x:c>
    </x:row>
    <x:row r="47" ht="36" hidden="0" customHeight="1">
      <x:c r="A47" s="12" t="n">
        <x:v>42</x:v>
      </x:c>
      <x:c r="B47" s="6" t="str">
        <x:v>Industrial carbon capture and storage</x:v>
      </x:c>
      <x:c r="C47" s="6" t="str">
        <x:v>Sustainable industry</x:v>
      </x:c>
      <x:c r="D47" s="13" t="n">
        <x:v>3</x:v>
      </x:c>
      <x:c r="E47" s="13" t="n">
        <x:v>3</x:v>
      </x:c>
      <x:c r="F47" s="13" t="n">
        <x:v>3</x:v>
      </x:c>
      <x:c r="G47" s="13" t="n">
        <x:v>3</x:v>
      </x:c>
      <x:c r="H47" s="13" t="n">
        <x:v>3</x:v>
      </x:c>
      <x:c r="I47" s="13" t="n">
        <x:v>3</x:v>
      </x:c>
      <x:c r="J47" s="13" t="n">
        <x:v>3</x:v>
      </x:c>
      <x:c r="K47" s="13" t="n">
        <x:v>3</x:v>
      </x:c>
      <x:c r="L47" s="13" t="n">
        <x:v>4</x:v>
      </x:c>
      <x:c r="M47" s="13" t="n">
        <x:v>4</x:v>
      </x:c>
      <x:c r="N47" s="12" t="n">
        <x:v>2032</x:v>
      </x:c>
      <x:c r="O47" s="6" t="str">
        <x:v>Medium</x:v>
      </x:c>
      <x:c r="P47" s="6" t="str">
        <x:v>Capture has operating precedents, but repeat deployment for hard-to-abate industrial emissions requires storage availability, permits and durable revenue. Projects now under construction can support a broader service market in the early 2030s. This window does not imply CCS on most factories or power stations; high total-chain costs and unbuilt storage can push projects past 2035.</x:v>
      </x:c>
    </x:row>
    <x:row r="48" ht="36" hidden="0" customHeight="1">
      <x:c r="A48" s="12" t="n">
        <x:v>43</x:v>
      </x:c>
      <x:c r="B48" s="6" t="str">
        <x:v>Low-carbon cement and concrete</x:v>
      </x:c>
      <x:c r="C48" s="6" t="str">
        <x:v>Sustainable industry</x:v>
      </x:c>
      <x:c r="D48" s="13" t="n">
        <x:v>3</x:v>
      </x:c>
      <x:c r="E48" s="13" t="n">
        <x:v>3</x:v>
      </x:c>
      <x:c r="F48" s="13" t="n">
        <x:v>3</x:v>
      </x:c>
      <x:c r="G48" s="13" t="n">
        <x:v>3</x:v>
      </x:c>
      <x:c r="H48" s="13" t="n">
        <x:v>3</x:v>
      </x:c>
      <x:c r="I48" s="13" t="n">
        <x:v>3</x:v>
      </x:c>
      <x:c r="J48" s="13" t="n">
        <x:v>4</x:v>
      </x:c>
      <x:c r="K48" s="13" t="n">
        <x:v>4</x:v>
      </x:c>
      <x:c r="L48" s="13" t="n">
        <x:v>5</x:v>
      </x:c>
      <x:c r="M48" s="13" t="n">
        <x:v>5</x:v>
      </x:c>
      <x:c r="N48" s="12" t="n">
        <x:v>2028</x:v>
      </x:c>
      <x:c r="O48" s="6" t="str">
        <x:v>High</x:v>
      </x:c>
      <x:c r="P48" s="6" t="str">
        <x:v>Several approaches fit established concrete production and can scale through existing suppliers and procurement standards. More novel clinker-free processes may require longer qualification and financing cycles. Routine availability of some lower-carbon options before 2030 is plausible; fully eliminating cement process emissions across the world by 2035 is not assumed.</x:v>
      </x:c>
    </x:row>
    <x:row r="49" ht="24" hidden="0" customHeight="1">
      <x:c r="A49" s="12" t="n">
        <x:v>44</x:v>
      </x:c>
      <x:c r="B49" s="6" t="str">
        <x:v>Sustainable aviation fuels</x:v>
      </x:c>
      <x:c r="C49" s="6" t="str">
        <x:v>Sustainable industry</x:v>
      </x:c>
      <x:c r="D49" s="13" t="n">
        <x:v>2</x:v>
      </x:c>
      <x:c r="E49" s="13" t="n">
        <x:v>2</x:v>
      </x:c>
      <x:c r="F49" s="13" t="n">
        <x:v>3</x:v>
      </x:c>
      <x:c r="G49" s="13" t="n">
        <x:v>3</x:v>
      </x:c>
      <x:c r="H49" s="13" t="n">
        <x:v>3</x:v>
      </x:c>
      <x:c r="I49" s="13" t="n">
        <x:v>3</x:v>
      </x:c>
      <x:c r="J49" s="13" t="n">
        <x:v>3</x:v>
      </x:c>
      <x:c r="K49" s="13" t="n">
        <x:v>4</x:v>
      </x:c>
      <x:c r="L49" s="13" t="n">
        <x:v>4</x:v>
      </x:c>
      <x:c r="M49" s="13" t="n">
        <x:v>5</x:v>
      </x:c>
      <x:c r="N49" s="12" t="n">
        <x:v>2030</x:v>
      </x:c>
      <x:c r="O49" s="6" t="str">
        <x:v>High</x:v>
      </x:c>
      <x:c r="P49" s="6" t="str">
        <x:v>Compatibility with existing aircraft and mandated demand support repeat procurement before 2030 in leading markets. The date refers to routine availability and contracting, not majority fuel share. Synthetic SAF is earlier-stage and may scale later; feedstock constraints, price premiums or policy changes can delay adoption.</x:v>
      </x:c>
    </x:row>
    <x:row r="50" ht="24" hidden="0" customHeight="1">
      <x:c r="A50" s="12" t="n">
        <x:v>45</x:v>
      </x:c>
      <x:c r="B50" s="6" t="str">
        <x:v>Additive manufacturing for end-use production</x:v>
      </x:c>
      <x:c r="C50" s="6" t="str">
        <x:v>Sustainable industry</x:v>
      </x:c>
      <x:c r="D50" s="13" t="n">
        <x:v>3</x:v>
      </x:c>
      <x:c r="E50" s="13" t="n">
        <x:v>3</x:v>
      </x:c>
      <x:c r="F50" s="13" t="n">
        <x:v>3</x:v>
      </x:c>
      <x:c r="G50" s="13" t="n">
        <x:v>3</x:v>
      </x:c>
      <x:c r="H50" s="13" t="n">
        <x:v>3</x:v>
      </x:c>
      <x:c r="I50" s="13" t="n">
        <x:v>3</x:v>
      </x:c>
      <x:c r="J50" s="13" t="n">
        <x:v>3</x:v>
      </x:c>
      <x:c r="K50" s="13" t="n">
        <x:v>4</x:v>
      </x:c>
      <x:c r="L50" s="13" t="n">
        <x:v>4</x:v>
      </x:c>
      <x:c r="M50" s="13" t="n">
        <x:v>5</x:v>
      </x:c>
      <x:c r="N50" s="12" t="n">
        <x:v>2029</x:v>
      </x:c>
      <x:c r="O50" s="6" t="str">
        <x:v>Medium</x:v>
      </x:c>
      <x:c r="P50" s="6" t="str">
        <x:v>Commercial end-use applications already exist. More repeatable process control, qualification and manufacturing services can widen the economically useful range before 2030. Commodity high-volume parts often remain better suited to other methods, so the date does not imply universal replacement of machining, casting or moulding.</x:v>
      </x:c>
    </x:row>
    <x:row r="51" ht="36" hidden="0" customHeight="1">
      <x:c r="A51" s="12" t="n">
        <x:v>46</x:v>
      </x:c>
      <x:c r="B51" s="6" t="str">
        <x:v>Verifiable digital identity wallets</x:v>
      </x:c>
      <x:c r="C51" s="6" t="str">
        <x:v>Digital &amp; planetary systems</x:v>
      </x:c>
      <x:c r="D51" s="13" t="n">
        <x:v>1</x:v>
      </x:c>
      <x:c r="E51" s="13" t="n">
        <x:v>2</x:v>
      </x:c>
      <x:c r="F51" s="13" t="n">
        <x:v>2</x:v>
      </x:c>
      <x:c r="G51" s="13" t="n">
        <x:v>2</x:v>
      </x:c>
      <x:c r="H51" s="13" t="n">
        <x:v>3</x:v>
      </x:c>
      <x:c r="I51" s="13" t="n">
        <x:v>3</x:v>
      </x:c>
      <x:c r="J51" s="13" t="n">
        <x:v>3</x:v>
      </x:c>
      <x:c r="K51" s="13" t="n">
        <x:v>4</x:v>
      </x:c>
      <x:c r="L51" s="13" t="n">
        <x:v>4</x:v>
      </x:c>
      <x:c r="M51" s="13" t="n">
        <x:v>5</x:v>
      </x:c>
      <x:c r="N51" s="12" t="n">
        <x:v>2029</x:v>
      </x:c>
      <x:c r="O51" s="6" t="str">
        <x:v>High</x:v>
      </x:c>
      <x:c r="P51" s="6" t="str">
        <x:v>Existing national adoption provides a base, while the EU rollout obligation supports issuer and service integration. Several years may be needed after availability for routine acceptance and reliable cross-border operation. Uneven implementation, difficult recovery processes or low service acceptance can keep actual usage below the headline number of issued wallets.</x:v>
      </x:c>
    </x:row>
    <x:row r="52" ht="36" hidden="0" customHeight="1">
      <x:c r="A52" s="12" t="n">
        <x:v>47</x:v>
      </x:c>
      <x:c r="B52" s="6" t="str">
        <x:v>Tokenized real-world assets</x:v>
      </x:c>
      <x:c r="C52" s="6" t="str">
        <x:v>Digital &amp; planetary systems</x:v>
      </x:c>
      <x:c r="D52" s="13" t="n">
        <x:v>2</x:v>
      </x:c>
      <x:c r="E52" s="13" t="n">
        <x:v>2</x:v>
      </x:c>
      <x:c r="F52" s="13" t="n">
        <x:v>2</x:v>
      </x:c>
      <x:c r="G52" s="13" t="n">
        <x:v>3</x:v>
      </x:c>
      <x:c r="H52" s="13" t="n">
        <x:v>3</x:v>
      </x:c>
      <x:c r="I52" s="13" t="n">
        <x:v>3</x:v>
      </x:c>
      <x:c r="J52" s="13" t="n">
        <x:v>3</x:v>
      </x:c>
      <x:c r="K52" s="13" t="n">
        <x:v>4</x:v>
      </x:c>
      <x:c r="L52" s="13" t="n">
        <x:v>4</x:v>
      </x:c>
      <x:c r="M52" s="13" t="n">
        <x:v>5</x:v>
      </x:c>
      <x:c r="N52" s="12" t="n">
        <x:v>2030</x:v>
      </x:c>
      <x:c r="O52" s="6" t="str">
        <x:v>Medium</x:v>
      </x:c>
      <x:c r="P52" s="6" t="str">
        <x:v>Short-duration funds and collateral have clearer operating uses than tokenizing every physical asset. Existing offerings can become repeatable as custody, cash settlement and market infrastructure mature. Legal fragmentation, limited liquidity and duplicate legacy systems can delay adoption. The date refers to selected workflows, not most global assets being on public blockchains.</x:v>
      </x:c>
    </x:row>
    <x:row r="53" ht="36" hidden="0" customHeight="1">
      <x:c r="A53" s="12" t="n">
        <x:v>48</x:v>
      </x:c>
      <x:c r="B53" s="6" t="str">
        <x:v>Regulated stablecoin payment rails</x:v>
      </x:c>
      <x:c r="C53" s="6" t="str">
        <x:v>Digital &amp; planetary systems</x:v>
      </x:c>
      <x:c r="D53" s="13" t="n">
        <x:v>3</x:v>
      </x:c>
      <x:c r="E53" s="13" t="n">
        <x:v>3</x:v>
      </x:c>
      <x:c r="F53" s="13" t="n">
        <x:v>3</x:v>
      </x:c>
      <x:c r="G53" s="13" t="n">
        <x:v>3</x:v>
      </x:c>
      <x:c r="H53" s="13" t="n">
        <x:v>3</x:v>
      </x:c>
      <x:c r="I53" s="13" t="n">
        <x:v>3</x:v>
      </x:c>
      <x:c r="J53" s="13" t="n">
        <x:v>4</x:v>
      </x:c>
      <x:c r="K53" s="13" t="n">
        <x:v>4</x:v>
      </x:c>
      <x:c r="L53" s="13" t="n">
        <x:v>5</x:v>
      </x:c>
      <x:c r="M53" s="13" t="n">
        <x:v>5</x:v>
      </x:c>
      <x:c r="N53" s="12" t="n">
        <x:v>2028</x:v>
      </x:c>
      <x:c r="O53" s="6" t="str">
        <x:v>High</x:v>
      </x:c>
      <x:c r="P53" s="6" t="str">
        <x:v>Existing circulation and payment-provider integration reduce infrastructure risk. Businesses can adopt through intermediaries without managing wallets directly, but banking access, redemption liquidity, regulation and local payout coverage determine real usefulness. Strong domestic instant-payment systems can remain competitive. The date is a selected-workflow estimate, not a claim that stablecoins replace bank deposits.</x:v>
      </x:c>
    </x:row>
    <x:row r="54" ht="36" hidden="0" customHeight="1">
      <x:c r="A54" s="12" t="n">
        <x:v>49</x:v>
      </x:c>
      <x:c r="B54" s="6" t="str">
        <x:v>Earth-observation analytics</x:v>
      </x:c>
      <x:c r="C54" s="6" t="str">
        <x:v>Digital &amp; planetary systems</x:v>
      </x:c>
      <x:c r="D54" s="13" t="n">
        <x:v>3</x:v>
      </x:c>
      <x:c r="E54" s="13" t="n">
        <x:v>3</x:v>
      </x:c>
      <x:c r="F54" s="13" t="n">
        <x:v>3</x:v>
      </x:c>
      <x:c r="G54" s="13" t="n">
        <x:v>3</x:v>
      </x:c>
      <x:c r="H54" s="13" t="n">
        <x:v>3</x:v>
      </x:c>
      <x:c r="I54" s="13" t="n">
        <x:v>3</x:v>
      </x:c>
      <x:c r="J54" s="13" t="n">
        <x:v>4</x:v>
      </x:c>
      <x:c r="K54" s="13" t="n">
        <x:v>4</x:v>
      </x:c>
      <x:c r="L54" s="13" t="n">
        <x:v>5</x:v>
      </x:c>
      <x:c r="M54" s="13" t="n">
        <x:v>5</x:v>
      </x:c>
      <x:c r="N54" s="12" t="n">
        <x:v>2028</x:v>
      </x:c>
      <x:c r="O54" s="6" t="str">
        <x:v>High</x:v>
      </x:c>
      <x:c r="P54" s="6" t="str">
        <x:v>Commercial data subscriptions already exist and analytics reduce the specialist effort needed to use them. Integration and validation can make recurring monitoring routine in more vertical markets by the late 2020s. This does not imply continuous, equally accurate coverage of every asset; cloud cover, resolution, revisit time and economics remain use-case constraints.</x:v>
      </x:c>
    </x:row>
    <x:row r="55" ht="36" hidden="0" customHeight="1">
      <x:c r="A55" s="12" t="n">
        <x:v>50</x:v>
      </x:c>
      <x:c r="B55" s="6" t="str">
        <x:v>Advanced desalination and water reuse</x:v>
      </x:c>
      <x:c r="C55" s="6" t="str">
        <x:v>Digital &amp; planetary systems</x:v>
      </x:c>
      <x:c r="D55" s="13" t="n">
        <x:v>3</x:v>
      </x:c>
      <x:c r="E55" s="13" t="n">
        <x:v>3</x:v>
      </x:c>
      <x:c r="F55" s="13" t="n">
        <x:v>3</x:v>
      </x:c>
      <x:c r="G55" s="13" t="n">
        <x:v>3</x:v>
      </x:c>
      <x:c r="H55" s="13" t="n">
        <x:v>3</x:v>
      </x:c>
      <x:c r="I55" s="13" t="n">
        <x:v>3</x:v>
      </x:c>
      <x:c r="J55" s="13" t="n">
        <x:v>3</x:v>
      </x:c>
      <x:c r="K55" s="13" t="n">
        <x:v>4</x:v>
      </x:c>
      <x:c r="L55" s="13" t="n">
        <x:v>4</x:v>
      </x:c>
      <x:c r="M55" s="13" t="n">
        <x:v>5</x:v>
      </x:c>
      <x:c r="N55" s="12" t="n">
        <x:v>2030</x:v>
      </x:c>
      <x:c r="O55" s="6" t="str">
        <x:v>Medium</x:v>
      </x:c>
      <x:c r="P55" s="6" t="str">
        <x:v>Conventional desalination and some potable reuse are already established. The emerging phase is broader reuse acceptance, higher recovery, better energy efficiency and integrated industrial water loops. Multi-year permitting and construction imply gradual adoption. Affordable alternatives, brine-management limits or weak utility finances can make the local date much later.</x:v>
      </x:c>
    </x:row>
  </x:sheetData>
  <x:conditionalFormatting sqref="D6:M55">
    <x:cfRule type="colorScale" priority="1">
      <x:colorScale>
        <x:cfvo type="num" val="0"/>
        <x:cfvo type="num" val="2.5"/>
        <x:cfvo type="num" val="5"/>
        <x:color rgb="FFF7F7EE"/>
        <x:color rgb="FFDFEBC6"/>
        <x:color rgb="FF5F865B"/>
      </x:colorScale>
    </x:cfRule>
  </x:conditionalFormatting>
  <x:pageMargins left="0.7" right="0.7" top="0.75" bottom="0.75" header="0.3" footer="0.3"/>
  <x:tableParts count="1">
    <x:tablePart xmlns:r="http://schemas.openxmlformats.org/officeDocument/2006/relationships" r:id="R99920c3f4b3c4ecd"/>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2" hidden="0" customWidth="1"/>
    <x:col min="3" max="3" width="72" hidden="0" customWidth="1"/>
    <x:col min="4" max="4" width="82" hidden="0" customWidth="1"/>
    <x:col min="5" max="5" width="100" hidden="0" customWidth="1"/>
    <x:col min="6" max="6" width="90" hidden="0" customWidth="1"/>
    <x:col min="7" max="7" width="120" hidden="0" customWidth="1"/>
    <x:col min="8" max="8" width="72" hidden="0" customWidth="1"/>
    <x:col min="9" max="9" width="78" hidden="0" customWidth="1"/>
    <x:col min="10" max="10" width="88" hidden="0" customWidth="1"/>
    <x:col min="11" max="11" width="100" hidden="0" customWidth="1"/>
    <x:col min="12" max="12" width="100" hidden="0" customWidth="1"/>
  </x:cols>
  <x:sheetData>
    <x:row r="1" ht="15" hidden="0" customHeight="1">
      <x:c r="A1" s="2"/>
      <x:c r="B1" s="2"/>
      <x:c r="C1" s="2"/>
      <x:c r="D1" s="2"/>
      <x:c r="E1" s="2"/>
      <x:c r="F1" s="2"/>
      <x:c r="G1" s="2"/>
      <x:c r="H1" s="2"/>
      <x:c r="I1" s="2"/>
      <x:c r="J1" s="2"/>
      <x:c r="K1" s="2"/>
      <x:c r="L1" s="2"/>
    </x:row>
    <x:row r="2" ht="28" hidden="0" customHeight="1">
      <x:c r="A2" s="3" t="str">
        <x:v>The technology dossiers</x:v>
      </x:c>
      <x:c r="B2" s="2"/>
      <x:c r="C2" s="2"/>
      <x:c r="D2" s="2"/>
      <x:c r="E2" s="2"/>
      <x:c r="F2" s="2"/>
      <x:c r="G2" s="2"/>
      <x:c r="H2" s="2"/>
      <x:c r="I2" s="2"/>
      <x:c r="J2" s="2"/>
      <x:c r="K2" s="2"/>
      <x:c r="L2" s="2"/>
    </x:row>
    <x:row r="3" ht="25" hidden="0" customHeight="1">
      <x:c r="A3" s="4" t="str">
        <x:v>Plain-language use cases, adoption drivers, constraints and watch metrics. Forecast reasoning is the atlas analyst assessment unless stated otherwise.</x:v>
      </x:c>
      <x:c r="B3" s="2"/>
      <x:c r="C3" s="2"/>
      <x:c r="D3" s="2"/>
      <x:c r="E3" s="2"/>
      <x:c r="F3" s="2"/>
      <x:c r="G3" s="2"/>
      <x:c r="H3" s="2"/>
      <x:c r="I3" s="2"/>
      <x:c r="J3" s="2"/>
      <x:c r="K3" s="2"/>
      <x:c r="L3" s="2"/>
    </x:row>
    <x:row r="4" ht="15" hidden="0" customHeight="1">
      <x:c r="A4" s="2"/>
      <x:c r="B4" s="2"/>
      <x:c r="C4" s="2"/>
      <x:c r="D4" s="2"/>
      <x:c r="E4" s="2"/>
      <x:c r="F4" s="2"/>
      <x:c r="G4" s="2"/>
      <x:c r="H4" s="2"/>
      <x:c r="I4" s="2"/>
      <x:c r="J4" s="2"/>
      <x:c r="K4" s="2"/>
      <x:c r="L4" s="2"/>
    </x:row>
    <x:row r="5" ht="36" hidden="0" customHeight="1">
      <x:c r="A5" s="11" t="str">
        <x:v>ID</x:v>
      </x:c>
      <x:c r="B5" s="11" t="str">
        <x:v>Technology</x:v>
      </x:c>
      <x:c r="C5" s="11" t="str">
        <x:v>What it is</x:v>
      </x:c>
      <x:c r="D5" s="11" t="str">
        <x:v>Concrete use case</x:v>
      </x:c>
      <x:c r="E5" s="11" t="str">
        <x:v>Why now</x:v>
      </x:c>
      <x:c r="F5" s="11" t="str">
        <x:v>Mainstream scope</x:v>
      </x:c>
      <x:c r="G5" s="11" t="str">
        <x:v>Forecast rationale</x:v>
      </x:c>
      <x:c r="H5" s="11" t="str">
        <x:v>Tailwinds</x:v>
      </x:c>
      <x:c r="I5" s="11" t="str">
        <x:v>Bottlenecks</x:v>
      </x:c>
      <x:c r="J5" s="11" t="str">
        <x:v>What to monitor</x:v>
      </x:c>
      <x:c r="K5" s="11" t="str">
        <x:v>Numerical forecast limitations</x:v>
      </x:c>
      <x:c r="L5" s="11" t="str">
        <x:v>Forecast evidence URLs</x:v>
      </x:c>
    </x:row>
    <x:row r="6" ht="48" hidden="0" customHeight="1">
      <x:c r="A6" s="12" t="n">
        <x:v>1</x:v>
      </x:c>
      <x:c r="B6" s="6" t="str">
        <x:v>AI agents and workflow automation</x:v>
      </x:c>
      <x:c r="C6" s="6" t="str">
        <x:v>Software agents carry out bounded sequences of work across applications, with people approving consequential actions.</x:v>
      </x:c>
      <x:c r="D6" s="6" t="str">
        <x:v>A procurement agent checks a purchase request against policy, retrieves approved suppliers, drafts an order and routes exceptions to a buyer.</x:v>
      </x:c>
      <x:c r="E6" s="6" t="str">
        <x:v>Large-company deployment is expanding: McKinsey’s 2026 survey reports 40% scaling agents, versus 27% in 2025. However, the outcome depends on integration, permissions and reliable exception handling. Buying an agent license does not establish that autonomous work is useful or economical. The opportunity is strongest when the task has clear inputs, an observable result and a safe recovery path.</x:v>
      </x:c>
      <x:c r="F6" s="6" t="str">
        <x:v>Routine production use of agents for selected, repeatable enterprise workflows, with human approval and monitoring.</x:v>
      </x:c>
      <x:c r="G6" s="6" t="str">
        <x:v>The survey shows movement beyond experimentation, while Gartner’s 2028 application forecast supports broad distribution. Widespread dependable execution should lag product availability. The window assumes identity controls, evaluations and operational ownership improve. Complex cross-company decisions may remain supervised well after 2035.</x:v>
      </x:c>
      <x:c r="H6" s="6" t="str">
        <x:v>Agents can be distributed through existing workflow and cloud software.
Better tool interfaces and evaluation systems make narrow tasks easier to automate.</x:v>
      </x:c>
      <x:c r="I6" s="6" t="str">
        <x:v>Error recovery, prompt injection and excessive permissions can make unattended execution costly.
Gartner forecasts more than 40% of agentic projects may be canceled by the end of 2027; a forecast, not an observed cancellation rate.</x:v>
      </x:c>
      <x:c r="J6" s="6" t="str">
        <x:v>Share of eligible transactions completed correctly without intervention; report exception and rollback rates.
Cost per verified completed task and renewal rates, rather than demonstrations or raw token consumption.</x:v>
      </x:c>
      <x:c r="K6" s="6" t="str">
        <x:v>The forward curve is an analyst maturity scenario. Gartner’s enterprise-application forecast uses a different denominator and is displayed separately.</x:v>
      </x:c>
      <x:c r="L6" s="6" t="str">
        <x:v>https://www.mckinsey.com/capabilities/quantumblack/our-insights/the-state-of-ai
https://www.mckinsey.com/featured-insights/artificial-intelligence/the-state-of-ai-2025
https://www.gartner.com/en/newsroom/press-releases/2025-06-25-gartner-predicts-over-40-percent-of-agentic-ai-projects-will-be-canceled-by-end-of-2027</x:v>
      </x:c>
    </x:row>
    <x:row r="7" ht="36" hidden="0" customHeight="1">
      <x:c r="A7" s="12" t="n">
        <x:v>2</x:v>
      </x:c>
      <x:c r="B7" s="6" t="str">
        <x:v>Multimodal AI copilots</x:v>
      </x:c>
      <x:c r="C7" s="6" t="str">
        <x:v>Assistants combine text, speech, images and documents to help people understand information and complete work.</x:v>
      </x:c>
      <x:c r="D7" s="6" t="str">
        <x:v>A field technician photographs an equipment panel, asks a spoken question and receives a cited maintenance explanation while keeping the final decision.</x:v>
      </x:c>
      <x:c r="E7" s="6" t="str">
        <x:v>Voice and image input reduce the effort needed to use AI, and assistants are increasingly distributed through devices and productivity software. OpenAI’s 2024 GPT-4o release is a useful technical milestone. Its 2026 disclosures place ChatGPT above 900 million weekly users, but that broad audience does not reveal how frequently people use voice, vision or work copilots.</x:v>
      </x:c>
      <x:c r="F7" s="6" t="str">
        <x:v>Human-reviewed multimodal assistance in common office, learning and customer-support workflows among digitally connected users.</x:v>
      </x:c>
      <x:c r="G7" s="6" t="str">
        <x:v>Large existing assistant audiences and integration into familiar interfaces make this a near-term adoption wave. The definition requires routine useful assistance, not flawless factual performance. Sensitive, safety-critical or fully autonomous applications face a longer timetable, and sustained paid usage will matter more than launch-day interest.</x:v>
      </x:c>
      <x:c r="H7" s="6" t="str">
        <x:v>Speech and cameras expand access beyond keyboard-based interactions.
Distribution through productivity suites and smartphones lowers discovery and onboarding costs.</x:v>
      </x:c>
      <x:c r="I7" s="6" t="str">
        <x:v>Confident factual errors and weak visual grounding require review.
Latency, accessibility, sensitive images and audio consent shape where the assistant is useful.</x:v>
      </x:c>
      <x:c r="J7" s="6" t="str">
        <x:v>Monthly retained users who use voice or vision, separated from total chatbot users.
Task completion, factual-error rates, latency and paid-seat retention in actual workflows.</x:v>
      </x:c>
      <x:c r="K7" s="6" t="str">
        <x:v>No comparable public forecast for weekly multimodal users is reliable enough to extrapolate. Track active modality use, retention and completed work instead.</x:v>
      </x:c>
      <x:c r="L7" s="6" t="str">
        <x:v>https://openai.com/index/hello-gpt-4o/
https://openai.com/index/the-state-of-enterprise-ai-2025-report/
https://openai.com/index/the-next-phase-of-education-for-countries/</x:v>
      </x:c>
    </x:row>
    <x:row r="8" ht="60" hidden="0" customHeight="1">
      <x:c r="A8" s="12" t="n">
        <x:v>3</x:v>
      </x:c>
      <x:c r="B8" s="6" t="str">
        <x:v>Edge and on-device AI</x:v>
      </x:c>
      <x:c r="C8" s="6" t="str">
        <x:v>AI runs locally on phones, PCs, cameras and industrial equipment to reduce latency and reliance on a cloud connection.</x:v>
      </x:c>
      <x:c r="D8" s="6" t="str">
        <x:v>A factory camera detects a defective component immediately on the production line; a laptop transcribes a confidential meeting locally.</x:v>
      </x:c>
      <x:c r="E8" s="6" t="str">
        <x:v>Specialized neural processors are spreading through devices while smaller models improve the range of feasible local tasks. Hardware availability is moving faster than evidence of daily use. Counterpoint counted 143 generative-AI-capable smartphone models in Q1 2025, up from 123 one quarter earlier. IoT Analytics still estimated that fewer than 1% of connected IoT devices contained a true AI accelerator at the end of 2025.</x:v>
      </x:c>
      <x:c r="F8" s="6" t="str">
        <x:v>Routine useful local AI on premium-to-midrange PCs and phones, plus selected industrial edge devices; not every connected sensor.</x:v>
      </x:c>
      <x:c r="G8" s="6" t="str">
        <x:v>A normal device replacement cycle can distribute capable hardware rapidly, and Gartner expected AI PCs to become standard by 2029. Adoption of useful applications may lag the installed chips. Memory costs, battery life and weaker-than-expected PC demand could delay the window, especially outside premium markets.</x:v>
      </x:c>
      <x:c r="H8" s="6" t="str">
        <x:v>Low-latency and offline operation create clear value for cameras, machinery and mobile interfaces.
Local processing can reduce cloud traffic and keep selected sensitive inputs on the device.</x:v>
      </x:c>
      <x:c r="I8" s="6" t="str">
        <x:v>Memory bandwidth, heat, power and model size limit useful local workloads.
A capable NPU can remain idle if applications do not provide a compelling recurring use case.</x:v>
      </x:c>
      <x:c r="J8" s="6" t="str">
        <x:v>Active local-inference users and workload share, rather than device marketing labels.
Cost and energy per useful inference, measured at the required accuracy and latency.</x:v>
      </x:c>
      <x:c r="K8" s="6" t="str">
        <x:v>Gartner’s separately displayed PC forecast concerns a different device class and was published in August 2025, before the 2026 memory-market shock.</x:v>
      </x:c>
      <x:c r="L8" s="6" t="str">
        <x:v>https://counterpointresearch.com/de/reports/global-genai-capable-smartphone-report-q1-2025
https://www.gartner.com/en/newsroom/press-releases/2025-08-28-gartner-says-artificial-intelligence-pcs-will-represent-31-percent-of-worldwide-pc-market-by-the-end-of-2025
https://iot-analytics.com/state-of-enterprise-iot-from-iot-autonomous-connected-operations/
https://www.idc.com/resource-center/blog/higher-asps-lower-unit-volumes-how-the-memory-crisis-is-reshaping-the-pc-and-smartphone-outlook/</x:v>
      </x:c>
    </x:row>
    <x:row r="9" ht="48" hidden="0" customHeight="1">
      <x:c r="A9" s="12" t="n">
        <x:v>4</x:v>
      </x:c>
      <x:c r="B9" s="6" t="str">
        <x:v>AI-native software development</x:v>
      </x:c>
      <x:c r="C9" s="6" t="str">
        <x:v>Coding assistants and agents help write, test, review and maintain software throughout the development process.</x:v>
      </x:c>
      <x:c r="D9" s="6" t="str">
        <x:v>A developer asks an assistant to update an API client, generate regression tests and open a proposed change for review.</x:v>
      </x:c>
      <x:c r="E9" s="6" t="str">
        <x:v>Developer tools combine access to source code, execution environments and feedback from tests, making software an unusually measurable AI application. Microsoft reported more than one million paid GitHub Copilot users in late 2023 and 1.8 million in 2024. Its later 20-million-user disclosure includes a broader audience, so it must not be treated as paid-subscriber growth.</x:v>
      </x:c>
      <x:c r="F9" s="6" t="str">
        <x:v>Supervised AI assistance in professional software teams, with testing and accountable human review.</x:v>
      </x:c>
      <x:c r="G9" s="6" t="str">
        <x:v>The product category has paying users, mature distribution and fast feedback. In the 2026 McKinsey survey, coding-agent scaling was already material among large organizations. The forecast concerns routine assistance and bounded delegated changes; autonomous ownership of complex software systems remains much less certain.</x:v>
      </x:c>
      <x:c r="H9" s="6" t="str">
        <x:v>Code repositories, tests and build systems provide machine-readable feedback.
AI lowers the cost of repetitive maintenance, prototypes and migration work.</x:v>
      </x:c>
      <x:c r="I9" s="6" t="str">
        <x:v>Generated changes can introduce subtle security, reliability and licensing problems.
Review capacity, context quality and test coverage can become the bottleneck as code output rises.</x:v>
      </x:c>
      <x:c r="J9" s="6" t="str">
        <x:v>Lead time to a deployed change alongside escaped defects and rework.
Cost per accepted change and the share of agent proposals that pass meaningful tests and review.</x:v>
      </x:c>
      <x:c r="K9" s="6" t="str">
        <x:v>No defensible same-definition subscriber forecast is supplied. Future gains should be judged by shipped, reliable software per engineer, not generated lines of code.</x:v>
      </x:c>
      <x:c r="L9" s="6" t="str">
        <x:v>https://www.microsoft.com/en-us/Investor/events/FY-2024/earnings-fy-2024-q1.aspx
https://www.microsoft.com/investor/reports/ar24/index.html
https://www.microsoft.com/investor/reports/ar25/
https://www.mckinsey.com/capabilities/quantumblack/our-insights/the-state-of-ai</x:v>
      </x:c>
    </x:row>
    <x:row r="10" ht="36" hidden="0" customHeight="1">
      <x:c r="A10" s="12" t="n">
        <x:v>5</x:v>
      </x:c>
      <x:c r="B10" s="6" t="str">
        <x:v>AI search and enterprise knowledge retrieval</x:v>
      </x:c>
      <x:c r="C10" s="6" t="str">
        <x:v>Search systems retrieve relevant, permissioned information and use AI to turn it into a cited answer.</x:v>
      </x:c>
      <x:c r="D10" s="6" t="str">
        <x:v>An employee asks which customer commitments differ from the standard contract and gets an answer linked to approved records they can access.</x:v>
      </x:c>
      <x:c r="E10" s="6" t="str">
        <x:v>Language models make search more conversational, while retrieval systems can supply fresher, organization-specific evidence. Glean’s reported annual recurring revenue grew from US$200 million in December 2025 to US$300 million in May 2026. That is evidence of one vendor’s commercial traction, not a measurement of the entire search market or an assurance that every generated answer is correct.</x:v>
      </x:c>
      <x:c r="F10" s="6" t="str">
        <x:v>Permission-aware, source-linked AI retrieval used routinely within medium and large knowledge-intensive organizations.</x:v>
      </x:c>
      <x:c r="G10" s="6" t="str">
        <x:v>Useful products exist and distribution through cloud, productivity and data platforms is strong. Broader mainstream use requires reliable connectors, document freshness and access controls. The estimate assumes organizations treat source attribution and permission correctness as product requirements, rather than relying on fluent answers alone.</x:v>
      </x:c>
      <x:c r="H10" s="6" t="str">
        <x:v>Organizations already have valuable internal documents, application data and search budgets.
Retrieval can improve freshness and provide traceable sources for answers.</x:v>
      </x:c>
      <x:c r="I10" s="6" t="str">
        <x:v>Bad access control can disclose information the user was never entitled to see.
Stale connectors, conflicting documents and misleading citations limit trust and retention.</x:v>
      </x:c>
      <x:c r="J10" s="6" t="str">
        <x:v>Correctly sourced answer rate and permission-leak rate on organization-specific evaluations.
Weekly retained users, query success, renewal and cost per resolved information request.</x:v>
      </x:c>
      <x:c r="K10" s="6" t="str">
        <x:v>No credible like-for-like public ARR forecast is used. Expansion should be tracked through retained enterprise usage, renewal and paid-seat growth.</x:v>
      </x:c>
      <x:c r="L10" s="6" t="str">
        <x:v>https://www.glean.com/press/glean-surpasses-200m-in-arr-for-enterprise-ai-doubling-revenue-in-nine-months
https://www.glean.com/press/glean-surpasses-300m-arr-unrivaled-enterprise-context-fuels-ai-adoption
https://openai.com/index/introducing-chatgpt-search/</x:v>
      </x:c>
    </x:row>
    <x:row r="11" ht="36" hidden="0" customHeight="1">
      <x:c r="A11" s="12" t="n">
        <x:v>6</x:v>
      </x:c>
      <x:c r="B11" s="6" t="str">
        <x:v>AI accelerators and heterogeneous computing</x:v>
      </x:c>
      <x:c r="C11" s="6" t="str">
        <x:v>GPUs and specialized processors share computing work with CPUs to deliver more AI output within power and cost limits.</x:v>
      </x:c>
      <x:c r="D11" s="6" t="str">
        <x:v>A cloud provider uses GPUs for flexible training and inference, with custom accelerators for predictable high-volume workloads.</x:v>
      </x:c>
      <x:c r="E11" s="6" t="str">
        <x:v>AI deployment demands compute, memory and networking together. NVIDIA’s Data Center revenue reached about US$193.7 billion in fiscal 2026, compared with US$47.5 billion in fiscal 2024. This is a strong demand signal for one supplier’s combined compute and networking business. It is not the whole accelerator market, and investment growth alone does not establish customer returns.</x:v>
      </x:c>
      <x:c r="F11" s="6" t="str">
        <x:v>Routine heterogeneous and workload-specific accelerator procurement among AI-intensive cloud and enterprise infrastructure buyers.</x:v>
      </x:c>
      <x:c r="G11" s="6" t="str">
        <x:v>GPUs are already established. The emerging layer is broader deployment of custom inference hardware and optimized combinations of compute, memory and networks. The window follows expanding commercial infrastructure, while software portability, chip utilization and energy availability determine whether alternative architectures scale.</x:v>
      </x:c>
      <x:c r="H11" s="6" t="str">
        <x:v>Expanding inference demand rewards improved performance per dollar and per watt.
Cloud providers seek architecture choice and more control over their cost structure.</x:v>
      </x:c>
      <x:c r="I11" s="6" t="str">
        <x:v>Power, high-bandwidth memory and network capacity can constrain useful throughput.
Software ecosystems and low utilization can erase theoretical hardware advantages; revenue remains cyclical.</x:v>
      </x:c>
      <x:c r="J11" s="6" t="str">
        <x:v>Delivered tokens or useful tasks per watt and per dollar at equal quality and latency.
Accelerator utilization, inference gross margin, order cancellations and capacity lead times.</x:v>
      </x:c>
      <x:c r="K11" s="6" t="str">
        <x:v>No straight-line extrapolation of exceptional supplier revenue is used. Future demand depends on cost per useful inference, utilization and the economics of customers’ AI services.</x:v>
      </x:c>
      <x:c r="L11" s="6" t="str">
        <x:v>https://investor.nvidia.com/news/press-release-details/2026/NVIDIA-Announces-Financial-Results-for-Fourth-Quarter-and-Fiscal-2026/
https://s201.q4cdn.com/141608511/files/doc_financials/2025/annual/NVIDIA-2025-Annual-Report.pdf
https://www.cerebras.ai/press-release/cerebras-systems-announces-closing-of-initial-public-offering</x:v>
      </x:c>
    </x:row>
    <x:row r="12" ht="36" hidden="0" customHeight="1">
      <x:c r="A12" s="12" t="n">
        <x:v>7</x:v>
      </x:c>
      <x:c r="B12" s="6" t="str">
        <x:v>Chiplets and advanced semiconductor packaging</x:v>
      </x:c>
      <x:c r="C12" s="6" t="str">
        <x:v>Multiple specialized dies are assembled into one package so a computing system can grow beyond the practical limits of a single large chip.</x:v>
      </x:c>
      <x:c r="D12" s="6" t="str">
        <x:v>An AI processor combines compute chiplets, high-bandwidth memory and networking interfaces in an advanced package.</x:v>
      </x:c>
      <x:c r="E12" s="6" t="str">
        <x:v>AI systems need more memory bandwidth and larger effective silicon areas. Packaging, interconnect design and thermal management therefore have strategic value alongside transistor scaling. The UCIe standard progressed from its initial 2022 specification to version 3.0 in 2025, doubling maximum link speed to 64 GT/s. A standard’s capability is evidence of technical progress, not proof that an open chiplet marketplace already exists.</x:v>
      </x:c>
      <x:c r="F12" s="6" t="str">
        <x:v>Advanced multi-die packaging as a routine design choice for high-performance AI, server and selected automotive chips.</x:v>
      </x:c>
      <x:c r="G12" s="6" t="str">
        <x:v>Commercial multi-die products and a maturing interface standard support the window. This scope includes tightly controlled vendor ecosystems. Freely mixing third-party chiplets has harder validation, yield, warranty and business-model problems and may take longer than mainstream advanced packaging itself.</x:v>
      </x:c>
      <x:c r="H12" s="6" t="str">
        <x:v>Different functions can use the fabrication process best suited to their cost and performance.
High-bandwidth memory and large AI designs raise the value of advanced assembly and testing.</x:v>
      </x:c>
      <x:c r="I12" s="6" t="str">
        <x:v>Packaging yield, heat extraction, substrates and testing are difficult at larger system scale.
Interoperability requires electrical, logical, security and commercial agreement across suppliers.</x:v>
      </x:c>
      <x:c r="J12" s="6" t="str">
        <x:v>Qualified advanced-package capacity, lead times and package-level yield.
Number of interoperable multi-vendor products shipped, separate from consortium membership and test chips.</x:v>
      </x:c>
      <x:c r="K12" s="6" t="str">
        <x:v>There is no adopted future UCIe data rate in this dataset. Future progress should be assessed through qualified products, packaging capacity, yield and interoperability demonstrations.</x:v>
      </x:c>
      <x:c r="L12" s="6" t="str">
        <x:v>https://www.uciexpress.org/press-releases
https://www.uciexpress.org/post/ucie-consortium-s-2025-year-in-review
https://www.uciexpress.org/post/ucie-consortium-grows-to-more-than-100-members</x:v>
      </x:c>
    </x:row>
    <x:row r="13" ht="36" hidden="0" customHeight="1">
      <x:c r="A13" s="12" t="n">
        <x:v>8</x:v>
      </x:c>
      <x:c r="B13" s="6" t="str">
        <x:v>Silicon photonics and optical interconnects</x:v>
      </x:c>
      <x:c r="C13" s="6" t="str">
        <x:v>Light carries data between chips and systems to relieve the energy and bandwidth limits of electrical connections.</x:v>
      </x:c>
      <x:c r="D13" s="6" t="str">
        <x:v>A large AI cluster uses optical links and eventually optics closer to the processor to move data across thousands of accelerators.</x:v>
      </x:c>
      <x:c r="E13" s="6" t="str">
        <x:v>AI clusters place heavy demands on interconnect bandwidth and energy. Commercial transceivers are established, while co-packaged optics and optical input/output remain at earlier stages. Coherent’s Data Center and Communications revenue provides an observable adjacent-market signal: about US$2.63 billion in fiscal 2024, US$3.76 billion in 2025 and US$5.27 billion in 2026. Most of that cannot be labeled new silicon-photonics adoption.</x:v>
      </x:c>
      <x:c r="F13" s="6" t="str">
        <x:v>Co-packaged optics and optical I/O used routinely in the largest bandwidth-constrained AI and cloud systems.</x:v>
      </x:c>
      <x:c r="G13" s="6" t="str">
        <x:v>Bandwidth economics and current supplier investment support deployment this decade. Mature pluggable optics remain a strong alternative, so the transition depends on reliability, manufacturability and serviceability rather than technical demonstrations alone. Enterprise-wide optical chip-to-chip interconnects could arrive later than hyperscale use.</x:v>
      </x:c>
      <x:c r="H13" s="6" t="str">
        <x:v>Larger AI clusters reward bandwidth density and lower energy per transmitted bit.
Foundry, packaging, laser and networking ecosystems are investing in integrated optical systems.</x:v>
      </x:c>
      <x:c r="I13" s="6" t="str">
        <x:v>Laser integration, thermal behavior, packaging yield and optical alignment must work at manufacturing scale.
Replacing serviceable pluggable modules changes maintenance and system-repair economics.</x:v>
      </x:c>
      <x:c r="J13" s="6" t="str">
        <x:v>Energy per bit and delivered bandwidth at equal link length and reliability.
Revenue-bearing co-packaged-optics port shipments and field failure rates, separate from sampling announcements.</x:v>
      </x:c>
      <x:c r="K13" s="6" t="str">
        <x:v>No comparable external segment-revenue forecast is used. Follow qualified co-packaged products, port shipments and energy per bit to see whether the technical transition becomes economic.</x:v>
      </x:c>
      <x:c r="L13" s="6" t="str">
        <x:v>https://ir.coherent.com/static-files/afd880a5-f5c9-46c2-b16a-1f2cbe90e28b
https://www.coherent.com/content/dam/coherent/site/en/documents/investors/financial-releases/2025/august-13/earnings-release-fy25-q4.pdf
https://ayarlabs.com/news/ayar-labs-expands-2026-funding-to-650-million/</x:v>
      </x:c>
    </x:row>
    <x:row r="14" ht="36" hidden="0" customHeight="1">
      <x:c r="A14" s="12" t="n">
        <x:v>9</x:v>
      </x:c>
      <x:c r="B14" s="6" t="str">
        <x:v>Post-quantum cryptography</x:v>
      </x:c>
      <x:c r="C14" s="6" t="str">
        <x:v>New cryptographic algorithms protect communications and signatures against attacks that future quantum computers could enable.</x:v>
      </x:c>
      <x:c r="D14" s="6" t="str">
        <x:v>A bank inventories its encryption dependencies, upgrades customer connections to hybrid post-quantum key exchange and plans certificate migration.</x:v>
      </x:c>
      <x:c r="E14" s="6" t="str">
        <x:v>Standardized algorithms now allow deployment planning and interoperable products. NIST finalized its first three PQC standards in August 2024. Cloudflare reported that over half of human HTTPS traffic reaching its network used post-quantum protection by October 2025 and over 65% by April 2026. These are network-specific observations and primarily concern key exchange; signatures and older systems require additional work.</x:v>
      </x:c>
      <x:c r="F14" s="6" t="str">
        <x:v>Post-quantum key exchange and planned authentication migration in new cloud, browser and regulated-enterprise systems.</x:v>
      </x:c>
      <x:c r="G14" s="6" t="str">
        <x:v>Standards and major-platform rollout make adoption likely before practical large quantum attacks are demonstrated. Cloudflare’s stated 2029 roadmap anchors an early infrastructure target. Complete replacement across long-lived embedded equipment, archives and legacy estates can extend beyond 2035, so the headline year describes new and priority deployments.</x:v>
      </x:c>
      <x:c r="H14" s="6" t="str">
        <x:v>Standards give vendors a common implementation target.
Long confidentiality lifetimes justify migration before a cryptographically relevant quantum computer exists.</x:v>
      </x:c>
      <x:c r="I14" s="6" t="str">
        <x:v>Cryptographic inventories, certificate chains and old firmware create long migration programs.
Performance, key sizes, hardware constraints and algorithm agility require careful interoperability testing.</x:v>
      </x:c>
      <x:c r="J14" s="6" t="str">
        <x:v>Share of priority connections using standardized PQC, with key exchange and signatures measured separately.
Percentage of critical cryptographic dependencies inventoried, upgraded and independently tested.</x:v>
      </x:c>
      <x:c r="K14" s="6" t="str">
        <x:v>Cloudflare targets completing its platform roadmap by 2029. That is a vendor target, not a forecast that all systems or internet traffic will be fully migrated.</x:v>
      </x:c>
      <x:c r="L14" s="6" t="str">
        <x:v>https://www.nist.gov/news-events/news/2024/08/nist-releases-first-3-finalized-post-quantum-encryption-standards
https://blog.cloudflare.com/pq-2025/
https://blog.cloudflare.com/post-quantum-roadmap/</x:v>
      </x:c>
    </x:row>
    <x:row r="15" ht="48" hidden="0" customHeight="1">
      <x:c r="A15" s="12" t="n">
        <x:v>10</x:v>
      </x:c>
      <x:c r="B15" s="6" t="str">
        <x:v>Confidential computing and privacy-preserving AI</x:v>
      </x:c>
      <x:c r="C15" s="6" t="str">
        <x:v>Hardware isolation and cryptographic methods allow sensitive data to be processed with reduced exposure to infrastructure operators or other parties.</x:v>
      </x:c>
      <x:c r="D15" s="6" t="str">
        <x:v>Two organizations analyze sensitive records in an attested computing environment while limiting access to the underlying data.</x:v>
      </x:c>
      <x:c r="E15" s="6" t="str">
        <x:v>AI puts valuable private information into shared computing environments, raising the value of protecting data while it is in use. A consortium-commissioned IDC survey in 2025 found 18% of respondents in full production and 57% in pilots. Those categories should remain separate. Trusted execution environments, secure collaboration and fully homomorphic encryption solve related problems but have different costs and trust assumptions.</x:v>
      </x:c>
      <x:c r="F15" s="6" t="str">
        <x:v>Attested confidential-computing environments used routinely for selected sensitive AI and regulated-cloud workloads.</x:v>
      </x:c>
      <x:c r="G15" s="6" t="str">
        <x:v>Production deployments and major-platform investment support a transition beyond pilots. Attestation, key management, software compatibility and independent assurance still add complexity. The date mainly concerns hardware-protected computing; it does not assume general-purpose fully homomorphic AI becomes economical on the same schedule.</x:v>
      </x:c>
      <x:c r="H15" s="6" t="str">
        <x:v>Sensitive AI workloads create demand for stronger data-in-use protection.
Cloud and processor support reduces the need to build every component from scratch.</x:v>
      </x:c>
      <x:c r="I15" s="6" t="str">
        <x:v>Attestation, keys, threat models and hardware trust must align across the full system.
Encrypted computation can impose substantial cost; an enclave alone does not prevent application-level data misuse.</x:v>
      </x:c>
      <x:c r="J15" s="6" t="str">
        <x:v>Stable-sample production adoption, separated from trials and planned deployments.
End-to-end overhead and independently verified protection for a clearly specified threat model.</x:v>
      </x:c>
      <x:c r="K15" s="6" t="str">
        <x:v>The scenario expresses an analyst adoption judgment, not a measured growth curve. Future survey waves with a stable sample and definition are needed to quantify adoption growth.</x:v>
      </x:c>
      <x:c r="L15" s="6" t="str">
        <x:v>https://confidentialcomputing.io/2025/
https://security.apple.com/blog/private-cloud-compute/
https://confidentialcomputing.io/2026/01/06/ccc-outlook-for-2026-a-message-from-executive-director-mike-bursell/</x:v>
      </x:c>
    </x:row>
    <x:row r="16" ht="48" hidden="0" customHeight="1">
      <x:c r="A16" s="12" t="n">
        <x:v>11</x:v>
      </x:c>
      <x:c r="B16" s="6" t="str">
        <x:v>Private 5G and industrial wireless</x:v>
      </x:c>
      <x:c r="C16" s="6" t="str">
        <x:v>Organizations operate dedicated wireless networks to connect machines, vehicles and workers with controlled coverage and service levels.</x:v>
      </x:c>
      <x:c r="D16" s="6" t="str">
        <x:v>A port connects cranes and autonomous vehicles over a private mobile network with engineered coverage, identity and operational support.</x:v>
      </x:c>
      <x:c r="E16" s="6" t="str">
        <x:v>Private LTE/5G is becoming easier to buy, but deployment economics remain site-specific. GSA counted 2,031 customer organizations in 88 countries by Q2 2026. Its catalog spans LTE and 5G, pilots and commercial deployments, so it should not be treated as a census of live 5G-only factories. Recent customer additions slowed, making a selective growth story more credible than a universal replacement for Wi-Fi.</x:v>
      </x:c>
      <x:c r="F16" s="6" t="str">
        <x:v>A routine connectivity option for large industrial campuses with coverage, mobility or reliability requirements that justify dedicated mobile infrastructure.</x:v>
      </x:c>
      <x:c r="G16" s="6" t="str">
        <x:v>A growing reference base supports mainstream procurement in ports, mines, utilities and complex factories. Growth is slower than early expectations, and supplier portfolios are changing. The window assumes lower integration costs and clear service-level advantages. Smaller sites may continue to prefer Wi-Fi or managed public networks.</x:v>
      </x:c>
      <x:c r="H16" s="6" t="str">
        <x:v>Industrial mobility and difficult radio environments reward engineered coverage.
Integrated edge compute can keep time-sensitive operational data close to equipment.</x:v>
      </x:c>
      <x:c r="I16" s="6" t="str">
        <x:v>Spectrum rules, radio planning, compatible devices and operational integration add cost.
Wi-Fi and public-network alternatives can provide sufficient performance more cheaply.</x:v>
      </x:c>
      <x:c r="J16" s="6" t="str">
        <x:v>New paying production sites and expansions, separated from pilots and catalog discoveries.
Total cost per connected asset, uptime, handover reliability and measured operational savings.</x:v>
      </x:c>
      <x:c r="K16" s="6" t="str">
        <x:v>No consistent customer-reference forecast is used. The scenario assumes continued selective expansion rather than extrapolating the early catalog growth rate.</x:v>
      </x:c>
      <x:c r="L16" s="6" t="str">
        <x:v>https://gsacom.com/press-release/over-1000-organisations-now-deploying-private-mobile-networks/
https://gsacom.com/paper/private-mobile-networks-summary-february-2024/
https://gsacom.com/paper/private-mobile-networks-september-2026-2/
https://www.nokia.com/newsroom/nokia-to-sell-enterprise-campus-edge-business-to-aurelius/</x:v>
      </x:c>
    </x:row>
    <x:row r="17" ht="48" hidden="0" customHeight="1">
      <x:c r="A17" s="12" t="n">
        <x:v>12</x:v>
      </x:c>
      <x:c r="B17" s="6" t="str">
        <x:v>Direct-to-device satellite connectivity</x:v>
      </x:c>
      <x:c r="C17" s="6" t="str">
        <x:v>Ordinary or lightly modified mobile devices connect to satellites for emergency messaging, texts and selected data outside terrestrial coverage.</x:v>
      </x:c>
      <x:c r="D17" s="6" t="str">
        <x:v>A traveler sends an emergency message from an outdoor area with no mobile coverage, using a compatible phone and a clear view of the sky.</x:v>
      </x:c>
      <x:c r="E17" s="6" t="str">
        <x:v>Satellite operators, mobile carriers and handset vendors are integrating service into familiar devices and plans. Apple’s SOS service expanded from six countries at the end of 2022 to a listed 21 by October 2026. This tracks one service’s geographic availability. It does not measure continuous coverage, active subscribers, data capacity or the ability to replace a terrestrial mobile network.</x:v>
      </x:c>
      <x:c r="F17" s="6" t="str">
        <x:v>Outdoor emergency messaging, basic text and selected lightweight data offered routinely by major handset/carrier ecosystems in supported countries.</x:v>
      </x:c>
      <x:c r="G17" s="6" t="str">
        <x:v>Existing SOS availability and commercial carrier integration support a near-term window. Capacity, radio physics, spectrum approvals and satellite deployment limit richer services. Broadband-like data everywhere is outside this forecast. Reliability and geographic permission should be measured separately from launch count and marketing coverage maps.</x:v>
      </x:c>
      <x:c r="H17" s="6" t="str">
        <x:v>Existing phone and carrier distribution can make satellite fallback easy to discover.
Coverage gaps create a clear use case for safety, remote work and basic communication.</x:v>
      </x:c>
      <x:c r="I17" s="6" t="str">
        <x:v>Low signal strength, interference, spectrum approvals and limited capacity constrain experience.
Service needs compatible hardware/software and favorable outdoor conditions; availability differs by country.</x:v>
      </x:c>
      <x:c r="J17" s="6" t="str">
        <x:v>Successful message delivery, connection delay and usable data rate in independent field testing.
Paying active users, supported handset base and commercially active countries—not announced partnerships alone.</x:v>
      </x:c>
      <x:c r="K17" s="6" t="str">
        <x:v>No like-for-like country-count forecast is supplied. Follow actual service activation, supported devices, message success and usable capacity rather than announced constellation targets.</x:v>
      </x:c>
      <x:c r="L17" s="6" t="str">
        <x:v>https://www.apple.com/uk/newsroom/2022/12/emergency-sos-via-satellite-available-in-france-germany-ireland-and-the-uk/
https://www.apple.com/newsroom/2023/11/apple-extends-emergency-sos-via-satellite-for-an-additional-free-year/
https://support.apple.com/en-us/101573
https://www.t-mobile.com/coverage/satellite-phone-service</x:v>
      </x:c>
    </x:row>
    <x:row r="18" ht="48" hidden="0" customHeight="1">
      <x:c r="A18" s="12" t="n">
        <x:v>13</x:v>
      </x:c>
      <x:c r="B18" s="6" t="str">
        <x:v>Industrial IoT and predictive maintenance</x:v>
      </x:c>
      <x:c r="C18" s="6" t="str">
        <x:v>Connected equipment streams operating data so organizations can detect degradation, schedule maintenance and improve performance.</x:v>
      </x:c>
      <x:c r="D18" s="6" t="str">
        <x:v>A sensor system identifies an unusual vibration pattern in a pump, creates a maintenance recommendation and checks whether the intervention prevented failure.</x:v>
      </x:c>
      <x:c r="E18" s="6" t="str">
        <x:v>Sensors, connectivity and analytics are established, while applying them consistently across heterogeneous industrial assets remains uneven. IoT Analytics estimated 21.1 billion connected IoT devices at the end of 2025 and described a shift toward autonomous connected operations. That broad device count includes many nonindustrial products. The valuable emerging layer is dependable operational insight and action, rather than connecting equipment without a business result.</x:v>
      </x:c>
      <x:c r="F18" s="6" t="str">
        <x:v>Condition monitoring and predictive maintenance used routinely for economically important assets in medium and large industrial organizations.</x:v>
      </x:c>
      <x:c r="G18" s="6" t="str">
        <x:v>The enabling stack is mature and downtime provides a measurable business case. Adoption should expand through existing controls, maintenance and equipment suppliers. The date assumes integration with maintenance processes and trustworthy failure labels. Rare failures, small sites and legacy machinery can keep some applications uneconomic.</x:v>
      </x:c>
      <x:c r="H18" s="6" t="str">
        <x:v>Avoided downtime, reduced scrap and better energy performance create measurable value.
Existing installed sensors and maintenance systems provide a route to expand useful analytics.</x:v>
      </x:c>
      <x:c r="I18" s="6" t="str">
        <x:v>Inconsistent asset data, missing failure labels and difficult legacy integration reduce model reliability.
A useful alert must trigger an effective maintenance process; false alarms can destroy trust.</x:v>
      </x:c>
      <x:c r="J18" s="6" t="str">
        <x:v>Unplanned downtime and maintenance cost per operating hour, with control groups where feasible.
Precision of actionable failure alerts, avoided failures and expansion to additional paying assets.</x:v>
      </x:c>
      <x:c r="K18" s="6" t="str">
        <x:v>IoT Analytics’ forecast concerns total connected IoT devices. It does not imply the same growth rate for industrial analytics revenue, autonomous operations or predictive maintenance.</x:v>
      </x:c>
      <x:c r="L18" s="6" t="str">
        <x:v>https://iot-analytics.com/number-connected-iot-devices/
https://iot-analytics.com/state-of-enterprise-iot-from-iot-autonomous-connected-operations/
https://www.ptc.com/en/news/2026/ptc-completes-divestiture-of-kepware-and-thingworx-businesses</x:v>
      </x:c>
    </x:row>
    <x:row r="19" ht="60" hidden="0" customHeight="1">
      <x:c r="A19" s="12" t="n">
        <x:v>14</x:v>
      </x:c>
      <x:c r="B19" s="6" t="str">
        <x:v>Industrial digital twins</x:v>
      </x:c>
      <x:c r="C19" s="6" t="str">
        <x:v>Living digital models connect engineering designs and operational data so organizations can simulate, monitor and improve physical assets.</x:v>
      </x:c>
      <x:c r="D19" s="6" t="str">
        <x:v>A manufacturer tests a proposed production-line change in a synchronized model before moving equipment or changing control software.</x:v>
      </x:c>
      <x:c r="E19" s="6" t="str">
        <x:v>Engineering software, simulation and industrial data platforms are converging. The World Economic Forum’s Global Lighthouse Network expanded from 90 recognized advanced-manufacturing sites in 2021 to 223 in early 2026. That is an adjacent indicator of advanced operational technology, not a digital-twin census. Useful twins require continuing data synchronization and a decision they can improve; a static 3D model alone is insufficient.</x:v>
      </x:c>
      <x:c r="F19" s="6" t="str">
        <x:v>Synchronized operational twins used routinely for high-value manufacturing, infrastructure and energy assets.</x:v>
      </x:c>
      <x:c r="G19" s="6" t="str">
        <x:v>Long asset lives and existing engineering platforms provide a strong distribution route, while simulation can reduce commissioning and operating risk. Adoption is likely to concentrate where errors are expensive and data is available. The window assumes model-maintenance costs and interoperability improve; universal twins of every factory are not assumed.</x:v>
      </x:c>
      <x:c r="H19" s="6" t="str">
        <x:v>Simulation can lower commissioning costs and test expensive changes before implementation.
Equipment, engineering and operational software vendors already serve the target customers.</x:v>
      </x:c>
      <x:c r="I19" s="6" t="str">
        <x:v>Models become stale unless asset configuration and sensor data remain synchronized.
Interoperability, ownership of data and ongoing maintenance can outweigh the initial visualization benefit.</x:v>
      </x:c>
      <x:c r="J19" s="6" t="str">
        <x:v>Number of production assets with regularly synchronized, decision-used twins.
Measured commissioning time, downtime, energy or quality improvement against a baseline; include model upkeep costs.</x:v>
      </x:c>
      <x:c r="K19" s="6" t="str">
        <x:v>No reliable same-definition future site count is supplied. The analyst scenario concerns operational digital twins, while the historical proxy measures broader advanced manufacturing.</x:v>
      </x:c>
      <x:c r="L19" s="6" t="str">
        <x:v>https://www.weforum.org/stories/2021/10/lighthouses-sustainability-manufacturing-4ir-technologies/
https://www.weforum.org/media/global-lighthouse-network-2025-world-economic-forum-recognizes-companies-transforming-manufacturing-through-innovation/
https://www.weforum.org/publications/global-lighthouse-network-rewiring-operations-for-resilience-and-impact-at-scale/
https://nvidianews.nvidia.com/news/siemens-and-nvidia-to-enable-industrial-metaverse</x:v>
      </x:c>
    </x:row>
    <x:row r="20" ht="48" hidden="0" customHeight="1">
      <x:c r="A20" s="12" t="n">
        <x:v>15</x:v>
      </x:c>
      <x:c r="B20" s="6" t="str">
        <x:v>Enterprise spatial computing</x:v>
      </x:c>
      <x:c r="C20" s="6" t="str">
        <x:v>Headsets and spatial interfaces overlay or simulate information for training, design, inspection and remote assistance.</x:v>
      </x:c>
      <x:c r="D20" s="6" t="str">
        <x:v>A trainee practices a rare maintenance procedure in a simulated environment, while an expert reviews the same three-dimensional equipment model.</x:v>
      </x:c>
      <x:c r="E20" s="6" t="str">
        <x:v>Hardware and software continue improving, but commercial adoption has been uneven and attention has shifted toward lighter glasses. Meta’s Reality Labs revenue was US$1.90 billion in 2023 and US$2.21 billion in 2025, a modest result compared with the scale of investment. That consumer-heavy segment is an imperfect proxy for enterprise demand. The credible opportunity is concentrated in tasks where spatial understanding changes the outcome.</x:v>
      </x:c>
      <x:c r="F20" s="6" t="str">
        <x:v>Routine use in selected high-value enterprise training, design review, simulation and frontline assistance workflows.</x:v>
      </x:c>
      <x:c r="G20" s="6" t="str">
        <x:v>Specialist use cases already have working products, but comfort, content production and recurring value still limit wider rollout. The estimate is conditional on practical hardware and sustained deployment economics. A downside case remains niche beyond 2035; the forecast does not assume office workers universally replace monitors or meetings with headsets.</x:v>
      </x:c>
      <x:c r="H20" s="6" t="str">
        <x:v>Training dangerous or rare procedures can justify specialized immersive systems.
Spatial visualization can improve design review and frontline assistance when two-dimensional instructions are inadequate.</x:v>
      </x:c>
      <x:c r="I20" s="6" t="str">
        <x:v>Comfort, battery life, visual quality and social acceptance limit session length and repeated use.
Content creation, fleet support and weak repeat usage can overwhelm hardware savings.</x:v>
      </x:c>
      <x:c r="J20" s="6" t="str">
        <x:v>Monthly active deployed headsets/glasses and hours of productive use per device.
Training retention, error reduction and time saved, net of content and device-management costs.</x:v>
      </x:c>
      <x:c r="K20" s="6" t="str">
        <x:v>No comparable enterprise adoption forecast is sufficiently robust to plot as measured growth. The forward path is conditional and may remain below mainstream beyond 2035.</x:v>
      </x:c>
      <x:c r="L20" s="6" t="str">
        <x:v>https://www.sec.gov/Archives/edgar/data/1326801/000162828026003942/R11.htm
https://www.sec.gov/Archives/edgar/data/1326801/000162828026003942/meta-20251231.htm
https://www.apple.com/newsroom/2024/01/apple-vision-pro-available-in-the-us-on-february-2/
https://varjo.com/</x:v>
      </x:c>
    </x:row>
    <x:row r="21" ht="60" hidden="0" customHeight="1">
      <x:c r="A21" s="12" t="n">
        <x:v>16</x:v>
      </x:c>
      <x:c r="B21" s="6" t="str">
        <x:v>Collaborative robots and autonomous mobile robots</x:v>
      </x:c>
      <x:c r="C21" s="6" t="str">
        <x:v>Flexible robot arms and mobile robots assist with handling, transport and repetitive work in factories and warehouses.</x:v>
      </x:c>
      <x:c r="D21" s="6" t="str">
        <x:v>An autonomous mobile robot brings parts to a workcell, while a collaborative arm performs a repetitive loading task under a validated safety setup.</x:v>
      </x:c>
      <x:c r="E21" s="6" t="str">
        <x:v>Robots can address repetitive work and improve throughput when the surrounding process is well designed. Amazon’s disclosures illustrate scale: 350,000 robotic drive units in 2021, 750,000 mobile robots in 2023 and one million robots of all types in 2025. Those changing definitions must be kept visible. Meanwhile, A3’s 2026 order data shows a real commercial market for collaborative robots alongside conventional automation.</x:v>
      </x:c>
      <x:c r="F21" s="6" t="str">
        <x:v>A routine procurement option for medium-to-large warehouses and flexible manufacturing tasks with a clear automation case.</x:v>
      </x:c>
      <x:c r="G21" s="6" t="str">
        <x:v>Mature suppliers, deployed fleets and established integration practices support the window. Mainstream means a normal option for suitable tasks, not robots at every small factory. Integration, workflow variability and safety assessment can dominate the hardware cost. Growth should be evaluated by productive installations rather than vendor demonstrations.</x:v>
      </x:c>
      <x:c r="H21" s="6" t="str">
        <x:v>Labor availability, ergonomic tasks and variable production favor flexible automation.
Improved perception and orchestration make more workflows technically feasible.</x:v>
      </x:c>
      <x:c r="I21" s="6" t="str">
        <x:v>Integration, site preparation and exceptions frequently cost more than the robot itself.
Collaborative hardware still requires a task-specific risk assessment; not every application can run safely without barriers.</x:v>
      </x:c>
      <x:c r="J21" s="6" t="str">
        <x:v>Paid production deployments, utilization and payback including integration and support.
Interventions per operating hour, throughput, availability and renewal/expansion in robot-as-a-service fleets.</x:v>
      </x:c>
      <x:c r="K21" s="6" t="str">
        <x:v>No directly comparable public fleet forecast is used. Growth depends on integration economics, reliability and deployment beyond the largest operators.</x:v>
      </x:c>
      <x:c r="L21" s="6" t="str">
        <x:v>https://press.aboutamazon.com/uk/2021/5/amazon-operations-unveils-european-innovation-lab-developing-new-technologies-that-enhance-employee-safety-and-wellbeing
https://www.aboutamazon.com/news/operations/amazon-hercules-robot
https://www.aboutamazon.com/news/operations/amazon-million-robots-ai-foundation-model
https://www.automate.org/robotics/news/robot-orders-increase-in-q2-as-automation-demand-broadens-across-industries</x:v>
      </x:c>
    </x:row>
    <x:row r="22" ht="48" hidden="0" customHeight="1">
      <x:c r="A22" s="12" t="n">
        <x:v>17</x:v>
      </x:c>
      <x:c r="B22" s="6" t="str">
        <x:v>Humanoid robots in structured industrial work</x:v>
      </x:c>
      <x:c r="C22" s="6" t="str">
        <x:v>Human-shaped robots attempt useful physical tasks in factories and warehouses designed around people.</x:v>
      </x:c>
      <x:c r="D22" s="6" t="str">
        <x:v>A humanoid repeatedly moves standardized totes between a fixed station and a conveyor, with measured uptime and a safe escalation process.</x:v>
      </x:c>
      <x:c r="E22" s="6" t="str">
        <x:v>Actuators, perception and robot-learning systems are improving, and some suppliers now disclose revenue and customer trials. UBTECH’s full-size humanoid products and services revenue rose from RMB35.6 million in 2024 to RMB820.6 million in 2025. BMW described a 2025 Figure pilot involving roughly 1,250 operating hours. Neither figure proves broad economical autonomy across a full factory shift.</x:v>
      </x:c>
      <x:c r="F22" s="6" t="str">
        <x:v>Repeatable, narrowly specified tasks in structured factories and warehouses, with human support and controlled operating areas.</x:v>
      </x:c>
      <x:c r="G22" s="6" t="str">
        <x:v>Real customer trials and early revenue make industrial niches plausible by 2035. Reliability, safety, maintenance and labor-equivalent cost remain unproven at broad scale. A credible downside is that adoption remains a niche beyond 2035 or is displaced by cheaper robot arms and wheeled systems. General-purpose household robots are outside this forecast.</x:v>
      </x:c>
      <x:c r="H22" s="6" t="str">
        <x:v>A human-compatible form can access some existing tools and spaces without a full factory redesign.
Learning systems and simulation may lower the cost of teaching repetitive manipulation tasks.</x:v>
      </x:c>
      <x:c r="I22" s="6" t="str">
        <x:v>Dexterity, battery endurance, falls, maintenance and safe proximity to people remain difficult.
Purpose-built arms and mobile robots may deliver better economics; supplier orders can be conditional and capacity announcements speculative.</x:v>
      </x:c>
      <x:c r="J22" s="6" t="str">
        <x:v>Paid productive hours per robot, intervention frequency, uptime and independently measured cost per completed task.
Repeat orders from operating customers, including service costs and comparison with simpler automation alternatives.</x:v>
      </x:c>
      <x:c r="K22" s="6" t="str">
        <x:v>Do not extrapolate the early 23× increase. Factory capacity, conditional orders and planned shipments are not realized sales or productive robot hours. The forward maturity path is explicitly conditional.</x:v>
      </x:c>
      <x:c r="L22" s="6" t="str">
        <x:v>https://www.hkexnews.hk/listedco/listconews/sehk/2026/0414/2026041401168.pdf
https://www.bmwgroup.com/en/news/general/2026/humanoid-robot-in-leipzig.html
https://www.agilityrobotics.com/content/agility-unveils-digit-5-humanoid-robot-built-for-cooperatively-safe-work-at-scale
https://www.automate.org/robotics/industry-insights/gxo-plans-20-000-robots-in-2026-none-of-them-will-be-humanoids</x:v>
      </x:c>
    </x:row>
    <x:row r="23" ht="48" hidden="0" customHeight="1">
      <x:c r="A23" s="12" t="n">
        <x:v>18</x:v>
      </x:c>
      <x:c r="B23" s="6" t="str">
        <x:v>Robotaxis and autonomous driving</x:v>
      </x:c>
      <x:c r="C23" s="6" t="str">
        <x:v>Vehicles handle the driving task within an approved operating area, with passenger services providing the clearest commercial proof.</x:v>
      </x:c>
      <x:c r="D23" s="6" t="str">
        <x:v>A rider orders an unattended taxi inside a mapped city service area; the same vehicle may still be unavailable in a nearby suburb or severe weather.</x:v>
      </x:c>
      <x:c r="E23" s="6" t="str">
        <x:v>Waymo has moved from tens of thousands to hundreds of thousands of weekly driverless trips. This establishes repeat demand in selected cities, while safety, fleet servicing and geographic permission still constrain expansion.</x:v>
      </x:c>
      <x:c r="F23" s="6" t="str">
        <x:v>Routine paid driverless taxi service in a substantial set of dense, approved urban markets; not universal autonomous driving.</x:v>
      </x:c>
      <x:c r="G23" s="6" t="str">
        <x:v>The operating base supports city-by-city expansion before 2030. Wider weather coverage, lower fleet cost and regulatory acceptance determine whether that becomes ordinary urban transport. A safety incident or poor economics can delay individual markets beyond 2035.</x:v>
      </x:c>
      <x:c r="H23" s="6" t="str">
        <x:v>Repeat passenger demand in deployed markets
Improved vehicle utilisation as service zones connect
Fleet, mapping and chip suppliers sell infrastructure as operators expand</x:v>
      </x:c>
      <x:c r="I23" s="6" t="str">
        <x:v>Operating permissions remain local
Safety must hold across rare events and poor weather
Cleaning, charging, insurance and remote assistance reduce the apparent labour saving</x:v>
      </x:c>
      <x:c r="J23" s="6" t="str">
        <x:v>Paid rides per vehicle per day and contribution margin, not just announced cities
Rider-only miles and injury outcomes using comparable exposure
Share of the metropolitan population actually inside an unrestricted service area</x:v>
      </x:c>
      <x:c r="K23" s="6" t="str">
        <x:v>Waymo has an end-2026 weekly-trip target, shown separately as a company goal. It is not treated as an observed annual data point or an industry-wide growth forecast.</x:v>
      </x:c>
      <x:c r="L23" s="6" t="str">
        <x:v>https://waymo-blog.blogspot.com/2023/08/waymos-next-chapter-in-san-francisco.html
https://waymo.com/blog/2024/12/year-in-review-2024/
https://blog.waymo.com/sustainability/
https://waymo.com/blog/2025/12/2025-year-in-review/</x:v>
      </x:c>
    </x:row>
    <x:row r="24" ht="48" hidden="0" customHeight="1">
      <x:c r="A24" s="12" t="n">
        <x:v>19</x:v>
      </x:c>
      <x:c r="B24" s="6" t="str">
        <x:v>Autonomous delivery drones</x:v>
      </x:c>
      <x:c r="C24" s="6" t="str">
        <x:v>Small autonomous aircraft move lightweight orders between stores, distribution points and nearby customers.</x:v>
      </x:c>
      <x:c r="D24" s="6" t="str">
        <x:v>A pharmacy or supermarket sends an urgent lightweight order directly to a prepared delivery location within the aircraft’s service radius.</x:v>
      </x:c>
      <x:c r="E24" s="6" t="str">
        <x:v>Wing passed one million cumulative commercial deliveries in 2026. Retail integration, repeat ordering and permission to operate over larger areas now matter more than isolated demonstrations.</x:v>
      </x:c>
      <x:c r="F24" s="6" t="str">
        <x:v>Routine lightweight retail and medical delivery in suitable suburban and regional corridors with authorised beyond-visual-line-of-sight operations.</x:v>
      </x:c>
      <x:c r="G24" s="6" t="str">
        <x:v>Repeat deployments and retailer partnerships make regional routine use plausible before 2030. Aerial operations cannot cover every address, parcel size or weather condition; widespread dense-city delivery may remain later.</x:v>
      </x:c>
      <x:c r="H24" s="6" t="str">
        <x:v>Retail partners contribute existing order demand and pickup locations
Medical and urgent orders support higher service value
Networked operating sites can improve aircraft utilisation</x:v>
      </x:c>
      <x:c r="I24" s="6" t="str">
        <x:v>Weather, noise, payload and safe-drop constraints
Local acceptance and operating approval
Economics depend on actual orders per aircraft and staff oversight</x:v>
      </x:c>
      <x:c r="J24" s="6" t="str">
        <x:v>Completed paid deliveries per operating site per day
Cost per delivery including human supervision and failed flights
Permissioned service population and customer repeat rate</x:v>
      </x:c>
      <x:c r="K24" s="6" t="str">
        <x:v>No defensible like-for-like external forecast is available for this KPI. The forward maturity path is a separately labelled analyst scenario, not a numerical adoption forecast.</x:v>
      </x:c>
      <x:c r="L24" s="6" t="str">
        <x:v>https://wing.com/news/recent-study-explores-what-drone
https://wing.com/news/dispatches-from-australia-supermarket
https://wing.com/news/wing-and-walmart-seven-new-markets-drone-delivery
https://wing.com/news/the-wing-delivery-network</x:v>
      </x:c>
    </x:row>
    <x:row r="25" ht="48" hidden="0" customHeight="1">
      <x:c r="A25" s="12" t="n">
        <x:v>20</x:v>
      </x:c>
      <x:c r="B25" s="6" t="str">
        <x:v>Software-defined vehicles</x:v>
      </x:c>
      <x:c r="C25" s="6" t="str">
        <x:v>Vehicle functions are increasingly controlled by updateable software running on consolidated computing platforms.</x:v>
      </x:c>
      <x:c r="D25" s="6" t="str">
        <x:v>A manufacturer repairs a software fault remotely, updates the user interface and adds a supported function over the vehicle’s life.</x:v>
      </x:c>
      <x:c r="E25" s="6" t="str">
        <x:v>Automakers are rebuilding electrical architectures and software supply chains. QNX’s large embedded base indicates a foundation for this shift, but an operating system inside a car does not by itself make the car fully software-defined.</x:v>
      </x:c>
      <x:c r="F25" s="6" t="str">
        <x:v>New vehicle platforms from major manufacturers with centralised computing, managed software updates and ongoing feature maintenance.</x:v>
      </x:c>
      <x:c r="G25" s="6" t="str">
        <x:v>Existing software suppliers and announced next-generation platforms support routine use this decade. Vehicle programme cycles slow deployment; the installed vehicle fleet will take much longer to turn over.</x:v>
      </x:c>
      <x:c r="H25" s="6" t="str">
        <x:v>Common software platforms can reduce duplicated engineering
Remote fixes lower some service costs
Vehicle computing suppliers benefit as manufacturers consolidate controllers</x:v>
      </x:c>
      <x:c r="I25" s="6" t="str">
        <x:v>Functional safety and cybersecurity must survive frequent updates
Legacy architectures and supplier contracts complicate migration
Customers may reject paid features or poorly supported software</x:v>
      </x:c>
      <x:c r="J25" s="6" t="str">
        <x:v>Share of new platforms with centralised compute and OTA update coverage
Software-defect recall costs and successful update rates
Per-vehicle software backlog and recurring revenue with clear definitions</x:v>
      </x:c>
      <x:c r="K25" s="6" t="str">
        <x:v>No defensible like-for-like external forecast is available for this KPI. The forward maturity path is a separately labelled analyst scenario, not a numerical adoption forecast.</x:v>
      </x:c>
      <x:c r="L25" s="6" t="str">
        <x:v>https://www.prnewswire.com/news-releases/blackberry-qnx-software-is-now-embedded-in-over-195-million-vehicles-301315834.html
https://www.sec.gov/Archives/edgar/data/1070235/000107023525000196/q3fy26ex-991.htm
https://qnx.software/en/press-release/2026/qnx-technology-to-help-drive-bmw-group-s-next-generation-of-software-defined-vehicles
https://www.sec.gov/Archives/edgar/data/1070235/000107023526000115/bbry-20260831.htm</x:v>
      </x:c>
    </x:row>
    <x:row r="26" ht="36" hidden="0" customHeight="1">
      <x:c r="A26" s="12" t="n">
        <x:v>21</x:v>
      </x:c>
      <x:c r="B26" s="6" t="str">
        <x:v>AI diagnostics and clinical copilots</x:v>
      </x:c>
      <x:c r="C26" s="6" t="str">
        <x:v>AI assists clinicians with medical images, documentation, chart review and selected decision-support tasks.</x:v>
      </x:c>
      <x:c r="D26" s="6" t="str">
        <x:v>A clinician reviews an automatically drafted visit note and an imaging alert, checks the underlying evidence, then signs the clinical record.</x:v>
      </x:c>
      <x:c r="E26" s="6" t="str">
        <x:v>AMA surveys show rapidly rising professional AI use, while the FDA’s device list demonstrates a growing regulated product base. Adoption is much broader than autonomous diagnosis: administrative assistance and summarisation contribute heavily to survey use.</x:v>
      </x:c>
      <x:c r="F26" s="6" t="str">
        <x:v>Clinician-reviewed documentation and validated decision support in well-resourced health systems; specific approved diagnostic workflows.</x:v>
      </x:c>
      <x:c r="G26" s="6" t="str">
        <x:v>The labour-saving use case is immediate and survey adoption is already high. Moving from any experimentation to reliable integrated care requires local validation, outcome monitoring and workflow accountability. Autonomous clinical care is outside this forecast.</x:v>
      </x:c>
      <x:c r="H26" s="6" t="str">
        <x:v>Documentation burden gives a concrete return-on-time use case
Integration with existing records reduces workflow switching
Validated narrow tools can be deployed without solving all of medicine</x:v>
      </x:c>
      <x:c r="I26" s="6" t="str">
        <x:v>Hallucinated notes, biased performance and missed findings
Clinical evidence may not transfer between patient populations
Billing, consent, liability and monitoring require local implementation</x:v>
      </x:c>
      <x:c r="J26" s="6" t="str">
        <x:v>Time saved after clinician correction, not raw drafting speed
Prospective patient outcomes and error rates by subgroup
Active paid users and renewal rates versus free pilots</x:v>
      </x:c>
      <x:c r="K26" s="6" t="str">
        <x:v>No defensible like-for-like external forecast is available for this KPI. The forward maturity path is a separately labelled analyst scenario, not a numerical adoption forecast.</x:v>
      </x:c>
      <x:c r="L26" s="6" t="str">
        <x:v>https://www.ama-assn.org/press-center/ama-press-releases/ama-ai-usage-among-doctors-doubles-confidence-technology-grows
https://www.ama-assn.org/press-center/ama-press-releases/ama-physician-enthusiasm-grows-health-care-ai
https://www.fda.gov/medical-devices/artificial-intelligence-enabled-medical-devices/list-artificial-intelligence-enabled-medical-devices</x:v>
      </x:c>
    </x:row>
    <x:row r="27" ht="72" hidden="0" customHeight="1">
      <x:c r="A27" s="12" t="n">
        <x:v>22</x:v>
      </x:c>
      <x:c r="B27" s="6" t="str">
        <x:v>Precision oncology and liquid biopsies</x:v>
      </x:c>
      <x:c r="C27" s="6" t="str">
        <x:v>Molecular tests help select cancer treatments and detect tumour signals from blood, sometimes reducing the need for invasive sampling.</x:v>
      </x:c>
      <x:c r="D27" s="6" t="str">
        <x:v>An oncologist uses a tumour DNA result to select a targeted treatment or monitor possible recurrence, with confirmatory clinical assessment.</x:v>
      </x:c>
      <x:c r="E27" s="6" t="str">
        <x:v>Clinical testing volumes are expanding and blood-based screening has reached specific regulatory approvals. Different applications have very different evidence: therapy selection, residual disease and screening must not be treated as interchangeable.</x:v>
      </x:c>
      <x:c r="F27" s="6" t="str">
        <x:v>Routine molecular profiling and evidence-backed blood testing in selected oncology pathways; not universal multi-cancer population screening.</x:v>
      </x:c>
      <x:c r="G27" s="6" t="str">
        <x:v>Existing test volume and growing treatment matching support routine oncology use this decade. Screening benefit requires outcome evidence, reimbursement and appropriate follow-up; those applications can take longer.</x:v>
      </x:c>
      <x:c r="H27" s="6" t="str">
        <x:v>More therapies require molecular patient selection
Blood sampling can support repeat monitoring
Sequencing and analytical pipelines offer supplier exposure</x:v>
      </x:c>
      <x:c r="I27" s="6" t="str">
        <x:v>Low tumour shedding can cause false negatives
Early detection is useful only with beneficial follow-up
Coverage decisions differ by cancer type, indication and payer</x:v>
      </x:c>
      <x:c r="J27" s="6" t="str">
        <x:v>Reimbursed tests and repeat ordering by indication
Sensitivity at early stages plus false-positive workup burden
Prospective evidence that test-guided care improves outcomes</x:v>
      </x:c>
      <x:c r="K27" s="6" t="str">
        <x:v>No defensible like-for-like external forecast is available for this KPI. The forward maturity path is a separately labelled analyst scenario, not a numerical adoption forecast.</x:v>
      </x:c>
      <x:c r="L27" s="6" t="str">
        <x:v>https://www.sec.gov/Archives/edgar/data/1576280/000157628022000012/gh-12312021xexhibit991.htm
https://investors.guardanthealth.com/files/doc_financials/2022/ar/ARS-Filing-2022-Annual-Report.pdf
https://investors.guardanthealth.com/press-releases/press-releases/2025/Guardant-Health-Reports-Fourth-Quarter-and-Full-Year-2024-Financial-Results-and-Provides-2025-Outlook/default.aspx
https://investors.guardanthealth.com/press-releases/press-releases/2026/Guardant-Health-Reports-Fourth-Quarter-and-Full-Year-2025-Financial-Results-and-Provides-2026-Outlook/default.aspx</x:v>
      </x:c>
    </x:row>
    <x:row r="28" ht="48" hidden="0" customHeight="1">
      <x:c r="A28" s="12" t="n">
        <x:v>23</x:v>
      </x:c>
      <x:c r="B28" s="6" t="str">
        <x:v>Gene-editing therapies</x:v>
      </x:c>
      <x:c r="C28" s="6" t="str">
        <x:v>Therapies alter a patient’s DNA in collected cells or directly in the body to address selected disease mechanisms.</x:v>
      </x:c>
      <x:c r="D28" s="6" t="str">
        <x:v>A specialist centre collects a patient’s stem cells, edits them, and reinfuses them after conditioning for an approved inherited blood disorder.</x:v>
      </x:c>
      <x:c r="E28" s="6" t="str">
        <x:v>The first approved CRISPR therapy has moved from regulatory breakthrough into commercial delivery. The remaining challenge is expanding access safely and proving in-body editing across more diseases.</x:v>
      </x:c>
      <x:c r="F28" s="6" t="str">
        <x:v>Established treatment option at specialist centres for selected severe inherited diseases; in-vivo indications only after successful trials and approval.</x:v>
      </x:c>
      <x:c r="G28" s="6" t="str">
        <x:v>Approved ex-vivo treatment and rising launch revenue establish a commercial base. Conditioning, specialised capacity, reimbursement and long-term follow-up make broad access gradual. Many proposed in-vivo indications can slip past 2035.</x:v>
      </x:c>
      <x:c r="H28" s="6" t="str">
        <x:v>A single intervention can address a defined genetic cause
Editing tools and delivery systems can support multiple programmes
Manufacturing and treatment-centre capacity can be reused</x:v>
      </x:c>
      <x:c r="I28" s="6" t="str">
        <x:v>Conditioning and treatment burden for current ex-vivo approaches
Off-target effects, durability and long-term follow-up
High upfront cost and difficult reimbursement logistics</x:v>
      </x:c>
      <x:c r="J28" s="6" t="str">
        <x:v>Patients infused rather than treatment centres announced
Serious adverse events and durability by indication
Time from referral to treatment and reimbursement completion</x:v>
      </x:c>
      <x:c r="K28" s="6" t="str">
        <x:v>No defensible like-for-like external forecast is available for this KPI. The forward maturity path is a separately labelled analyst scenario, not a numerical adoption forecast.</x:v>
      </x:c>
      <x:c r="L28" s="6" t="str">
        <x:v>https://news.vrtx.com/news-releases/news-release-details/vertex-reports-fourth-quarter-and-full-year-2024-financial
https://www.sec.gov/Archives/edgar/data/875320/000087532026000056/vrtx-20251231.htm
https://www.fda.gov/news-events/press-announcements/fda-approves-first-gene-therapies-treat-patients-sickle-cell-disease
https://www.fda.gov/news-events/press-announcements/fda-roundup-january-16-2024</x:v>
      </x:c>
    </x:row>
    <x:row r="29" ht="36" hidden="0" customHeight="1">
      <x:c r="A29" s="12" t="n">
        <x:v>24</x:v>
      </x:c>
      <x:c r="B29" s="6" t="str">
        <x:v>RNA therapeutics and next-generation vaccines</x:v>
      </x:c>
      <x:c r="C29" s="6" t="str">
        <x:v>RNA-based medicines change protein production or teach the immune system to recognise a target without permanently rewriting DNA.</x:v>
      </x:c>
      <x:c r="D29" s="6" t="str">
        <x:v>A patient receives an RNA-silencing medicine for a defined disease, or a vaccine designed around a pathogen or tumour target.</x:v>
      </x:c>
      <x:c r="E29" s="6" t="str">
        <x:v>Commercial RNA interference has expanded sharply while vaccines and RNA editing progress through distinct clinical paths. Pandemic vaccine revenue is an unsuitable standalone measure of the whole field’s direction.</x:v>
      </x:c>
      <x:c r="F29" s="6" t="str">
        <x:v>Routine use of additional RNA medicines in selected liver, cardiovascular and rare-disease indications, with approved vaccine extensions.</x:v>
      </x:c>
      <x:c r="G29" s="6" t="str">
        <x:v>Already approved RNA products validate parts of the platform. Broader routine use depends on delivery beyond the liver, manufacturing and indication-specific clinical benefit. Cancer vaccines and RNA editing remain conditional on trial outcomes.</x:v>
      </x:c>
      <x:c r="H29" s="6" t="str">
        <x:v>Sequence-based design can reuse development platforms
Established RNAi medicines provide commercial validation
Delivery and manufacturing suppliers benefit across multiple programmes</x:v>
      </x:c>
      <x:c r="I29" s="6" t="str">
        <x:v>Delivery to the intended tissue remains a central constraint
Durability, repeat dosing and tolerability differ by modality
Vaccine demand and policy can diverge from therapeutic growth</x:v>
      </x:c>
      <x:c r="J29" s="6" t="str">
        <x:v>Patients treated and reimbursed indication expansions
Clinical success by modality: siRNA, antisense, mRNA and RNA editing
Tissue delivery, dose burden and manufacturing yield</x:v>
      </x:c>
      <x:c r="K29" s="6" t="str">
        <x:v>A separate Alnylam 2030 total-revenue CAGR ambition is included. Its scope differs from historical net product revenue and from the overall RNA market.</x:v>
      </x:c>
      <x:c r="L29" s="6" t="str">
        <x:v>https://investors.alnylam.com/press-release?id=26471
https://www.sec.gov/Archives/edgar/data/1178670/000162828026007497/alny-20251231.htm
https://investors.alnylam.com/press-release?id=cda5bd48-ed15-4c48-ab80-1afb628fc6f9</x:v>
      </x:c>
    </x:row>
    <x:row r="30" ht="48" hidden="0" customHeight="1">
      <x:c r="A30" s="12" t="n">
        <x:v>25</x:v>
      </x:c>
      <x:c r="B30" s="6" t="str">
        <x:v>Remote patient monitoring and medical wearables</x:v>
      </x:c>
      <x:c r="C30" s="6" t="str">
        <x:v>Connected medical devices transmit health measurements from daily life into a clinical care pathway.</x:v>
      </x:c>
      <x:c r="D30" s="6" t="str">
        <x:v>A care team reviews glucose or blood-pressure readings between appointments and contacts a patient when an agreed threshold is crossed.</x:v>
      </x:c>
      <x:c r="E30" s="6" t="str">
        <x:v>Connected glucose monitoring provides an established commercial base. The next phase is making remote measurements actionable, reimbursable and easy for patients to sustain across more conditions.</x:v>
      </x:c>
      <x:c r="F30" s="6" t="str">
        <x:v>Covered chronic-disease pathways using validated devices and staffed clinical response, beyond already-established diabetes CGM.</x:v>
      </x:c>
      <x:c r="G30" s="6" t="str">
        <x:v>Device revenue growth and recognised remote monitoring workflows support near-term expansion. A wearable alone does not create clinical benefit: reliable data transmission and a care team’s response are necessary.</x:v>
      </x:c>
      <x:c r="H30" s="6" t="str">
        <x:v>Chronic conditions need information between clinic visits
Smaller connected devices reduce patient effort
Care teams can prioritise the patients whose readings change</x:v>
      </x:c>
      <x:c r="I30" s="6" t="str">
        <x:v>False alarms and incoming data can increase staff workload
Adherence and connectivity determine usable data
Payment and clinical responsibility vary across care settings</x:v>
      </x:c>
      <x:c r="J30" s="6" t="str">
        <x:v>Active monitored patients with adequate data continuity
Avoidable admissions and clinical outcomes versus a comparator
Clinician workload, intervention rates and payer renewal</x:v>
      </x:c>
      <x:c r="K30" s="6" t="str">
        <x:v>No defensible like-for-like external forecast is available for this KPI. The forward maturity path is a separately labelled analyst scenario, not a numerical adoption forecast.</x:v>
      </x:c>
      <x:c r="L30" s="6" t="str">
        <x:v>https://www.sec.gov/Archives/edgar/data/1093557/000109355726000063/dxcm2025_ars.pdf
https://investors.dexcom.com/news/news-details/2026/Dexcom-Reports-Fourth-Quarter-and-Fiscal-Year-2025-Financial-Results/default.aspx
https://www.cms.gov/outreach-and-education/medicare-learning-network-mln/mlnproducts/fast-facts/remote-patient-monitoring-use-bill-correctly
https://www.cms.gov/medicare/coverage/telehealth/remote-patient-monitoring</x:v>
      </x:c>
    </x:row>
    <x:row r="31" ht="48" hidden="0" customHeight="1">
      <x:c r="A31" s="12" t="n">
        <x:v>26</x:v>
      </x:c>
      <x:c r="B31" s="6" t="str">
        <x:v>AI-enabled drug discovery</x:v>
      </x:c>
      <x:c r="C31" s="6" t="str">
        <x:v>AI proposes targets, molecules and experiments that researchers test in laboratories and clinical trials.</x:v>
      </x:c>
      <x:c r="D31" s="6" t="str">
        <x:v>A discovery team prioritises compounds predicted to meet several constraints, then measures whether they actually work in biological experiments.</x:v>
      </x:c>
      <x:c r="E31" s="6" t="str">
        <x:v>AI-designed programmes have reached clinical trials and one randomized phase 2a study has been published for an AI-discovered target and molecule. Pipeline activity is growing faster than the evidence for improved end-to-end drug success.</x:v>
      </x:c>
      <x:c r="F31" s="6" t="str">
        <x:v>AI integrated into routine discovery and optimisation workflows at pharmaceutical companies; not a promise that AI-origin drugs all reach approval.</x:v>
      </x:c>
      <x:c r="G31" s="6" t="str">
        <x:v>Software and experimental integration already have commercial buyers. Routine workflow adoption should precede a definitive industry-wide improvement in clinical success, which takes years to measure. Clinical attrition remains the main economic uncertainty.</x:v>
      </x:c>
      <x:c r="H31" s="6" t="str">
        <x:v>Better biological data and experimentally grounded models
Pharma partnerships fund work before product approval
Robotics and assays can turn model suggestions into measured feedback</x:v>
      </x:c>
      <x:c r="I31" s="6" t="str">
        <x:v>Training data can be biased or poorly matched to patients
A molecule can be easy to design but hard to make, deliver or prove
Long trials delay proof that discovery efficiency improves final returns</x:v>
      </x:c>
      <x:c r="J31" s="6" t="str">
        <x:v>Prospective hit rates and time to validated candidate
Clinical progression and failures against comparable non-AI programmes
Cash revenue and research economics versus headline partnership milestones</x:v>
      </x:c>
      <x:c r="K31" s="6" t="str">
        <x:v>No defensible like-for-like external forecast is available for this KPI. The forward maturity path is a separately labelled analyst scenario, not a numerical adoption forecast.</x:v>
      </x:c>
      <x:c r="L31" s="6" t="str">
        <x:v>https://insilico.com/news/tnik-ipf-phase2a
https://www.prnewswire.com/news-releases/generative-ai-leap-insilico-medicine-nominates-first-preclinical-candidate-in-the-uae-302752898.html
https://insilico.com/phase1
https://www.nature.com/articles/s41591-025-03743-2</x:v>
      </x:c>
    </x:row>
    <x:row r="32" ht="36" hidden="0" customHeight="1">
      <x:c r="A32" s="12" t="n">
        <x:v>27</x:v>
      </x:c>
      <x:c r="B32" s="6" t="str">
        <x:v>Synthetic biology and biomanufacturing</x:v>
      </x:c>
      <x:c r="C32" s="6" t="str">
        <x:v>Engineered cells and enzymes manufacture useful molecules, materials and biological products.</x:v>
      </x:c>
      <x:c r="D32" s="6" t="str">
        <x:v>A producer designs a microbial strain to make a specialty ingredient, then scales fermentation and purification to a repeatable industrial process.</x:v>
      </x:c>
      <x:c r="E32" s="6" t="str">
        <x:v>DNA design and synthesis are becoming productive supply chains, while manufacturing economics remain highly product-specific. Twist’s gene shipment growth measures demand for an enabling input, not successful industrial output.</x:v>
      </x:c>
      <x:c r="F32" s="6" t="str">
        <x:v>Routine engineered-biological production of selected high-value ingredients, enzymes and specialty chemicals.</x:v>
      </x:c>
      <x:c r="G32" s="6" t="str">
        <x:v>The most valuable, lower-volume products can absorb development and purification costs. Bulk commodity displacement is a separate, slower case dependent on feedstock, scale and energy economics; some applications will remain uneconomic beyond 2035.</x:v>
      </x:c>
      <x:c r="H32" s="6" t="str">
        <x:v>Lower-cost DNA synthesis expands experiments
Automation makes strain design and screening more repeatable
Specialty products can command prices that support early scale-up</x:v>
      </x:c>
      <x:c r="I32" s="6" t="str">
        <x:v>Biology at laboratory scale may not behave the same in large vessels
Purification and feedstock costs can dominate economics
Capital-intensive plants need dependable offtake</x:v>
      </x:c>
      <x:c r="J32" s="6" t="str">
        <x:v>Commercial product tonnes and recurring customer orders
Titer, rate and yield together with downstream recovery cost
Plant utilisation, gross margin and cash required per new product</x:v>
      </x:c>
      <x:c r="K32" s="6" t="str">
        <x:v>No defensible like-for-like external forecast is available for this KPI. The forward maturity path is a separately labelled analyst scenario, not a numerical adoption forecast.</x:v>
      </x:c>
      <x:c r="L32" s="6" t="str">
        <x:v>https://investors.twistbioscience.com/news-releases/news-release-details/twist-bioscience-reports-fourth-quarter-and-full-year-fiscal-1/
https://www.sec.gov/Archives/edgar/data/1581280/000158128025000020/twst-20250930xex991.htm
https://investors.twistbioscience.com/static-files/8c1d5bed-df6f-48d5-832f-eb2f32717c27</x:v>
      </x:c>
    </x:row>
    <x:row r="33" ht="36" hidden="0" customHeight="1">
      <x:c r="A33" s="12" t="n">
        <x:v>28</x:v>
      </x:c>
      <x:c r="B33" s="6" t="str">
        <x:v>Precision fermentation for food</x:v>
      </x:c>
      <x:c r="C33" s="6" t="str">
        <x:v>Engineered microorganisms produce specific food proteins or functional ingredients that are separated from the fermentation broth.</x:v>
      </x:c>
      <x:c r="D33" s="6" t="str">
        <x:v>A food manufacturer buys fermentation-produced whey or another functional protein to make a familiar ingredient without the traditional animal supply chain.</x:v>
      </x:c>
      <x:c r="E33" s="6" t="str">
        <x:v>Products and partnerships have emerged, but financing and scale-up are difficult. The broader fermentation alternative-protein funding pool fell in 2025, so the direction is commercial experimentation under capital pressure, not uniform acceleration.</x:v>
      </x:c>
      <x:c r="F33" s="6" t="str">
        <x:v>Regular ingredient use in selected premium or high-functionality food categories where approved products reach workable cost and supply reliability.</x:v>
      </x:c>
      <x:c r="G33" s="6" t="str">
        <x:v>High-value ingredients have a more plausible route than replacing commodity dairy protein at once. Regulatory approval, fermentation capacity, purification cost and repeat consumer demand can delay even niche mainstream use beyond 2035.</x:v>
      </x:c>
      <x:c r="H33" s="6" t="str">
        <x:v>Functional proteins can solve a precise formulation problem
Existing fermentation and downstream equipment suppliers can serve producers
Partnerships with established food manufacturers provide distribution</x:v>
      </x:c>
      <x:c r="I33" s="6" t="str">
        <x:v>Fermentation and purification cost at commercial scale
Novel-food approval is jurisdiction-specific
Customer willingness to pay and repeat demand are uncertain</x:v>
      </x:c>
      <x:c r="J33" s="6" t="str">
        <x:v>Tonnes sold and repeat orders, not capacity announcements
Delivered ingredient cost and usable functionality against alternatives
Regulatory clearances, plant utilisation and runway</x:v>
      </x:c>
      <x:c r="K33" s="6" t="str">
        <x:v>No defensible like-for-like external forecast is available for this KPI. The forward maturity path is a separately labelled analyst scenario, not a numerical adoption forecast.</x:v>
      </x:c>
      <x:c r="L33" s="6" t="str">
        <x:v>https://gfi.org/resource/fermentation-meat-seafood-eggs-dairy-and-ingredients-state-of-the-industry/
https://gfi.org/press/record-5-billion-invested-in-alt-proteins-in-2021/
https://gfi.org/wp-content/uploads/2025/05/2024-State-of-the-Industry-Fermentation-for-meat-seafood-eggs-dairy-and-ingredients.pdf</x:v>
      </x:c>
    </x:row>
    <x:row r="34" ht="60" hidden="0" customHeight="1">
      <x:c r="A34" s="12" t="n">
        <x:v>29</x:v>
      </x:c>
      <x:c r="B34" s="6" t="str">
        <x:v>Organoids and organ-on-chip testing</x:v>
      </x:c>
      <x:c r="C34" s="6" t="str">
        <x:v>Small human-derived tissue models reproduce selected aspects of organ biology for research and drug testing.</x:v>
      </x:c>
      <x:c r="D34" s="6" t="str">
        <x:v>A drug developer compares liver toxicity or tumour response in a human tissue model before choosing which compounds to advance.</x:v>
      </x:c>
      <x:c r="E34" s="6" t="str">
        <x:v>Commercial platforms and regulatory interest in alternative methods have increased. FDA guidance supports validation in a defined context of use; it does not declare every organ model a replacement for animal testing.</x:v>
      </x:c>
      <x:c r="F34" s="6" t="str">
        <x:v>Routine complementary use in selected pharmaceutical toxicity, disease-model and compound-selection workflows.</x:v>
      </x:c>
      <x:c r="G34" s="6" t="str">
        <x:v>Platforms already serve pharmaceutical researchers and policy supports better human-relevant evidence. Reproducibility, throughput and predictive validation remain necessary. Replacement of all animal studies and transplantation of complete organs are outside this forecast.</x:v>
      </x:c>
      <x:c r="H34" s="6" t="str">
        <x:v>Human-derived models can answer questions animal models miss
Drug developers need better early selection and toxicity evidence
Regulatory attention encourages formal validation</x:v>
      </x:c>
      <x:c r="I34" s="6" t="str">
        <x:v>Donor variability and laboratory reproducibility
Incomplete immune, vascular and whole-body interactions
Predictive validity must be proven separately for each intended use</x:v>
      </x:c>
      <x:c r="J34" s="6" t="str">
        <x:v>Prospective prediction of clinical outcomes in defined contexts
Validated workflows accepted in actual regulatory submissions
Recurring consumable use, throughput and inter-laboratory reproducibility</x:v>
      </x:c>
      <x:c r="K34" s="6" t="str">
        <x:v>No defensible like-for-like external forecast is available for this KPI. The forward maturity path is a separately labelled analyst scenario, not a numerical adoption forecast.</x:v>
      </x:c>
      <x:c r="L34" s="6" t="str">
        <x:v>https://emulatebio.com/press/150th-user-installations-milestone/
https://emulatebio.com/press/emulate-earns-frost-sullivans-2023-technology-innovation-leadership-award/
https://emulatebio.com/series-e-announcement/
https://www.fda.gov/news-events/press-announcements/fda-announces-plan-phase-out-animal-testing-requirement-monoclonal-antibodies-and-other-drugs</x:v>
      </x:c>
    </x:row>
    <x:row r="35" ht="36" hidden="0" customHeight="1">
      <x:c r="A35" s="12" t="n">
        <x:v>30</x:v>
      </x:c>
      <x:c r="B35" s="6" t="str">
        <x:v>Autonomous agriculture and precision farming</x:v>
      </x:c>
      <x:c r="C35" s="6" t="str">
        <x:v>Sensors, computer vision and automated machines apply inputs or perform field work with finer control.</x:v>
      </x:c>
      <x:c r="D35" s="6" t="str">
        <x:v>A sprayer identifies weeds and treats selected patches, while a farmer monitors performance and exceptions.</x:v>
      </x:c>
      <x:c r="E35" s="6" t="str">
        <x:v>John Deere reports a rapid increase in acres treated with its selective-spraying system. This validates a concrete input-saving application, while full farm autonomy remains a broader and harder problem.</x:v>
      </x:c>
      <x:c r="F35" s="6" t="str">
        <x:v>Routine precision spraying, automated guidance and selected supervised autonomous tasks on commercially suitable farms.</x:v>
      </x:c>
      <x:c r="G35" s="6" t="str">
        <x:v>Savings in chemicals, labour and time can create a measurable purchase case. Crops, field geometry and capital access differ, so the forecast concerns selected farm operations rather than fully unattended farms everywhere.</x:v>
      </x:c>
      <x:c r="H35" s="6" t="str">
        <x:v>Selective spraying can reduce purchased inputs
Labour constraints favour assistance on repetitive tasks
Retrofits can extend existing equipment instead of requiring a new fleet</x:v>
      </x:c>
      <x:c r="I35" s="6" t="str">
        <x:v>Upfront machine cost and seasonal utilisation
Vision performance varies by crop, weather and field condition
Service availability, connectivity and equipment compatibility</x:v>
      </x:c>
      <x:c r="J35" s="6" t="str">
        <x:v>Paid acres operated and recurring software utilisation
Input savings measured against comparable fields and yield
Payback period, downtime and human interventions per operating hour</x:v>
      </x:c>
      <x:c r="K35" s="6" t="str">
        <x:v>No defensible like-for-like external forecast is available for this KPI. The forward maturity path is a separately labelled analyst scenario, not a numerical adoption forecast.</x:v>
      </x:c>
      <x:c r="L35" s="6" t="str">
        <x:v>https://www.deere.ca/en/news/all-news/see-spray-herbicide-savings/
https://www.deere.ca/en/news/all-news/see-spray-technology-across-5-million-acres/
https://www.deere.ca/en/sprayers/see-spray-gen-2/</x:v>
      </x:c>
    </x:row>
    <x:row r="36" ht="48" hidden="0" customHeight="1">
      <x:c r="A36" s="12" t="n">
        <x:v>31</x:v>
      </x:c>
      <x:c r="B36" s="6" t="str">
        <x:v>Perovskite-silicon tandem solar</x:v>
      </x:c>
      <x:c r="C36" s="6" t="str">
        <x:v>A perovskite layer above silicon captures additional sunlight that a single silicon cell cannot convert as efficiently.</x:v>
      </x:c>
      <x:c r="D36" s="6" t="str">
        <x:v>A space-constrained roof generates more power from the same panel area, if the new module can maintain output over a bankable lifetime.</x:v>
      </x:c>
      <x:c r="E36" s="6" t="str">
        <x:v>Research-cell efficiency records and initial commercial shipments demonstrate technical progress. Laboratory efficiency is ahead of proven mass-manufacturing yield and long-term outdoor reliability.</x:v>
      </x:c>
      <x:c r="F36" s="6" t="str">
        <x:v>Bankable commercial tandem modules used routinely in selected premium or area-constrained solar installations.</x:v>
      </x:c>
      <x:c r="G36" s="6" t="str">
        <x:v>Record efficiency gives a strong incentive where area has value. Large-area uniformity, encapsulation, degradation and warranties determine whether premium shipments become a routine choice. Broad commodity market dominance is not assumed.</x:v>
      </x:c>
      <x:c r="H36" s="6" t="str">
        <x:v>Higher watts per unit area can reduce land and installation pressure
Silicon manufacturing provides an established lower-cell supply chain
Efficiency can offset some additional manufacturing cost</x:v>
      </x:c>
      <x:c r="I36" s="6" t="str">
        <x:v>Long-term stability and outdoor degradation
Large-area coating uniformity, yield and encapsulation
Bankable warranties and cost at meaningful production scale</x:v>
      </x:c>
      <x:c r="J36" s="6" t="str">
        <x:v>Third-party module efficiency and stable outdoor energy yield
Shipped megawatts and warranted lifetime, not research records alone
Manufacturing yield, line throughput and cost per delivered watt</x:v>
      </x:c>
      <x:c r="K36" s="6" t="str">
        <x:v>Oxford PV module-efficiency targets of 27% in 2027 and 30% in 2030 are shown separately; research-cell efficiency and manufactured-module efficiency are different measures.</x:v>
      </x:c>
      <x:c r="L36" s="6" t="str">
        <x:v>https://www.helmholtz-berlin.de/pubbin/news_seite?nid=23248&amp;sprache=en
https://www.longi.com/en/news/crystalline-silicon-perovskite-tandem-solar-cell-new-world-efficiency-2026/
https://www.longi.com/au/news/silicon-perovskite-tandem-solar-cells-new-world-efficiency/
https://www.oxfordpv.com/press-releases/oxford-pv-solar-technology-patent</x:v>
      </x:c>
    </x:row>
    <x:row r="37" ht="36" hidden="0" customHeight="1">
      <x:c r="A37" s="12" t="n">
        <x:v>32</x:v>
      </x:c>
      <x:c r="B37" s="6" t="str">
        <x:v>Long-duration energy storage</x:v>
      </x:c>
      <x:c r="C37" s="6" t="str">
        <x:v>Storage technologies hold electricity or energy for extended periods so grids can bridge longer renewable shortfalls.</x:v>
      </x:c>
      <x:c r="D37" s="6" t="str">
        <x:v>A utility charges storage during plentiful generation and discharges it over a long evening, overnight period or multi-day event.</x:v>
      </x:c>
      <x:c r="E37" s="6" t="str">
        <x:v>Non-lithium storage deployments are growing, but competitive economics and funding remain difficult. Published deployment figures often classify technology families rather than strictly counting systems that discharge for ten hours or more.</x:v>
      </x:c>
      <x:c r="F37" s="6" t="str">
        <x:v>Routine procurement of eight-to-100-hour storage for selected grid and industrial needs where duration has an explicit economic value.</x:v>
      </x:c>
      <x:c r="G37" s="6" t="str">
        <x:v>Greater renewable exposure creates use cases, but lithium-ion remains a formidable competitor over shorter durations. Contracts that pay for prolonged availability, rather than only energy throughput, are essential. Some chemistries may not scale by 2035.</x:v>
      </x:c>
      <x:c r="H37" s="6" t="str">
        <x:v>Renewable-heavy grids need flexibility across longer intervals
Industrial heat storage can serve a different market from electricity batteries
Several technologies use abundant materials</x:v>
      </x:c>
      <x:c r="I37" s="6" t="str">
        <x:v>Lithium-ion cost and established financing over shorter durations
Low cycling frequency can weaken project revenue
First commercial projects carry execution and counterparty risk</x:v>
      </x:c>
      <x:c r="J37" s="6" t="str">
        <x:v>Operating GWh separated by discharge duration and chemistry
Contracted revenue, availability and realised round-trip efficiency
Construction cost, commissioning dates and finance secured</x:v>
      </x:c>
      <x:c r="K37" s="6" t="str">
        <x:v>No defensible like-for-like external forecast is available for this KPI. The forward maturity path is a separately labelled analyst scenario, not a numerical adoption forecast.</x:v>
      </x:c>
      <x:c r="L37" s="6" t="str">
        <x:v>https://www.woodmac.com/press-releases/ldes-2025-outlook/
https://www.energy.gov/articles/secretary-granholm-announces-new-goal-cut-costs-long-duration-energy-storage-90-percent
https://www.energy.ca.gov/programs-and-topics/programs/long-duration-energy-storage-program</x:v>
      </x:c>
    </x:row>
    <x:row r="38" ht="48" hidden="0" customHeight="1">
      <x:c r="A38" s="12" t="n">
        <x:v>33</x:v>
      </x:c>
      <x:c r="B38" s="6" t="str">
        <x:v>Sodium-ion batteries</x:v>
      </x:c>
      <x:c r="C38" s="6" t="str">
        <x:v>Rechargeable batteries use sodium ions as the charge carrier, offering another chemistry for selected transport and stationary applications.</x:v>
      </x:c>
      <x:c r="D38" s="6" t="str">
        <x:v>A low-cost or cold-climate vehicle uses sodium-ion cells where energy density is sufficient and temperature performance or material supply is valuable.</x:v>
      </x:c>
      <x:c r="E38" s="6" t="str">
        <x:v>CATL has advanced from a first-generation announcement to later cells and a passenger-vehicle unveiling. Commercial competitiveness still depends on cost and production yield relative to continually improving lithium iron phosphate.</x:v>
      </x:c>
      <x:c r="F38" s="6" t="str">
        <x:v>Routine use in selected budget or cold-weather vehicles and stationary storage products; not wholesale replacement of lithium-ion.</x:v>
      </x:c>
      <x:c r="G38" s="6" t="str">
        <x:v>Major manufacturers and initial vehicle programmes support a plausible commercial pathway. Lower energy density and cheap competing LFP can delay adoption. Manufacturer mass-production language should be checked against actual shipped GWh.</x:v>
      </x:c>
      <x:c r="H38" s="6" t="str">
        <x:v>Sodium provides a different raw-material supply chain
Cold-temperature performance can create specific use cases
Multiple battery suppliers can adapt existing manufacturing expertise</x:v>
      </x:c>
      <x:c r="I38" s="6" t="str">
        <x:v>Energy density is lower than leading lithium-ion cells
LFP price declines can remove the expected cost advantage
Hard-carbon supply, yield and customer qualification</x:v>
      </x:c>
      <x:c r="J38" s="6" t="str">
        <x:v>Commercially shipped GWh and delivered vehicles
Pack cost per kWh versus LFP at comparable scale
Cycle life, cold performance and warranty claims in actual use</x:v>
      </x:c>
      <x:c r="K38" s="6" t="str">
        <x:v>Separate forward signals show a 1 GWh end-2026 company shipment target and a 60 GWh three-year supply agreement. Neither can be plotted as an extension of cell energy density.</x:v>
      </x:c>
      <x:c r="L38" s="6" t="str">
        <x:v>https://www.catl.com/es/uploads/1/file/public/202304/20230423150316_scwl3op487.pdf
https://www.catl.com/en/news/6401.html
https://www.catl.com/en/news/6720.html
https://www.catl.com/en/news/6563.html</x:v>
      </x:c>
    </x:row>
    <x:row r="39" ht="72" hidden="0" customHeight="1">
      <x:c r="A39" s="12" t="n">
        <x:v>34</x:v>
      </x:c>
      <x:c r="B39" s="6" t="str">
        <x:v>Advanced geothermal</x:v>
      </x:c>
      <x:c r="C39" s="6" t="str">
        <x:v>Drilling and reservoir technologies turn underground heat into dependable electricity in places conventional geothermal could not reach.</x:v>
      </x:c>
      <x:c r="D39" s="6" t="str">
        <x:v>A data centre signs an around-the-clock power contract with a geothermal plant; nearby factories can also buy useful heat.</x:v>
      </x:c>
      <x:c r="E39" s="6" t="str">
        <x:v>The decisive change is repeatable drilling and reservoir engineering. Fervo reported a 70% reduction in its fastest horizontal-well drilling time between its 2022 Project Red well and a deeper Cape Station well in 2024. In September 2026 its first Cape Station block reached contractual commercial operation at 33 MW. Eavor delivered first grid power at Geretsried in December 2025, demonstrating a different closed-loop approach. These are meaningful project milestones, but they do not establish global cost competitiveness or long reservoir life. The IEA’s large resource estimates are conditional economic potential, not orders or expected installed capacity. Count commissioned power, sustained output and delivered cost separately from memoranda and land leases.</x:v>
      </x:c>
      <x:c r="F39" s="6" t="str">
        <x:v>Routine procurement of next-generation geothermal power in selected US and European electricity markets with suitable geology and firm-power demand.</x:v>
      </x:c>
      <x:c r="G39" s="6" t="str">
        <x:v>The first commercial projects now support a late-2020s replication cycle. Repeat wells, reliable multi-year production and financeable contracts could make selected projects routine early in the 2030s. Permitting, induced seismicity, reservoir decline or disappointing drilling costs could delay adoption beyond this window. IEA’s possible 80% cost decline by 2035 is conditional, not a guaranteed learning curve.</x:v>
      </x:c>
      <x:c r="H39" s="6" t="str">
        <x:v>Corporate demand for firm electricity makes bankable long-duration offtake possible.
Oilfield drilling equipment and skills can transfer into geothermal projects.
Modular surface plants and repeated well designs may shorten successive builds.</x:v>
      </x:c>
      <x:c r="I39" s="6" t="str">
        <x:v>Reservoir performance must persist for years, not just a short flow test.
Deep wells, financing, grid access and permits can dominate delivered cost.
Seismicity and water management depend on the geology and technology chosen.</x:v>
      </x:c>
      <x:c r="J39" s="6" t="str">
        <x:v>Net MW that have reached contractual commercial operation, plus actual annual generation and availability.
Median cost and days per completed well at comparable depth, rather than a selected record.
Signed power contracts versus projects that have reached financing and construction.</x:v>
      </x:c>
      <x:c r="K39" s="6" t="str">
        <x:v>No defensible comparable external deployment forecast found. The separate maturity path is an analyst scenario, not measured adoption.</x:v>
      </x:c>
      <x:c r="L39" s="6" t="str">
        <x:v>https://fervoenergy.com/fervo-energy-drilling-results-show-rapid-advancement-of-geothermal-performance/
https://ir.fervoenergy.com/news-releases/news-release-details/fervo-energy-declares-commercial-operation-cape-station-ahead
https://eavor.com/press-releases/eavor-technologies-achieves-first-electricity-production-at-geretsried-site/</x:v>
      </x:c>
    </x:row>
    <x:row r="40" ht="60" hidden="0" customHeight="1">
      <x:c r="A40" s="12" t="n">
        <x:v>35</x:v>
      </x:c>
      <x:c r="B40" s="6" t="str">
        <x:v>Small modular nuclear reactors</x:v>
      </x:c>
      <x:c r="C40" s="6" t="str">
        <x:v>Smaller reactor designs aim to deliver factory-repeatable nuclear power or heat with less capital committed to each unit.</x:v>
      </x:c>
      <x:c r="D40" s="6" t="str">
        <x:v>A utility adds several standardised reactors over time near an industrial site instead of financing one very large unit at once.</x:v>
      </x:c>
      <x:c r="E40" s="6" t="str">
        <x:v>The useful signal is progress through licensing, financing, fuel qualification and actual construction. The OECD NEA dashboard expanded from 42 assessed designs in 2023 to 74 in 2025, but that is an expanding assessment universe, not an increase in operating plants. The 2025 NEA review identified seven designs either operating or under construction. Its September 2026 digital edition provides a more current project-by-project readiness view. Demand from utilities and large electricity buyers improves the opportunity, while the IEA cautions that policy, regulation and delivery must align. Small size alone does not remove first-of-a-kind cost, waste, security, skilled-workforce or fuel constraints.</x:v>
      </x:c>
      <x:c r="F40" s="6" t="str">
        <x:v>Repeat commercial orders for a small number of qualified designs in established nuclear countries; not mass global replacement of large reactors.</x:v>
      </x:c>
      <x:c r="G40" s="6" t="str">
        <x:v>First commercial deployments around 2030 need operating evidence before repeat fleets become routine. Successful early projects could support serial procurement in the early-to-mid 2030s. Delays in licensing, construction economics or specialist fuel can push broad adoption past 2035. The IEA’s 2050 scenarios span 40–120 GW, illustrating the policy sensitivity.</x:v>
      </x:c>
      <x:c r="H40" s="6" t="str">
        <x:v>Firm-power demand and fleet replacement create identifiable customers.
Standardised designs can spread engineering cost over repeat projects if orders materialise.
Established nuclear supply chains offer a base for manufacturing and operations.</x:v>
      </x:c>
      <x:c r="I40" s="6" t="str">
        <x:v>First-of-a-kind costs and financing may offset the advantage of smaller unit size.
Some advanced designs require scarce qualified fuel and entirely new supply chains.
A memorandum or design approval is several major gates away from commercial electricity.</x:v>
      </x:c>
      <x:c r="J40" s="6" t="str">
        <x:v>Number of reactors with full funding, construction permits and physical first concrete.
First-unit actual construction cost per kW and schedule versus the investment case.
Binding repeat orders, fuel deliveries and sustained operating performance.</x:v>
      </x:c>
      <x:c r="K40" s="6" t="str">
        <x:v>No defensible comparable external deployment forecast found. The separate maturity path is an analyst scenario, not measured adoption.</x:v>
      </x:c>
      <x:c r="L40" s="6" t="str">
        <x:v>https://www.oecd-nea.org/jcms/pl_73678/nea-small-modular-reactor-smr-dashboard
https://cms.oecd-nea.org/jcms/pl_108268/new-nea-small-modular-reactor-dashboard-edition-reveals-global-expansion-of-smr-deployment
https://oecd-nea.org/jcms/pl_122015/release-of-the-nea-small-modular-reactor-digital-dashboard-fourth-edition</x:v>
      </x:c>
    </x:row>
    <x:row r="41" ht="60" hidden="0" customHeight="1">
      <x:c r="A41" s="12" t="n">
        <x:v>36</x:v>
      </x:c>
      <x:c r="B41" s="6" t="str">
        <x:v>High-temperature and industrial heat pumps</x:v>
      </x:c>
      <x:c r="C41" s="6" t="str">
        <x:v>Industrial heat pumps upgrade low-grade waste heat into useful hot water or steam, reducing the fuel needed for process heating.</x:v>
      </x:c>
      <x:c r="D41" s="6" t="str">
        <x:v>A food plant recovers refrigeration heat and uses it to pasteurise or clean equipment instead of producing all its heat with gas.</x:v>
      </x:c>
      <x:c r="E41" s="6" t="str">
        <x:v>High-temperature products are moving from prototypes into operating industrial sites. The IEA’s 2026 review says systems below 120°C have entered commercial operation and units below 160°C are beginning to do so. Japan’s installed industrial capacity approached 650 MW in 2024, but this still served only around 1% of light-industry heat demand. Wider adoption depends on each site’s waste-heat temperature, operating hours, electrical connection and electricity-to-gas price ratio. A good coefficient of performance in one demonstration is not a universal economic case: the required temperature lift is decisive. This is a market with strong technical potential and highly uneven project economics.</x:v>
      </x:c>
      <x:c r="F41" s="6" t="str">
        <x:v>Routine selection for suitable low-to-medium-temperature process-heat projects in food, paper and other light industries, especially with recoverable waste heat.</x:v>
      </x:c>
      <x:c r="G41" s="6" t="str">
        <x:v>Repeat industrial packages, integrator experience and rising efficiency support adoption in the early 2030s. This does not imply widespread replacement of very high-temperature furnaces. IEA’s current-policy scenario is broadly stagnant through 2035, whereas its stated-policy scenario reaches about 8% of light-industry heat demand; policy and electricity economics are therefore material conditions.</x:v>
      </x:c>
      <x:c r="H41" s="6" t="str">
        <x:v>Reusing waste heat can reduce fuel use and exposure to fossil-fuel price volatility.
Existing compressor, refrigeration and engineering suppliers can industrialise proven components.
Long operating hours in factories can improve payback when electricity is competitively priced.</x:v>
      </x:c>
      <x:c r="I41" s="6" t="str">
        <x:v>Capital cost, process integration and plant downtime complicate retrofits.
High electricity-to-gas prices can outweigh an attractive technical efficiency.
Above roughly 160–200°C, technology readiness and economics remain more demanding.</x:v>
      </x:c>
      <x:c r="J41" s="6" t="str">
        <x:v>MW thermal commissioned for industrial service, separated by delivered temperature.
Measured seasonal/process COP and total delivered heat cost at a specified temperature lift.
Share of repeat orders and standard packages versus heavily customised pilots.</x:v>
      </x:c>
      <x:c r="K41" s="6" t="str">
        <x:v>No defensible comparable external deployment forecast found. The separate maturity path is an analyst scenario, not measured adoption.</x:v>
      </x:c>
      <x:c r="L41" s="6" t="str">
        <x:v>https://www.iea.org/reports/heat-pump-monitor-2026/key-findings
https://heatpumpingtechnologies.org/articles/heat-pumps-step-up-what-the-ieas-heat-pump-monitor-2026-means-for-heating-industry-and-energy-security/</x:v>
      </x:c>
    </x:row>
    <x:row r="42" ht="60" hidden="0" customHeight="1">
      <x:c r="A42" s="12" t="n">
        <x:v>37</x:v>
      </x:c>
      <x:c r="B42" s="6" t="str">
        <x:v>Virtual power plants and demand flexibility</x:v>
      </x:c>
      <x:c r="C42" s="6" t="str">
        <x:v>Software coordinates many batteries, vehicles, thermostats and flexible industrial loads as a resource the electricity grid can dispatch.</x:v>
      </x:c>
      <x:c r="D42" s="6" t="str">
        <x:v>Your home battery exports power during a grid peak and your thermostat briefly shifts demand; an aggregator pays you for participating.</x:v>
      </x:c>
      <x:c r="E42" s="6" t="str">
        <x:v>There are already commercial VPPs, but aggregation of newer devices and participation in additional markets is still expanding. Wood Mackenzie’s 2025 North America study reported 37.5 GW of behind-the-meter flexible capacity, a 13.7% increase over the preceding study period. Its share of wholesale capacity supplied by residential customers rose from 8.8% in 2024 to 10.2%. This is valuable because grid and generation projects take time, while some flexibility comes from equipment already installed. Nameplate connected devices are not the same as dependable capacity: customer opt-outs, communication failures, baseline rules and simultaneous dispatch determine what a VPP can actually deliver.</x:v>
      </x:c>
      <x:c r="F42" s="6" t="str">
        <x:v>Routine utility procurement of aggregated residential and commercial flexibility in suitable US, European and Australian electricity markets.</x:v>
      </x:c>
      <x:c r="G42" s="6" t="str">
        <x:v>Existing commercial programmes reduce technology risk; market access, device interoperability and dependable dispatch are the remaining scaling tasks. Some regions already meet this definition, while others may not by 2035. Retail tariffs, incentives and utility rules determine the local date more than software maturity.</x:v>
      </x:c>
      <x:c r="H42" s="6" t="str">
        <x:v>Flexible demand can relieve peaks without waiting for all new generation and transmission to be built.
Batteries, connected HVAC and EV charging enlarge the pool of dispatchable devices.
Customers can receive payments or lower bills, supporting voluntary enrollment.</x:v>
      </x:c>
      <x:c r="I42" s="6" t="str">
        <x:v>Rules for baselines, telemetry and compensation differ by jurisdiction.
Customers may opt out or prioritise comfort, mobility and backup reserves.
Installed device capacity can overstate simultaneous dependable grid support.</x:v>
      </x:c>
      <x:c r="J42" s="6" t="str">
        <x:v>Verified peak MW delivered and duration during real system stress.
Customer retention, opt-out rates, payments and cost of acquiring an enrolled household.
Contracted utility/wholesale capacity versus merely connected nameplate capacity.</x:v>
      </x:c>
      <x:c r="K42" s="6" t="str">
        <x:v>No defensible comparable external deployment forecast found. The separate maturity path is an analyst scenario, not measured adoption.</x:v>
      </x:c>
      <x:c r="L42" s="6" t="str">
        <x:v>https://www.woodmac.com/press-releases/virtual-power-plant-capacity-expands-13.7-year-over-year-to-reach-37.5-gw
https://www.energy.gov/edf/virtual-power-plants-projects
https://www.voltus.co/press/voltus-octopus-energy-launch-partnership</x:v>
      </x:c>
    </x:row>
    <x:row r="43" ht="60" hidden="0" customHeight="1">
      <x:c r="A43" s="12" t="n">
        <x:v>38</x:v>
      </x:c>
      <x:c r="B43" s="6" t="str">
        <x:v>Advanced transmission and grid-enhancing technologies</x:v>
      </x:c>
      <x:c r="C43" s="6" t="str">
        <x:v>Advanced conductors, sensors and power-flow controls move more electricity through existing grid corridors and help operators use their lines safely.</x:v>
      </x:c>
      <x:c r="D43" s="6" t="str">
        <x:v>A utility replaces an old conductor and measures real-time weather conditions, increasing a constrained line’s usable capacity while major new lines are still being planned.</x:v>
      </x:c>
      <x:c r="E43" s="6" t="str">
        <x:v>Electricity demand and renewable interconnection are increasing the value of upgrades that can use existing rights of way. Advanced conductors, dynamic line ratings and power-flow controllers solve different constraints and should be evaluated separately. CTC Global’s disclosed cumulative ACCC conductor deployment rose from more than 175,000 km in its 2024 newsletter to more than 185,000 km in July 2025. That establishes an operating supplier base, not the size of the whole market. A sensor cannot create capacity when a line is already at its true thermal limit; reconductoring may also require structure upgrades. The economic test is additional dependable transfer capability and reduced congestion at a particular location.</x:v>
      </x:c>
      <x:c r="F43" s="6" t="str">
        <x:v>Routine consideration of reconductoring, dynamic line ratings and power-flow controls by transmission operators where they outperform an otherwise required upgrade.</x:v>
      </x:c>
      <x:c r="G43" s="6" t="str">
        <x:v>Products have commercial operating experience and can be installed within existing corridors. Broader procurement can become routine before 2030 as operators develop engineering standards and performance records. Adoption will remain selective because each grid bottleneck needs a different remedy; this window is not a forecast that most lines will be rebuilt.</x:v>
      </x:c>
      <x:c r="H43" s="6" t="str">
        <x:v>Existing corridors can shorten some siting and construction tasks.
Higher load and congestion make incremental usable capacity valuable.
Operational data and engineering experience can lower uncertainty in repeat procurement.</x:v>
      </x:c>
      <x:c r="I43" s="6" t="str">
        <x:v>The binding constraint may be voltage stability, substations or another line, rather than conductor temperature.
Sensors, communications and operating models need dependable integration.
Equipment lead times, skilled crews and utility cost-recovery rules can slow installation.</x:v>
      </x:c>
      <x:c r="J43" s="6" t="str">
        <x:v>Additional MW of transfer capability demonstrated at the system level, with availability and seasonal conditions.
Project cost and delivery time versus the alternative grid upgrade.
Reduced congestion costs and renewable curtailment after commissioning, adjusted for weather and generation changes.</x:v>
      </x:c>
      <x:c r="K43" s="6" t="str">
        <x:v>No defensible comparable external deployment forecast found. The separate maturity path is an analyst scenario, not measured adoption.</x:v>
      </x:c>
      <x:c r="L43" s="6" t="str">
        <x:v>https://campaignlp.constantcontact.com/em/1110237241357/8029ecbb-5c34-4563-85c9-5e3fe119ff91
https://ctcglobal.com/meeting-the-moment-how-ctc-globals-accc-conductor-helps-address-surging-power-demand-from-data-centers-electrification-and-industrial-growth/
https://www.energy.gov/oe/grid-enhancing-technologies-improve-existing-power-lines</x:v>
      </x:c>
    </x:row>
    <x:row r="44" ht="60" hidden="0" customHeight="1">
      <x:c r="A44" s="12" t="n">
        <x:v>39</x:v>
      </x:c>
      <x:c r="B44" s="6" t="str">
        <x:v>Smart and bidirectional EV charging</x:v>
      </x:c>
      <x:c r="C44" s="6" t="str">
        <x:v>Charging software shifts electricity demand to better times, while compatible bidirectional systems can send energy from vehicle batteries to a building or the grid.</x:v>
      </x:c>
      <x:c r="D44" s="6" t="str">
        <x:v>An electric delivery fleet charges overnight when power is cheaper and exports a contracted amount during an evening grid peak, retaining enough range for the next shift.</x:v>
      </x:c>
      <x:c r="E44" s="6" t="str">
        <x:v>The addressable equipment base is expanding rapidly: IEA reports that China’s public charging points increased from nearly 3.4 million at the end of 2024 to more than 4.7 million at the end of 2025. Public charging is an adjacent-market proxy here, because there is no consistent global census of active vehicle-to-grid installations. Managed charging can produce value without exporting power; bidirectional operation additionally needs a compatible vehicle, charger, building connection and market arrangement. The Mobility House’s 2026 decision to focus more closely on energy services illustrates the commercial importance of orchestration. Hardware capability alone does not establish paying participation or useful grid capacity.</x:v>
      </x:c>
      <x:c r="F44" s="6" t="str">
        <x:v>Routine managed charging and commercially repeatable bidirectional offers for compatible vehicle fleets and households in electricity markets that compensate flexibility.</x:v>
      </x:c>
      <x:c r="G44" s="6" t="str">
        <x:v>Smart charging is already routine in some products. The later date applies to widespread, supportable bidirectional packages with clear warranties, interoperable equipment and predictable tariffs. Fleets with regular parking schedules are likely to scale earlier than every household. Tariff design and vehicle replacement cycles can keep many markets below this threshold in 2035.</x:v>
      </x:c>
      <x:c r="H44" s="6" t="str">
        <x:v>EV batteries form a growing pool of devices that may provide flexible demand or export.
Time-varying prices can reward charging shifts even without bidirectional hardware.
Predictable fleet schedules simplify availability commitments and optimisation.</x:v>
      </x:c>
      <x:c r="I44" s="6" t="str">
        <x:v>Vehicle, charger and utility interfaces must work together in real installations.
Battery warranties, customer mobility needs and reserve preferences constrain dispatch.
Installation, metering and connection costs may overwhelm household earnings.</x:v>
      </x:c>
      <x:c r="J44" s="6" t="str">
        <x:v>Enrolled compatible vehicles that actually delivered grid service, not vehicles advertised as capable.
Net customer savings after charger, installation and battery-related costs.
Delivered MW, availability, export duration and driver opt-outs during contracted events.</x:v>
      </x:c>
      <x:c r="K44" s="6" t="str">
        <x:v>IEA projects nearly 18 million Chinese public charging points in 2035 under both its Current Policies and Stated Policies scenarios. This is a charging-infrastructure scenario, not a bidirectional adoption forecast.</x:v>
      </x:c>
      <x:c r="L44" s="6" t="str">
        <x:v>https://www.iea.org/reports/global-ev-outlook-2026/electric-vehicle-charging-chap-6-and-10
https://www.mobilityhouse.com/int_en/our-company/newsroom/article/the-mobility-house-ubergibt-business-unit-solutions-an-edenred-und-fokussiert-sich-starker-auf-das-energiegeschaft-der-zukunft</x:v>
      </x:c>
    </x:row>
    <x:row r="45" ht="60" hidden="0" customHeight="1">
      <x:c r="A45" s="12" t="n">
        <x:v>40</x:v>
      </x:c>
      <x:c r="B45" s="6" t="str">
        <x:v>Battery recycling and materials recovery</x:v>
      </x:c>
      <x:c r="C45" s="6" t="str">
        <x:v>Recycling plants recover usable lithium, nickel, cobalt and other materials from battery manufacturing scrap and retired batteries.</x:v>
      </x:c>
      <x:c r="D45" s="6" t="str">
        <x:v>A battery manufacturer sends off-spec cells and scrap to a nearby recycler, then buys recovered material that meets its production specifications.</x:v>
      </x:c>
      <x:c r="E45" s="6" t="str">
        <x:v>The IEA reported that lithium-ion battery recycling capacity expanded by 50% in 2023. Near-term feedstock is often factory scrap; the large wave of retired EV batteries arrives later and varies with vehicle life and second-use decisions. More capacity is not automatically better economics: the IEA found that announced 2030 recycling capacity could substantially exceed available feedstock. Metal prices, chemistry shifts toward lower-value LFP, collection logistics and material qualification determine margins. Current 2026 funding announcements from Altilium and cylib show continued development, while sector restructuring is a reminder to track plants with secured input and customers rather than announced capacity alone.</x:v>
      </x:c>
      <x:c r="F45" s="6" t="str">
        <x:v>Routine closed-loop procurement and recycling of battery production scrap and growing EV-retirement streams in major battery-manufacturing regions.</x:v>
      </x:c>
      <x:c r="G45" s="6" t="str">
        <x:v>Industrial recycling already exists, particularly in China. The emerging phase is efficient lithium recovery, wider LFP processing and dependable regional closed loops. Rising collected volumes and qualification with cell makers could make these routine around the end of the decade. Low metal prices or underutilised plants can cause consolidation and delay regional expansion.</x:v>
      </x:c>
      <x:c r="H45" s="6" t="str">
        <x:v>Manufacturing scrap provides relatively concentrated, known-chemistry feedstock.
Supply-chain resilience and customer sourcing requirements support recovered materials.
Improved process recovery and reuse of material can reduce dependence on newly mined inputs.</x:v>
      </x:c>
      <x:c r="I45" s="6" t="str">
        <x:v>Plants can be built before enough batteries reach end of life.
LFP contains less high-value nickel and cobalt, challenging some business models.
Collection, safe transport, impurity control and customer qualification add cost.</x:v>
      </x:c>
      <x:c r="J45" s="6" t="str">
        <x:v>Actual tonnes processed, utilisation and recovered battery-grade lithium output.
Secured feedstock and offtake relative to installed capacity; avoid adding mutually exclusive announcements.
Recovery yield, energy/water use and net margin by battery chemistry at current metal prices.</x:v>
      </x:c>
      <x:c r="K45" s="6" t="str">
        <x:v>No defensible comparable external deployment forecast found. The separate maturity path is an analyst scenario, not measured adoption.</x:v>
      </x:c>
      <x:c r="L45" s="6" t="str">
        <x:v>https://www.iea.org/news/policy-momentum-behind-critical-minerals-recycling-gathering-pace-but-greater-uptake-required
https://www.iea.org/reports/recycling-of-critical-minerals/executive-summary
https://altilium.tech/2026/10/06/strategic-investors-sqm-and-marubeni-reaffirm-commitment-to-altilium-with-follow-on-investment-for-battery-materials-scale-up/</x:v>
      </x:c>
    </x:row>
    <x:row r="46" ht="60" hidden="0" customHeight="1">
      <x:c r="A46" s="12" t="n">
        <x:v>41</x:v>
      </x:c>
      <x:c r="B46" s="6" t="str">
        <x:v>Low-emissions hydrogen and electrolyzers</x:v>
      </x:c>
      <x:c r="C46" s="6" t="str">
        <x:v>Low-emissions hydrogen substitutes cleaner production for hydrogen made from unabated fossil fuels, using electrolysis or other qualified pathways.</x:v>
      </x:c>
      <x:c r="D46" s="6" t="str">
        <x:v>An ammonia plant replaces part of its conventional hydrogen supply with contracted low-emissions hydrogen when the delivered cost and reliability meet its needs.</x:v>
      </x:c>
      <x:c r="E46" s="6" t="str">
        <x:v>Actual low-emissions hydrogen production grew 20% in 2025 to almost 1 million tonnes, according to IEA, but announced ambitions have repeatedly been cut. The announced 2030 pipeline fell from 49 Mt per year in the 2024 review to 37 Mt in 2025 and 27 Mt in 2026. This decline is a correction in expectations, not a decline in actual annual production. The important commercial gap is between announcements and committed investment backed by firm customers. Refineries and chemical plants already use hydrogen and offer a clearer substitution opportunity than entirely new applications. Electrolyzer makers benefit only if efficient plants are commissioned, utilised and paid for.</x:v>
      </x:c>
      <x:c r="F46" s="6" t="str">
        <x:v>Repeat low-emissions hydrogen procurement in selected refining, ammonia and industrial clusters with infrastructure and supportive economics.</x:v>
      </x:c>
      <x:c r="G46" s="6" t="str">
        <x:v>Existing industrial demand reduces the need to create a new end use, but large cost gaps and uncertain offtake remain. Several committed projects can establish regional markets by 2030, followed by repeat projects in the early 2030s. This is conditional sector adoption; large-scale use in household heating, ordinary cars or all heavy industry is not assumed. A broad market could slip beyond 2035.</x:v>
      </x:c>
      <x:c r="H46" s="6" t="str">
        <x:v>Refining and chemicals offer identifiable existing customers rather than speculative new uses.
Domestic production can diversify dependence on fossil-fuel imports in some regions.
Electrolyzer experience, better utilisation and integrated projects can improve economics.</x:v>
      </x:c>
      <x:c r="I46" s="6" t="str">
        <x:v>Firm long-term buyers often will not pay the premium required for financing.
Low-cost electricity, grid access, storage and transport must be available together.
Unclear qualification rules, project delays and manufacturer overcapacity hinder investment.</x:v>
      </x:c>
      <x:c r="J46" s="6" t="str">
        <x:v>Commissioned output with measured lifecycle emissions, separated by production pathway.
Firm offtake and final investment decisions rather than non-binding announcements.
Delivered cost per kg at actual utilisation, electricity cost and financing assumptions.</x:v>
      </x:c>
      <x:c r="K46" s="6" t="str">
        <x:v>No defensible comparable external deployment forecast found. The separate maturity path is an analyst scenario, not measured adoption.</x:v>
      </x:c>
      <x:c r="L46" s="6" t="str">
        <x:v>https://www.iea.org/reports/global-hydrogen-review-2026/executive-summary
https://www.iea.org/reports/global-hydrogen-review-2025/executive-summary
https://www.iea.org/reports/global-hydrogen-review-2026/production</x:v>
      </x:c>
    </x:row>
    <x:row r="47" ht="60" hidden="0" customHeight="1">
      <x:c r="A47" s="12" t="n">
        <x:v>42</x:v>
      </x:c>
      <x:c r="B47" s="6" t="str">
        <x:v>Industrial carbon capture and storage</x:v>
      </x:c>
      <x:c r="C47" s="6" t="str">
        <x:v>Industrial CCS captures concentrated carbon dioxide from a plant and transports it to monitored geological storage.</x:v>
      </x:c>
      <x:c r="D47" s="6" t="str">
        <x:v>A cement plant sends captured process emissions through a shared pipeline or ship terminal to an offshore storage site under a long-term service contract.</x:v>
      </x:c>
      <x:c r="E47" s="6" t="str">
        <x:v>Global CCS Institute reported 77 operating commercial facilities in its 2025 assessment, up from 50 a year earlier. The count demonstrates more operating infrastructure, but it is not a direct measure of CO₂ actually stored: plants differ in size and utilisation. Another 47 facilities were under construction. Shared transport and storage hubs can help smaller emitters join the market, provided liability, permits and service contracts are clear. Point-source CCS is separate from direct air capture, and captured CO₂ used in a short-lived product should not automatically be counted as permanent storage. The attractive commercial unit is an integrated, funded chain from capture through verified storage.</x:v>
      </x:c>
      <x:c r="F47" s="6" t="str">
        <x:v>Routine contracting for selected cement, chemicals and other industrial sources that can access viable shared transport and permanent-storage hubs.</x:v>
      </x:c>
      <x:c r="G47" s="6" t="str">
        <x:v>Capture has operating precedents, but repeat deployment for hard-to-abate industrial emissions requires storage availability, permits and durable revenue. Projects now under construction can support a broader service market in the early 2030s. This window does not imply CCS on most factories or power stations; high total-chain costs and unbuilt storage can push projects past 2035.</x:v>
      </x:c>
      <x:c r="H47" s="6" t="str">
        <x:v>Some industrial process emissions are difficult to eliminate through electrification alone.
Shared pipelines, shipping terminals and storage sites can spread infrastructure cost.
Existing subsurface engineering capabilities can support storage development and monitoring.</x:v>
      </x:c>
      <x:c r="I47" s="6" t="str">
        <x:v>Capture, transport and storage must all be ready, financed and contractually connected.
Energy requirements and total-chain cost can be high for dilute or small sources.
Long-term liability, permits, measurement and storage acceptance require durable institutions.</x:v>
      </x:c>
      <x:c r="J47" s="6" t="str">
        <x:v>Actual annual CO₂ permanently stored, separately from nameplate capture capacity.
Construction progress and contracted emitter volumes at storage hubs.
Total cost per verified tonne avoided, including energy use, upstream emissions and transport.</x:v>
      </x:c>
      <x:c r="K47" s="6" t="str">
        <x:v>No defensible comparable external deployment forecast found. The separate maturity path is an analyst scenario, not measured adoption.</x:v>
      </x:c>
      <x:c r="L47" s="6" t="str">
        <x:v>https://www.globalccsinstitute.com/carbon-capture-stays-the-course-despite-global-headwinds-with-54-rise-in-operational-projects/
https://www.iea.org/data-and-statistics/data-product/ccus-projects-database
https://www.iea.org/energy-system/renewables-and-low-emissions/carbon-capture-utilisation-and-storage</x:v>
      </x:c>
    </x:row>
    <x:row r="48" ht="60" hidden="0" customHeight="1">
      <x:c r="A48" s="12" t="n">
        <x:v>43</x:v>
      </x:c>
      <x:c r="B48" s="6" t="str">
        <x:v>Low-carbon cement and concrete</x:v>
      </x:c>
      <x:c r="C48" s="6" t="str">
        <x:v>Lower-clinker binders, alternative cement chemistries and carbon mineralisation reduce the emissions associated with making structural concrete.</x:v>
      </x:c>
      <x:c r="D48" s="6" t="str">
        <x:v>A public project specifies a verified carbon budget per cubic metre, allowing qualified lower-clinker mixes or mineralised concrete that meets strength and durability requirements.</x:v>
      </x:c>
      <x:c r="E48" s="6" t="str">
        <x:v>Existing ready-mix infrastructure offers routes to reduce emissions without replacing the entire construction supply chain. CarbonCure’s producer network passed 50 million cumulative cubic yards in March 2024 and more than 83.6 million in November 2025, showing commercial adoption of one mineralisation approach. This is not a census of all lower-carbon concrete. Blended cement, calcined clay, alternative binders and captured-CO₂ curing have different cost, material and qualification requirements. A product marketed as low carbon can still have substantial emissions. Procurement should compare independently documented lifecycle emissions at equivalent strength, curing conditions, service life and transport distance.</x:v>
      </x:c>
      <x:c r="F48" s="6" t="str">
        <x:v>Routine specification of qualified lower-carbon mixes in major infrastructure and commercial construction markets; especially lower-clinker blends and compatible mineralisation.</x:v>
      </x:c>
      <x:c r="G48" s="6" t="str">
        <x:v>Several approaches fit established concrete production and can scale through existing suppliers and procurement standards. More novel clinker-free processes may require longer qualification and financing cycles. Routine availability of some lower-carbon options before 2030 is plausible; fully eliminating cement process emissions across the world by 2035 is not assumed.</x:v>
      </x:c>
      <x:c r="H48" s="6" t="str">
        <x:v>Large recurring concrete demand creates many opportunities for incremental mix improvement.
Incumbent producers and admixture suppliers can distribute qualified products through existing plants.
Carbon-aware procurement can reward verified improvement at equivalent performance.</x:v>
      </x:c>
      <x:c r="I48" s="6" t="str">
        <x:v>Structural approval and long-term durability matter more than a laboratory strength result alone.
Alternative feedstock availability and transport can limit local economics.
Conservative specifications, producer liability and inconsistent emissions accounting slow adoption.</x:v>
      </x:c>
      <x:c r="J48" s="6" t="str">
        <x:v>Annual delivered volume by certified mix and application, separated from cumulative announcements.
Verified kg CO₂-equivalent per cubic metre at equivalent performance and system boundary.
Repeat paid orders, procurement inclusion and durability evidence over realistic service conditions.</x:v>
      </x:c>
      <x:c r="K48" s="6" t="str">
        <x:v>No defensible comparable external deployment forecast found. The separate maturity path is an analyst scenario, not measured adoption.</x:v>
      </x:c>
      <x:c r="L48" s="6" t="str">
        <x:v>https://www.carboncure.com/news/carboncure-marks-50-million-cubic-yards-milestone/
https://www.carboncure.com/news/carboncure-producers-reach-milestone-of-10-million-truckloads/
https://www.carboncure.com/blog/climate-corner/carbon-utilization-with-carboncure-concrete-a-permanent-solution/</x:v>
      </x:c>
    </x:row>
    <x:row r="49" ht="60" hidden="0" customHeight="1">
      <x:c r="A49" s="12" t="n">
        <x:v>44</x:v>
      </x:c>
      <x:c r="B49" s="6" t="str">
        <x:v>Sustainable aviation fuels</x:v>
      </x:c>
      <x:c r="C49" s="6" t="str">
        <x:v>SAF uses qualified alternative feedstocks or synthetic pathways to reduce aviation fuel lifecycle emissions while working in today’s aircraft within certified blending limits.</x:v>
      </x:c>
      <x:c r="D49" s="6" t="str">
        <x:v>An airline buys a documented SAF blend at a regulated airport, reducing lifecycle fuel emissions without replacing its aircraft fleet.</x:v>
      </x:c>
      <x:c r="E49" s="6" t="str">
        <x:v>IATA’s production estimates show growth from 0.5 million tonnes in 2023 to 1.0 million in 2024 and 1.9 million in 2025. Its current forecast is 2.4 million tonnes in 2026, still a small fraction of aviation fuel demand. That 2026 number is a forecast, not a completed-year observation. Existing aircraft compatibility helps adoption, but scaling feedstocks and production economically remains difficult. Bio-based SAF and synthetic e-fuels have different resource needs and maturity; combining them into one optimistic growth curve hides those differences. Mandated blend percentages can create demand, yet do not themselves prove that capacity will operate or that airlines will buy more than required.</x:v>
      </x:c>
      <x:c r="F49" s="6" t="str">
        <x:v>Routine procurement and blending at airports subject to durable SAF requirements and among major airline fuel buyers; SAF remains a minority of total global jet fuel.</x:v>
      </x:c>
      <x:c r="G49" s="6" t="str">
        <x:v>Compatibility with existing aircraft and mandated demand support repeat procurement before 2030 in leading markets. The date refers to routine availability and contracting, not majority fuel share. Synthetic SAF is earlier-stage and may scale later; feedstock constraints, price premiums or policy changes can delay adoption.</x:v>
      </x:c>
      <x:c r="H49" s="6" t="str">
        <x:v>Aircraft and fuel-system compatibility reduces the need to replace the entire fleet.
Fuel requirements and long-term offtake can support financing.
Waste feedstocks and process improvements offer several production pathways.</x:v>
      </x:c>
      <x:c r="I49" s="6" t="str">
        <x:v>Qualified sustainable feedstocks are finite and compete with other uses.
Higher fuel costs limit voluntary demand and put pressure on policy durability.
Synthetic routes need substantial low-emissions power, hydrogen and captured carbon.</x:v>
      </x:c>
      <x:c r="J49" s="6" t="str">
        <x:v>Actual certified tonnes produced and delivered, split by production pathway.
SAF price premium and firm offtake versus uncommitted announced capacity.
Audited lifecycle carbon intensity, feedstock traceability and additionality of synthetic-fuel electricity.</x:v>
      </x:c>
      <x:c r="K49" s="6" t="str">
        <x:v>IATA’s 2.4 Mt estimate for 2026 is prospective. Longer-term mandate shares are shown separately with their EU-only legal scope; they are not global production forecasts.</x:v>
      </x:c>
      <x:c r="L49" s="6" t="str">
        <x:v>https://www.iata.org/en/pressroom/2024-releases/2024-12-10-03/
https://www.iata.org/en/pressroom/2025-releases/2025-12-09-04
https://www.iata.org/en/programs/sustainability/sustainable-aviation-fuel-saf/
https://transport.ec.europa.eu/transport-modes/air/environment/refueleu-aviation_en</x:v>
      </x:c>
    </x:row>
    <x:row r="50" ht="60" hidden="0" customHeight="1">
      <x:c r="A50" s="12" t="n">
        <x:v>45</x:v>
      </x:c>
      <x:c r="B50" s="6" t="str">
        <x:v>Additive manufacturing for end-use production</x:v>
      </x:c>
      <x:c r="C50" s="6" t="str">
        <x:v>Industrial 3D printing produces qualified final parts with geometries, customisation or production volumes that are difficult to serve economically with conventional methods.</x:v>
      </x:c>
      <x:c r="D50" s="6" t="str">
        <x:v>A medical supplier repeatedly manufactures patient-specific implants, or an aerospace company produces a qualified lightweight component with fewer assembly steps.</x:v>
      </x:c>
      <x:c r="E50" s="6" t="str">
        <x:v>The relevant transition is from printing an impressive prototype to consistently supplying useful parts. Wohlers reports global additive-manufacturing revenue of $20.035 billion in 2023 and $24.2 billion in 2025. Its 2026 review says services grew faster than system sales, suggesting that utilisation and paid production matter more than simply shipping machines. That market total includes prototyping, equipment, materials and software, so it overstates the narrower end-use-production opportunity. Successful applications exploit geometry, low-volume economics, part consolidation or customisation. The process must still deliver qualified material properties, traceability, finishing and inspection at an acceptable total cost per part.</x:v>
      </x:c>
      <x:c r="F50" s="6" t="str">
        <x:v>Routine serial manufacture of selected medical, aerospace, industrial tooling and high-value spare parts where additive processes have a demonstrable design or cost advantage.</x:v>
      </x:c>
      <x:c r="G50" s="6" t="str">
        <x:v>Commercial end-use applications already exist. More repeatable process control, qualification and manufacturing services can widen the economically useful range before 2030. Commodity high-volume parts often remain better suited to other methods, so the date does not imply universal replacement of machining, casting or moulding.</x:v>
      </x:c>
      <x:c r="H50" s="6" t="str">
        <x:v>Complex geometries and part consolidation can create functional advantages unavailable from a simple process substitution.
Customisation and low-volume production can avoid expensive dedicated tooling.
Digital inventories and qualified service bureaus can shorten selected spare-parts lead times.</x:v>
      </x:c>
      <x:c r="I50" s="6" t="str">
        <x:v>Qualification, inspection and post-processing can dominate total cost and delivery time.
Build-to-build consistency and traceable material properties are essential in regulated products.
Machine and material economics vary greatly by part geometry and annual volume.</x:v>
      </x:c>
      <x:c r="J50" s="6" t="str">
        <x:v>Revenue and repeat orders for qualified end-use parts, separated from prototype and hardware sales.
Total delivered cost, scrap rate and throughput for the same qualified part.
Machine utilisation, customer retention and the number of designs in sustained serial production.</x:v>
      </x:c>
      <x:c r="K50" s="6" t="str">
        <x:v>No defensible comparable external deployment forecast found. The separate maturity path is an analyst scenario, not measured adoption.</x:v>
      </x:c>
      <x:c r="L50" s="6" t="str">
        <x:v>https://wohlersassociates.com/news/wohlers-report-2024-shows-metal-am-growth-in-new-report/
https://wohlersassociates.com/press-releases/new-wohlers-report-2026-values-additive-manufacturing-market-at-24-2b/
https://wohlersassociates.com/press-releases/wohlers-report-2022-finds-strong-industry-wide-growth/</x:v>
      </x:c>
    </x:row>
    <x:row r="51" ht="60" hidden="0" customHeight="1">
      <x:c r="A51" s="12" t="n">
        <x:v>46</x:v>
      </x:c>
      <x:c r="B51" s="6" t="str">
        <x:v>Verifiable digital identity wallets</x:v>
      </x:c>
      <x:c r="C51" s="6" t="str">
        <x:v>Digital identity wallets hold issuer-verified credentials so people can prove facts such as age, licence status or identity with controlled disclosure.</x:v>
      </x:c>
      <x:c r="D51" s="6" t="str">
        <x:v>You prove that you meet an age threshold or hold a valid licence using a wallet, without sending a full scan of your identity document to every service.</x:v>
      </x:c>
      <x:c r="E51" s="6" t="str">
        <x:v>The EU framework and national deployments are moving credentials from pilots into consumer applications. Italy’s Documenti su IO reached more than 5.3 million unique users since launch by June 2025 and more than 10 million activations by February 2026. These are adoption signals for an initial national service, not a count of fully interoperable EU wallets. A wallet is useful only when trusted issuers provision credentials and enough services accept them. Privacy, selective disclosure, account recovery, device security and fraud handling all affect practical adoption. A deadline to make wallets available does not mean citizens use them frequently or that every relying party is integrated.</x:v>
      </x:c>
      <x:c r="F51" s="6" t="str">
        <x:v>Routine use of interoperable digital credentials in participating EU public services and selected financial, travel and age-verification workflows; other regions follow different schedules.</x:v>
      </x:c>
      <x:c r="G51" s="6" t="str">
        <x:v>Existing national adoption provides a base, while the EU rollout obligation supports issuer and service integration. Several years may be needed after availability for routine acceptance and reliable cross-border operation. Uneven implementation, difficult recovery processes or low service acceptance can keep actual usage below the headline number of issued wallets.</x:v>
      </x:c>
      <x:c r="H51" s="6" t="str">
        <x:v>Governments and regulated issuers can supply trusted credentials with broad utility.
A common framework can reduce repeated document collection and verification work.
Selective disclosure can improve privacy when implemented and accepted correctly.</x:v>
      </x:c>
      <x:c r="I51" s="6" t="str">
        <x:v>Availability, activation, repeated use and acceptance are four different adoption measures.
Interoperability includes legal trust, credential formats and operational support.
Recovery, accessibility and fraud resistance must work for people beyond early adopters.</x:v>
      </x:c>
      <x:c r="J51" s="6" t="str">
        <x:v>Monthly active credential presentations and successful service completion, not downloads alone.
Number of accepting public/private services and cross-border transaction success.
Fraud rates, recovery completion, user abandonment and the amount of personal data disclosed per check.</x:v>
      </x:c>
      <x:c r="K51" s="6" t="str">
        <x:v>No defensible comparable external deployment forecast found. The separate maturity path is an analyst scenario, not measured adoption.</x:v>
      </x:c>
      <x:c r="L51" s="6" t="str">
        <x:v>https://innovazione.gov.it/notizie/articoli/it-wallet-patente-tessera-sanitaria-e-carta-europea-della-disabilita-ora-disponibili-anche-offline/
https://innovazione.gov.it/notizie/articoli/it-wallet-supera-quota-10-milioni-di-attivazioni-su-app-io-17-3-milioni-di-documenti-gia-caricati/
https://commission.europa.eu/topics/digital-economy-and-society/european-digital-identity_en
https://ec.europa.eu/digital-building-blocks/sites/spaces/EUDIGITALIDENTITYWALLET/pages/694487808/What+are+the+Large+Scale+Pilot+Projects</x:v>
      </x:c>
    </x:row>
    <x:row r="52" ht="60" hidden="0" customHeight="1">
      <x:c r="A52" s="12" t="n">
        <x:v>47</x:v>
      </x:c>
      <x:c r="B52" s="6" t="str">
        <x:v>Tokenized real-world assets</x:v>
      </x:c>
      <x:c r="C52" s="6" t="str">
        <x:v>Tokenization represents enforceable interests in funds, bonds and other assets on digital ledgers so issuance, transfer and settlement can be more programmable.</x:v>
      </x:c>
      <x:c r="D52" s="6" t="str">
        <x:v>An eligible investor buys a tokenized Treasury fund and uses a permitted transfer or collateral workflow with identity, custody and redemption controls built in.</x:v>
      </x:c>
      <x:c r="E52" s="6" t="str">
        <x:v>CoinGecko’s defined tokenized-RWA universe grew from $5.42 billion at the start of 2025 to $19.32 billion on 31 March 2026. It excludes stablecoins and is dominated by a few asset categories; growth in token market value is not the same as issuer fee revenue or secondary-market liquidity. Institutional infrastructure is also changing: Securitize completed its public listing in July 2026. Forecasters disagree substantially about the eventual scale, and use different asset universes. The practical test is whether tokenization removes reconciliation, settlement or distribution costs while preserving legal rights. A token by itself does not make an illiquid asset liquid or ensure direct ownership of the underlying security.</x:v>
      </x:c>
      <x:c r="F52" s="6" t="str">
        <x:v>Routine tokenized-fund, Treasury, collateral and selected securities workflows among regulated financial institutions and eligible investors.</x:v>
      </x:c>
      <x:c r="G52" s="6" t="str">
        <x:v>Short-duration funds and collateral have clearer operating uses than tokenizing every physical asset. Existing offerings can become repeatable as custody, cash settlement and market infrastructure mature. Legal fragmentation, limited liquidity and duplicate legacy systems can delay adoption. The date refers to selected workflows, not most global assets being on public blockchains.</x:v>
      </x:c>
      <x:c r="H52" s="6" t="str">
        <x:v>Digital cash, custody and identity infrastructure can support delivery-versus-payment workflows.
Fund administration and collateral movements contain repetitive reconciliation work that can be automated.
Established financial firms can distribute qualified products to existing clients.</x:v>
      </x:c>
      <x:c r="I52" s="6" t="str">
        <x:v>Legal rights, redemption, custody and insolvency treatment vary by instrument and jurisdiction.
A token can have a large outstanding value but little executable liquidity.
Parallel conventional systems can erase cost savings until workflows are sufficiently integrated.</x:v>
      </x:c>
      <x:c r="J52" s="6" t="str">
        <x:v>Assets outstanding net of double counting, split by legal instrument and issuer.
Unique funded investors, redemptions, executable secondary-market depth and settlement failures.
Measured operational cost and collateral efficiency versus the equivalent conventional workflow.</x:v>
      </x:c>
      <x:c r="K52" s="6" t="str">
        <x:v>No defensible comparable external deployment forecast found. The separate maturity path is an analyst scenario, not measured adoption.</x:v>
      </x:c>
      <x:c r="L52" s="6" t="str">
        <x:v>https://www.coingecko.com/research/publications/rwa-report-2026
https://www.citigroup.com/global/insights/tokenization-2030
https://www.mckinsey.com/industries/financial-services/our-insights/from-ripples-to-waves-the-transformational-power-of-tokenizing-assets
https://www.nasdaq.com/press-release/securitize-completes-business-combination-cantor-equity-partners-ii-2026-07-01</x:v>
      </x:c>
    </x:row>
    <x:row r="53" ht="60" hidden="0" customHeight="1">
      <x:c r="A53" s="12" t="n">
        <x:v>48</x:v>
      </x:c>
      <x:c r="B53" s="6" t="str">
        <x:v>Regulated stablecoin payment rails</x:v>
      </x:c>
      <x:c r="C53" s="6" t="str">
        <x:v>Regulated fiat-backed stablecoin infrastructure moves redeemable digital money between wallets and financial institutions, especially for settlement and cross-border business payments.</x:v>
      </x:c>
      <x:c r="D53" s="6" t="str">
        <x:v>A business pays an overseas supplier through a service that converts bank money to a compliant stablecoin, transfers it, and converts it into the supplier’s local bank balance.</x:v>
      </x:c>
      <x:c r="E53" s="6" t="str">
        <x:v>USDC circulation provides a transparent issuer proxy: it contracted between 2022 and 2023, then rose to $43.857 billion at end-2024 and $75.266 billion at end-2025. Circle reported $73.3 billion at the end of June 2026, below the previous year-end despite 19% growth over the same quarter a year earlier. This non-linear history matters. Circulation includes trading, savings and financial-market uses as well as payments, so it is not a retail-payments measure. Fiserv’s October 2026 launch of digital-asset infrastructure shows established financial-service suppliers entering production. Useful adoption depends on reliable redemption, compliant entry and exit, and a better total customer experience.</x:v>
      </x:c>
      <x:c r="F53" s="6" t="str">
        <x:v>Routine stablecoin-based settlement, cross-border B2B transfers and selected treasury workflows through regulated service providers; not all domestic consumer payments.</x:v>
      </x:c>
      <x:c r="G53" s="6" t="str">
        <x:v>Existing circulation and payment-provider integration reduce infrastructure risk. Businesses can adopt through intermediaries without managing wallets directly, but banking access, redemption liquidity, regulation and local payout coverage determine real usefulness. Strong domestic instant-payment systems can remain competitive. The date is a selected-workflow estimate, not a claim that stablecoins replace bank deposits.</x:v>
      </x:c>
      <x:c r="H53" s="6" t="str">
        <x:v>Continuous settlement can help businesses that operate across time zones.
Established payment and banking providers can hide technical complexity from customers.
Clear reserve, redemption and compliance frameworks can improve institutional confidence.</x:v>
      </x:c>
      <x:c r="I53" s="6" t="str">
        <x:v>The complete path includes FX, local banking, compliance and payout costs, not only a blockchain fee.
Reserve management, redemption access and operational resilience are fundamental.
Customer protection, wallet security and regulatory treatment differ across jurisdictions.</x:v>
      </x:c>
      <x:c r="J53" s="6" t="str">
        <x:v>Adjusted real-economy payment volume, unique paying businesses and repeat use.
End-to-end cost, settlement time and failed-payment rates for a specific corridor.
Reserve quality, redemption latency, issuer concentration and dependence on interest income.</x:v>
      </x:c>
      <x:c r="K53" s="6" t="str">
        <x:v>No defensible comparable external deployment forecast found. The separate maturity path is an analyst scenario, not measured adoption.</x:v>
      </x:c>
      <x:c r="L53" s="6" t="str">
        <x:v>https://www.sec.gov/Archives/edgar/data/1876042/000119312525181916/d839239d424b4.htm
https://www.sec.gov/Archives/edgar/data/1876042/000187604226000062/crcl-20251231.htm
https://www.circle.com/pressroom/circle-reports-second-quarter-2026-results
https://investors.fiserv.com/news-releases/news-release-details/fiserv-digital-asset-platform-goes-live-financial-institution</x:v>
      </x:c>
    </x:row>
    <x:row r="54" ht="60" hidden="0" customHeight="1">
      <x:c r="A54" s="12" t="n">
        <x:v>49</x:v>
      </x:c>
      <x:c r="B54" s="6" t="str">
        <x:v>Earth-observation analytics</x:v>
      </x:c>
      <x:c r="C54" s="6" t="str">
        <x:v>Satellite imagery combined with geospatial software and AI turns repeated observations of Earth into useful alerts, measurements and operational decisions.</x:v>
      </x:c>
      <x:c r="D54" s="6" t="str">
        <x:v>A utility monitors vegetation near power lines, while an insurer checks flood exposure and a food company follows crop conditions across its supply chain.</x:v>
      </x:c>
      <x:c r="E54" s="6" t="str">
        <x:v>The commercial shift is from purchasing isolated images to recurring monitoring services linked to an operational workflow. Planet’s revenue rose from $113.2 million in fiscal 2021 to $307.7 million in fiscal 2026, a company-level demand proxy. Fiscal 2026 ended on 31 January 2026 and must not be confused with calendar 2026. Later, its quarter ended July 2026 produced $116.1 million, but that quarterly value is kept separate from annual history. Sensor diversity, more frequent revisits and analytics can improve useful coverage. The limiting factors are often accuracy, latency, integration, ground-truth validation and whether an alert changes a customer decision.</x:v>
      </x:c>
      <x:c r="F54" s="6" t="str">
        <x:v>Routine automated satellite monitoring in selected utility, agriculture, insurance, environmental and government workflows that have measurable decision value.</x:v>
      </x:c>
      <x:c r="G54" s="6" t="str">
        <x:v>Commercial data subscriptions already exist and analytics reduce the specialist effort needed to use them. Integration and validation can make recurring monitoring routine in more vertical markets by the late 2020s. This does not imply continuous, equally accurate coverage of every asset; cloud cover, resolution, revisit time and economics remain use-case constraints.</x:v>
      </x:c>
      <x:c r="H54" s="6" t="str">
        <x:v>Recurring monitoring can help customers manage climate, infrastructure and supply-chain risks.
Cloud geospatial tools and machine learning reduce the manual effort of extracting useful measurements.
Combining optical, radar and specialised sensors can address complementary needs.</x:v>
      </x:c>
      <x:c r="I54" s="6" t="str">
        <x:v>A model needs reliable validation for each geography, season and operating condition.
Resolution, revisit time, clouds and tasking constraints limit some use cases.
Customer integration, licensing and data acquisition costs can dominate model cost.</x:v>
      </x:c>
      <x:c r="J54" s="6" t="str">
        <x:v>Recurring commercial revenue and retention, separated from one-off government or satellite contracts.
Alert accuracy, false-positive rate, observation-to-decision latency and validated customer savings.
Usable revisits and sensor coverage at the price the customer actually pays.</x:v>
      </x:c>
      <x:c r="K54" s="6" t="str">
        <x:v>No defensible comparable external deployment forecast found. The separate maturity path is an analyst scenario, not measured adoption.</x:v>
      </x:c>
      <x:c r="L54" s="6" t="str">
        <x:v>https://www.sec.gov/Archives/edgar/data/1836833/000183683322000008/exhibit991.htm
https://www.sec.gov/Archives/edgar/data/1836833/000183683324000056/pl-20240529.htm
https://s29.q4cdn.com/903184914/files/doc_earnings/2026/q4/earnings-result/PL-Q4-26-Press-Release.pdf
https://investors.planet.com/financials/quarterly-results/</x:v>
      </x:c>
    </x:row>
    <x:row r="55" ht="72" hidden="0" customHeight="1">
      <x:c r="A55" s="12" t="n">
        <x:v>50</x:v>
      </x:c>
      <x:c r="B55" s="6" t="str">
        <x:v>Advanced desalination and water reuse</x:v>
      </x:c>
      <x:c r="C55" s="6" t="str">
        <x:v>Advanced membranes, energy recovery, treatment controls and reuse systems turn saline or previously used water into dependable supplies for cities and industry.</x:v>
      </x:c>
      <x:c r="D55" s="6" t="str">
        <x:v>A water-stressed city purifies treated wastewater for replenishing drinking-water supplies, while a semiconductor plant recirculates more of its process water.</x:v>
      </x:c>
      <x:c r="E55" s="6" t="str">
        <x:v>The opportunity combines established treatment processes with better efficiency, monitoring and integration. Orange County’s Groundwater Replenishment System illustrates proven potable-reuse expansion: design capacity increased from 100 million gallons per day to 130 million in 2023. This single-site metric is deliberately kept separate from global desalination or reuse-market estimates. The World Bank’s 2025 work identifies much larger potential for industrial and potable reuse, but infrastructure investment depends on tariffs, financing, treatment reliability and customer confidence. A membrane efficiency improvement alone does not resolve brine disposal, distribution, energy supply or water quality. The practical objective is a dependable cubic metre delivered at an acceptable full-system cost.</x:v>
      </x:c>
      <x:c r="F55" s="6" t="str">
        <x:v>Routine selection of advanced reuse and efficient desalination packages for suitable new projects in water-stressed cities and water-intensive industries.</x:v>
      </x:c>
      <x:c r="G55" s="6" t="str">
        <x:v>Conventional desalination and some potable reuse are already established. The emerging phase is broader reuse acceptance, higher recovery, better energy efficiency and integrated industrial water loops. Multi-year permitting and construction imply gradual adoption. Affordable alternatives, brine-management limits or weak utility finances can make the local date much later.</x:v>
      </x:c>
      <x:c r="H55" s="6" t="str">
        <x:v>Water scarcity and industrial reliability needs can make diversified supply valuable.
Energy recovery, better membranes and control systems can improve operating economics.
Large industrial users can be anchor customers for well-defined reuse projects.</x:v>
      </x:c>
      <x:c r="I55" s="6" t="str">
        <x:v>Brine, concentrate and residuals must be managed as part of the full project.
Energy prices, financing and distribution infrastructure strongly affect delivered water cost.
Public acceptance and verified water quality are essential for potable applications.</x:v>
      </x:c>
      <x:c r="J55" s="6" t="str">
        <x:v>Actual cubic metres supplied and plant availability, separated from nameplate capacity.
Full delivered cost per cubic metre, including energy, chemicals, residuals and distribution.
Water recovery, energy intensity, contaminant performance and repeat municipal/industrial contracts.</x:v>
      </x:c>
      <x:c r="K55" s="6" t="str">
        <x:v>No defensible comparable external deployment forecast found. The separate maturity path is an analyst scenario, not measured adoption.</x:v>
      </x:c>
      <x:c r="L55" s="6" t="str">
        <x:v>https://www.ocwd.com/gwrs/frequently-asked-questions/
https://www.ocwd.com/gwrs/
https://documents1.worldbank.org/curated/en/099052025124041274/pdf/P506854-7d49fde0-2526-4bcc-8a85-2a7d1d294ee4.pdf</x:v>
      </x:c>
    </x:row>
  </x:sheetData>
  <x:pageMargins left="0.7" right="0.7" top="0.75" bottom="0.75" header="0.3" footer="0.3"/>
  <x:tableParts count="1">
    <x:tablePart xmlns:r="http://schemas.openxmlformats.org/officeDocument/2006/relationships" r:id="Rbc63e4789adb47d2"/>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2" hidden="0" customWidth="1"/>
    <x:col min="3" max="3" width="56" hidden="0" customWidth="1"/>
    <x:col min="4" max="4" width="12" hidden="0" customWidth="1"/>
    <x:col min="5" max="5" width="18" hidden="0" customWidth="1"/>
    <x:col min="6" max="6" width="27" hidden="0" customWidth="1"/>
    <x:col min="7" max="7" width="25" hidden="0" customWidth="1"/>
    <x:col min="8" max="8" width="24" hidden="0" customWidth="1"/>
    <x:col min="9" max="9" width="100" hidden="0" customWidth="1"/>
    <x:col min="10" max="10" width="120" hidden="0" customWidth="1"/>
    <x:col min="11" max="11" width="35" hidden="0" customWidth="1"/>
    <x:col min="12" max="12" width="110" hidden="0" customWidth="1"/>
    <x:col min="13" max="13" width="18" hidden="0" customWidth="1"/>
  </x:cols>
  <x:sheetData>
    <x:row r="1" ht="15" hidden="0" customHeight="1">
      <x:c r="A1" s="2"/>
      <x:c r="B1" s="2"/>
      <x:c r="C1" s="2"/>
      <x:c r="D1" s="2"/>
      <x:c r="E1" s="2"/>
      <x:c r="F1" s="2"/>
      <x:c r="G1" s="2"/>
      <x:c r="H1" s="2"/>
      <x:c r="I1" s="2"/>
      <x:c r="J1" s="2"/>
      <x:c r="K1" s="2"/>
      <x:c r="L1" s="2"/>
      <x:c r="M1" s="2"/>
    </x:row>
    <x:row r="2" ht="28" hidden="0" customHeight="1">
      <x:c r="A2" s="3" t="str">
        <x:v>Reported measurements and external outlooks</x:v>
      </x:c>
      <x:c r="B2" s="2"/>
      <x:c r="C2" s="2"/>
      <x:c r="D2" s="2"/>
      <x:c r="E2" s="2"/>
      <x:c r="F2" s="2"/>
      <x:c r="G2" s="2"/>
      <x:c r="H2" s="2"/>
      <x:c r="I2" s="2"/>
      <x:c r="J2" s="2"/>
      <x:c r="K2" s="2"/>
      <x:c r="L2" s="2"/>
      <x:c r="M2" s="2"/>
    </x:row>
    <x:row r="3" ht="25" hidden="0" customHeight="1">
      <x:c r="A3" s="4" t="str">
        <x:v>Values are raw source observations or explicitly labelled forecasts/targets. They are not annual interpolations. Forward rows can use a different scope; read the metric name.</x:v>
      </x:c>
      <x:c r="B3" s="2"/>
      <x:c r="C3" s="2"/>
      <x:c r="D3" s="2"/>
      <x:c r="E3" s="2"/>
      <x:c r="F3" s="2"/>
      <x:c r="G3" s="2"/>
      <x:c r="H3" s="2"/>
      <x:c r="I3" s="2"/>
      <x:c r="J3" s="2"/>
      <x:c r="K3" s="2"/>
      <x:c r="L3" s="2"/>
      <x:c r="M3" s="2"/>
    </x:row>
    <x:row r="4" ht="15" hidden="0" customHeight="1">
      <x:c r="A4" s="2"/>
      <x:c r="B4" s="2"/>
      <x:c r="C4" s="2"/>
      <x:c r="D4" s="2"/>
      <x:c r="E4" s="2"/>
      <x:c r="F4" s="2"/>
      <x:c r="G4" s="2"/>
      <x:c r="H4" s="2"/>
      <x:c r="I4" s="2"/>
      <x:c r="J4" s="2"/>
      <x:c r="K4" s="2"/>
      <x:c r="L4" s="2"/>
      <x:c r="M4" s="2"/>
    </x:row>
    <x:row r="5" ht="36" hidden="0" customHeight="1">
      <x:c r="A5" s="11" t="str">
        <x:v>ID</x:v>
      </x:c>
      <x:c r="B5" s="11" t="str">
        <x:v>Technology</x:v>
      </x:c>
      <x:c r="C5" s="11" t="str">
        <x:v>Metric</x:v>
      </x:c>
      <x:c r="D5" s="11" t="str">
        <x:v>Year</x:v>
      </x:c>
      <x:c r="E5" s="11" t="str">
        <x:v>Value</x:v>
      </x:c>
      <x:c r="F5" s="11" t="str">
        <x:v>Unit</x:v>
      </x:c>
      <x:c r="G5" s="11" t="str">
        <x:v>Classification</x:v>
      </x:c>
      <x:c r="H5" s="11" t="str">
        <x:v>Period / as-of detail</x:v>
      </x:c>
      <x:c r="I5" s="11" t="str">
        <x:v>Population / scope</x:v>
      </x:c>
      <x:c r="J5" s="11" t="str">
        <x:v>Limitations / point note</x:v>
      </x:c>
      <x:c r="K5" s="11" t="str">
        <x:v>Publisher</x:v>
      </x:c>
      <x:c r="L5" s="11" t="str">
        <x:v>Source URL</x:v>
      </x:c>
      <x:c r="M5" s="11" t="str">
        <x:v>Source date</x:v>
      </x:c>
    </x:row>
    <x:row r="6" ht="24" hidden="0" customHeight="1">
      <x:c r="A6" s="12" t="n">
        <x:v>1</x:v>
      </x:c>
      <x:c r="B6" s="6" t="str">
        <x:v>AI agents and workflow automation</x:v>
      </x:c>
      <x:c r="C6" s="6" t="str">
        <x:v>Large organizations scaling AI agents</x:v>
      </x:c>
      <x:c r="D6" s="12" t="n">
        <x:v>2025</x:v>
      </x:c>
      <x:c r="E6" s="18" t="n">
        <x:v>27</x:v>
      </x:c>
      <x:c r="F6" s="6" t="str">
        <x:v>% of surveyed organizations</x:v>
      </x:c>
      <x:c r="G6" s="6" t="str">
        <x:v>observed</x:v>
      </x:c>
      <x:c r="H6" s="6" t="str"/>
      <x:c r="I6" s="6" t="str">
        <x:v>McKinsey respondents at organizations with annual revenue above US$1 billion.</x:v>
      </x:c>
      <x:c r="J6" s="6" t="str">
        <x:v>Survey estimates, not a census or verified production transaction count; respondent mix may change. This is the large-company subgroup, not all businesses. No defensible annual series for 2021–2024 is supplied.</x:v>
      </x:c>
      <x:c r="K6" s="6" t="str">
        <x:v>McKinsey</x:v>
      </x:c>
      <x:c r="L6" s="6" t="str">
        <x:v>https://www.mckinsey.com/capabilities/quantumblack/our-insights/the-state-of-ai</x:v>
      </x:c>
      <x:c r="M6" s="6" t="str">
        <x:v>2026-08-25</x:v>
      </x:c>
    </x:row>
    <x:row r="7" ht="24" hidden="0" customHeight="1">
      <x:c r="A7" s="12" t="n">
        <x:v>1</x:v>
      </x:c>
      <x:c r="B7" s="6" t="str">
        <x:v>AI agents and workflow automation</x:v>
      </x:c>
      <x:c r="C7" s="6" t="str">
        <x:v>Large organizations scaling AI agents</x:v>
      </x:c>
      <x:c r="D7" s="12" t="n">
        <x:v>2026</x:v>
      </x:c>
      <x:c r="E7" s="18" t="n">
        <x:v>40</x:v>
      </x:c>
      <x:c r="F7" s="6" t="str">
        <x:v>% of surveyed organizations</x:v>
      </x:c>
      <x:c r="G7" s="6" t="str">
        <x:v>observed</x:v>
      </x:c>
      <x:c r="H7" s="6" t="str">
        <x:v>2026-08-25</x:v>
      </x:c>
      <x:c r="I7" s="6" t="str">
        <x:v>McKinsey respondents at organizations with annual revenue above US$1 billion.</x:v>
      </x:c>
      <x:c r="J7" s="6" t="str">
        <x:v>Survey estimates, not a census or verified production transaction count; respondent mix may change. This is the large-company subgroup, not all businesses. No defensible annual series for 2021–2024 is supplied.</x:v>
      </x:c>
      <x:c r="K7" s="6" t="str">
        <x:v>McKinsey</x:v>
      </x:c>
      <x:c r="L7" s="6" t="str">
        <x:v>https://www.mckinsey.com/capabilities/quantumblack/our-insights/the-state-of-ai</x:v>
      </x:c>
      <x:c r="M7" s="6" t="str">
        <x:v>2026-08-25</x:v>
      </x:c>
    </x:row>
    <x:row r="8" ht="15" hidden="0" customHeight="1">
      <x:c r="A8" s="12" t="n">
        <x:v>1</x:v>
      </x:c>
      <x:c r="B8" s="6" t="str">
        <x:v>AI agents and workflow automation</x:v>
      </x:c>
      <x:c r="C8" s="6" t="str">
        <x:v>Enterprise software applications containing agentic AI</x:v>
      </x:c>
      <x:c r="D8" s="12" t="n">
        <x:v>2028</x:v>
      </x:c>
      <x:c r="E8" s="18" t="n">
        <x:v>33</x:v>
      </x:c>
      <x:c r="F8" s="6" t="str">
        <x:v>%</x:v>
      </x:c>
      <x:c r="G8" s="6" t="str">
        <x:v>external forecast</x:v>
      </x:c>
      <x:c r="H8" s="6" t="str"/>
      <x:c r="I8" s="6" t="str">
        <x:v>Gartner forecast, enterprise software applications</x:v>
      </x:c>
      <x:c r="J8" s="6" t="str">
        <x:v>Published June 2025; baseline below 1% in 2024. This measures applications, not organizations scaling agents.</x:v>
      </x:c>
      <x:c r="K8" s="6" t="str">
        <x:v>Gartner</x:v>
      </x:c>
      <x:c r="L8" s="6" t="str">
        <x:v>https://www.gartner.com/en/newsroom/press-releases/2025-06-25-gartner-predicts-over-40-percent-of-agentic-ai-projects-will-be-canceled-by-end-of-2027</x:v>
      </x:c>
      <x:c r="M8" s="6" t="str">
        <x:v>2025-06-25</x:v>
      </x:c>
    </x:row>
    <x:row r="9" ht="24" hidden="0" customHeight="1">
      <x:c r="A9" s="12" t="n">
        <x:v>2</x:v>
      </x:c>
      <x:c r="B9" s="6" t="str">
        <x:v>Multimodal AI copilots</x:v>
      </x:c>
      <x:c r="C9" s="6" t="str">
        <x:v>ChatGPT weekly active users — company proxy</x:v>
      </x:c>
      <x:c r="D9" s="12" t="n">
        <x:v>2024</x:v>
      </x:c>
      <x:c r="E9" s="19" t="n">
        <x:v>200</x:v>
      </x:c>
      <x:c r="F9" s="6" t="str">
        <x:v>million weekly users</x:v>
      </x:c>
      <x:c r="G9" s="6" t="str">
        <x:v>observed</x:v>
      </x:c>
      <x:c r="H9" s="6" t="str"/>
      <x:c r="I9" s="6" t="str">
        <x:v>OpenAI’s reported global ChatGPT audience across all modalities and purposes.</x:v>
      </x:c>
      <x:c r="J9" s="6" t="str">
        <x:v>Reported value qualifier: &gt; (retain this when interpreting the number). Company-reported lower-bound snapshots, not audited modality-specific adoption. People using text only are included. The 2026 point is a dated observation, not a full-year average. No interpolation is provided for missing 2021–2023 measurements.</x:v>
      </x:c>
      <x:c r="K9" s="6" t="str">
        <x:v>OpenAI</x:v>
      </x:c>
      <x:c r="L9" s="6" t="str">
        <x:v>https://openai.com/index/hearst/</x:v>
      </x:c>
      <x:c r="M9" s="6" t="str">
        <x:v>2024-10-08</x:v>
      </x:c>
    </x:row>
    <x:row r="10" ht="24" hidden="0" customHeight="1">
      <x:c r="A10" s="12" t="n">
        <x:v>2</x:v>
      </x:c>
      <x:c r="B10" s="6" t="str">
        <x:v>Multimodal AI copilots</x:v>
      </x:c>
      <x:c r="C10" s="6" t="str">
        <x:v>ChatGPT weekly active users — company proxy</x:v>
      </x:c>
      <x:c r="D10" s="12" t="n">
        <x:v>2025</x:v>
      </x:c>
      <x:c r="E10" s="19" t="n">
        <x:v>800</x:v>
      </x:c>
      <x:c r="F10" s="6" t="str">
        <x:v>million weekly users</x:v>
      </x:c>
      <x:c r="G10" s="6" t="str">
        <x:v>observed</x:v>
      </x:c>
      <x:c r="H10" s="6" t="str"/>
      <x:c r="I10" s="6" t="str">
        <x:v>OpenAI’s reported global ChatGPT audience across all modalities and purposes.</x:v>
      </x:c>
      <x:c r="J10" s="6" t="str">
        <x:v>Reported value qualifier: &gt; (retain this when interpreting the number). Company-reported lower-bound snapshots, not audited modality-specific adoption. People using text only are included. The 2026 point is a dated observation, not a full-year average. No interpolation is provided for missing 2021–2023 measurements.</x:v>
      </x:c>
      <x:c r="K10" s="6" t="str">
        <x:v>OpenAI</x:v>
      </x:c>
      <x:c r="L10" s="6" t="str">
        <x:v>https://openai.com/index/the-state-of-enterprise-ai-2025-report/</x:v>
      </x:c>
      <x:c r="M10" s="6" t="str">
        <x:v>2025-12-08</x:v>
      </x:c>
    </x:row>
    <x:row r="11" ht="24" hidden="0" customHeight="1">
      <x:c r="A11" s="12" t="n">
        <x:v>2</x:v>
      </x:c>
      <x:c r="B11" s="6" t="str">
        <x:v>Multimodal AI copilots</x:v>
      </x:c>
      <x:c r="C11" s="6" t="str">
        <x:v>ChatGPT weekly active users — company proxy</x:v>
      </x:c>
      <x:c r="D11" s="12" t="n">
        <x:v>2026</x:v>
      </x:c>
      <x:c r="E11" s="19" t="n">
        <x:v>900</x:v>
      </x:c>
      <x:c r="F11" s="6" t="str">
        <x:v>million weekly users</x:v>
      </x:c>
      <x:c r="G11" s="6" t="str">
        <x:v>observed</x:v>
      </x:c>
      <x:c r="H11" s="6" t="str">
        <x:v>2026-05-20</x:v>
      </x:c>
      <x:c r="I11" s="6" t="str">
        <x:v>OpenAI’s reported global ChatGPT audience across all modalities and purposes.</x:v>
      </x:c>
      <x:c r="J11" s="6" t="str">
        <x:v>Reported value qualifier: &gt; (retain this when interpreting the number). Company-reported lower-bound snapshots, not audited modality-specific adoption. People using text only are included. The 2026 point is a dated observation, not a full-year average. No interpolation is provided for missing 2021–2023 measurements.</x:v>
      </x:c>
      <x:c r="K11" s="6" t="str">
        <x:v>OpenAI</x:v>
      </x:c>
      <x:c r="L11" s="6" t="str">
        <x:v>https://openai.com/index/the-next-phase-of-education-for-countries/</x:v>
      </x:c>
      <x:c r="M11" s="6" t="str">
        <x:v>2026-05-20</x:v>
      </x:c>
    </x:row>
    <x:row r="12" ht="24" hidden="0" customHeight="1">
      <x:c r="A12" s="12" t="n">
        <x:v>3</x:v>
      </x:c>
      <x:c r="B12" s="6" t="str">
        <x:v>Edge and on-device AI</x:v>
      </x:c>
      <x:c r="C12" s="6" t="str">
        <x:v>GenAI-capable smartphone models tracked</x:v>
      </x:c>
      <x:c r="D12" s="12" t="n">
        <x:v>2024</x:v>
      </x:c>
      <x:c r="E12" s="18" t="n">
        <x:v>123</x:v>
      </x:c>
      <x:c r="F12" s="6" t="str">
        <x:v>device models</x:v>
      </x:c>
      <x:c r="G12" s="6" t="str">
        <x:v>observed</x:v>
      </x:c>
      <x:c r="H12" s="6" t="str">
        <x:v>2024-12-31</x:v>
      </x:c>
      <x:c r="I12" s="6" t="str">
        <x:v>Counterpoint Research’s global capable-smartphone catalog.</x:v>
      </x:c>
      <x:c r="J12" s="6" t="str">
        <x:v>Supply-side model count, not shipment volume, installed base or active AI feature use. Two quarterly snapshots, not annual totals. Devices differ substantially in local model capability. There is no fabricated continuous 2021–2026 adoption series.</x:v>
      </x:c>
      <x:c r="K12" s="6" t="str">
        <x:v>Counterpoint Research</x:v>
      </x:c>
      <x:c r="L12" s="6" t="str">
        <x:v>https://counterpointresearch.com/de/reports/global-genai-capable-smartphone-report-q1-2025</x:v>
      </x:c>
      <x:c r="M12" s="6" t="str">
        <x:v>2025</x:v>
      </x:c>
    </x:row>
    <x:row r="13" ht="24" hidden="0" customHeight="1">
      <x:c r="A13" s="12" t="n">
        <x:v>3</x:v>
      </x:c>
      <x:c r="B13" s="6" t="str">
        <x:v>Edge and on-device AI</x:v>
      </x:c>
      <x:c r="C13" s="6" t="str">
        <x:v>GenAI-capable smartphone models tracked</x:v>
      </x:c>
      <x:c r="D13" s="12" t="n">
        <x:v>2025</x:v>
      </x:c>
      <x:c r="E13" s="18" t="n">
        <x:v>143</x:v>
      </x:c>
      <x:c r="F13" s="6" t="str">
        <x:v>device models</x:v>
      </x:c>
      <x:c r="G13" s="6" t="str">
        <x:v>observed</x:v>
      </x:c>
      <x:c r="H13" s="6" t="str">
        <x:v>2025-03-31</x:v>
      </x:c>
      <x:c r="I13" s="6" t="str">
        <x:v>Counterpoint Research’s global capable-smartphone catalog.</x:v>
      </x:c>
      <x:c r="J13" s="6" t="str">
        <x:v>Supply-side model count, not shipment volume, installed base or active AI feature use. Two quarterly snapshots, not annual totals. Devices differ substantially in local model capability. There is no fabricated continuous 2021–2026 adoption series.</x:v>
      </x:c>
      <x:c r="K13" s="6" t="str">
        <x:v>Counterpoint Research</x:v>
      </x:c>
      <x:c r="L13" s="6" t="str">
        <x:v>https://counterpointresearch.com/de/reports/global-genai-capable-smartphone-report-q1-2025</x:v>
      </x:c>
      <x:c r="M13" s="6" t="str">
        <x:v>2025</x:v>
      </x:c>
    </x:row>
    <x:row r="14" ht="24" hidden="0" customHeight="1">
      <x:c r="A14" s="12" t="n">
        <x:v>3</x:v>
      </x:c>
      <x:c r="B14" s="6" t="str">
        <x:v>Edge and on-device AI</x:v>
      </x:c>
      <x:c r="C14" s="6" t="str">
        <x:v>AI PC shipments</x:v>
      </x:c>
      <x:c r="D14" s="12" t="n">
        <x:v>2026</x:v>
      </x:c>
      <x:c r="E14" s="18" t="n">
        <x:v>143</x:v>
      </x:c>
      <x:c r="F14" s="6" t="str">
        <x:v>million PCs</x:v>
      </x:c>
      <x:c r="G14" s="6" t="str">
        <x:v>external forecast</x:v>
      </x:c>
      <x:c r="H14" s="6" t="str"/>
      <x:c r="I14" s="6" t="str">
        <x:v>Worldwide; Gartner August 2025 forecast</x:v>
      </x:c>
      <x:c r="J14" s="6" t="str">
        <x:v>Forecast of 55% of PC shipments. Not an observed 2026 result and not directly comparable with smartphone model counts.</x:v>
      </x:c>
      <x:c r="K14" s="6" t="str">
        <x:v>Gartner</x:v>
      </x:c>
      <x:c r="L14" s="6" t="str">
        <x:v>https://www.gartner.com/en/newsroom/press-releases/2025-08-28-gartner-says-artificial-intelligence-pcs-will-represent-31-percent-of-worldwide-pc-market-by-the-end-of-2025</x:v>
      </x:c>
      <x:c r="M14" s="6" t="str">
        <x:v>2025-08-28</x:v>
      </x:c>
    </x:row>
    <x:row r="15" ht="24" hidden="0" customHeight="1">
      <x:c r="A15" s="12" t="n">
        <x:v>4</x:v>
      </x:c>
      <x:c r="B15" s="6" t="str">
        <x:v>AI-native software development</x:v>
      </x:c>
      <x:c r="C15" s="6" t="str">
        <x:v>Paid GitHub Copilot users — company proxy</x:v>
      </x:c>
      <x:c r="D15" s="12" t="n">
        <x:v>2023</x:v>
      </x:c>
      <x:c r="E15" s="19" t="n">
        <x:v>1</x:v>
      </x:c>
      <x:c r="F15" s="6" t="str">
        <x:v>million paid users</x:v>
      </x:c>
      <x:c r="G15" s="6" t="str">
        <x:v>observed</x:v>
      </x:c>
      <x:c r="H15" s="6" t="str">
        <x:v>2023-10-24</x:v>
      </x:c>
      <x:c r="I15" s="6" t="str">
        <x:v>Microsoft-reported GitHub Copilot paying users, dated snapshots.</x:v>
      </x:c>
      <x:c r="J15" s="6" t="str">
        <x:v>Reported value qualifier: &gt; (retain this when interpreting the number). The starting point is a lower bound and snapshot timing differs. Microsoft’s 20 million total users in 2025 includes a different population and is excluded from this paid series. Subscriber counts do not establish engineering productivity or software quality.</x:v>
      </x:c>
      <x:c r="K15" s="6" t="str">
        <x:v>Microsoft</x:v>
      </x:c>
      <x:c r="L15" s="6" t="str">
        <x:v>https://www.microsoft.com/en-us/Investor/events/FY-2024/earnings-fy-2024-q1.aspx</x:v>
      </x:c>
      <x:c r="M15" s="6" t="str">
        <x:v>2023-10-24</x:v>
      </x:c>
    </x:row>
    <x:row r="16" ht="24" hidden="0" customHeight="1">
      <x:c r="A16" s="12" t="n">
        <x:v>4</x:v>
      </x:c>
      <x:c r="B16" s="6" t="str">
        <x:v>AI-native software development</x:v>
      </x:c>
      <x:c r="C16" s="6" t="str">
        <x:v>Paid GitHub Copilot users — company proxy</x:v>
      </x:c>
      <x:c r="D16" s="12" t="n">
        <x:v>2024</x:v>
      </x:c>
      <x:c r="E16" s="20" t="n">
        <x:v>1.8</x:v>
      </x:c>
      <x:c r="F16" s="6" t="str">
        <x:v>million paid users</x:v>
      </x:c>
      <x:c r="G16" s="6" t="str">
        <x:v>observed</x:v>
      </x:c>
      <x:c r="H16" s="6" t="str">
        <x:v>2024-06-30</x:v>
      </x:c>
      <x:c r="I16" s="6" t="str">
        <x:v>Microsoft-reported GitHub Copilot paying users, dated snapshots.</x:v>
      </x:c>
      <x:c r="J16" s="6" t="str">
        <x:v>The starting point is a lower bound and snapshot timing differs. Microsoft’s 20 million total users in 2025 includes a different population and is excluded from this paid series. Subscriber counts do not establish engineering productivity or software quality.</x:v>
      </x:c>
      <x:c r="K16" s="6" t="str">
        <x:v>Microsoft</x:v>
      </x:c>
      <x:c r="L16" s="6" t="str">
        <x:v>https://www.microsoft.com/investor/reports/ar24/index.html</x:v>
      </x:c>
      <x:c r="M16" s="6" t="str">
        <x:v>2024-07-30</x:v>
      </x:c>
    </x:row>
    <x:row r="17" ht="24" hidden="0" customHeight="1">
      <x:c r="A17" s="12" t="n">
        <x:v>5</x:v>
      </x:c>
      <x:c r="B17" s="6" t="str">
        <x:v>AI search and enterprise knowledge retrieval</x:v>
      </x:c>
      <x:c r="C17" s="6" t="str">
        <x:v>Glean annual recurring revenue — company proxy</x:v>
      </x:c>
      <x:c r="D17" s="12" t="n">
        <x:v>2025</x:v>
      </x:c>
      <x:c r="E17" s="19" t="n">
        <x:v>200</x:v>
      </x:c>
      <x:c r="F17" s="6" t="str">
        <x:v>US$ million ARR</x:v>
      </x:c>
      <x:c r="G17" s="6" t="str">
        <x:v>observed</x:v>
      </x:c>
      <x:c r="H17" s="6" t="str">
        <x:v>2025-12-08</x:v>
      </x:c>
      <x:c r="I17" s="6" t="str">
        <x:v>Glean’s reported recurring-revenue run rate.</x:v>
      </x:c>
      <x:c r="J17" s="6" t="str">
        <x:v>Reported value qualifier: &gt; (retain this when interpreting the number). ARR is a run-rate measure, not recognized annual revenue. Company-reported thresholds are dated snapshots and combine search, assistants and agents. No whole-market adoption share or 2021–2024 annual series is inferred.</x:v>
      </x:c>
      <x:c r="K17" s="6" t="str">
        <x:v>Glean</x:v>
      </x:c>
      <x:c r="L17" s="6" t="str">
        <x:v>https://www.glean.com/press/glean-surpasses-200m-in-arr-for-enterprise-ai-doubling-revenue-in-nine-months</x:v>
      </x:c>
      <x:c r="M17" s="6" t="str">
        <x:v>2025-12-08</x:v>
      </x:c>
    </x:row>
    <x:row r="18" ht="24" hidden="0" customHeight="1">
      <x:c r="A18" s="12" t="n">
        <x:v>5</x:v>
      </x:c>
      <x:c r="B18" s="6" t="str">
        <x:v>AI search and enterprise knowledge retrieval</x:v>
      </x:c>
      <x:c r="C18" s="6" t="str">
        <x:v>Glean annual recurring revenue — company proxy</x:v>
      </x:c>
      <x:c r="D18" s="12" t="n">
        <x:v>2026</x:v>
      </x:c>
      <x:c r="E18" s="19" t="n">
        <x:v>300</x:v>
      </x:c>
      <x:c r="F18" s="6" t="str">
        <x:v>US$ million ARR</x:v>
      </x:c>
      <x:c r="G18" s="6" t="str">
        <x:v>observed</x:v>
      </x:c>
      <x:c r="H18" s="6" t="str">
        <x:v>2026-05-28</x:v>
      </x:c>
      <x:c r="I18" s="6" t="str">
        <x:v>Glean’s reported recurring-revenue run rate.</x:v>
      </x:c>
      <x:c r="J18" s="6" t="str">
        <x:v>Reported value qualifier: &gt; (retain this when interpreting the number). ARR is a run-rate measure, not recognized annual revenue. Company-reported thresholds are dated snapshots and combine search, assistants and agents. No whole-market adoption share or 2021–2024 annual series is inferred.</x:v>
      </x:c>
      <x:c r="K18" s="6" t="str">
        <x:v>Glean</x:v>
      </x:c>
      <x:c r="L18" s="6" t="str">
        <x:v>https://www.glean.com/press/glean-surpasses-300m-arr-unrivaled-enterprise-context-fuels-ai-adoption</x:v>
      </x:c>
      <x:c r="M18" s="6" t="str">
        <x:v>2026-05-28</x:v>
      </x:c>
    </x:row>
    <x:row r="19" ht="24" hidden="0" customHeight="1">
      <x:c r="A19" s="12" t="n">
        <x:v>6</x:v>
      </x:c>
      <x:c r="B19" s="6" t="str">
        <x:v>AI accelerators and heterogeneous computing</x:v>
      </x:c>
      <x:c r="C19" s="6" t="str">
        <x:v>NVIDIA Data Center revenue — company proxy</x:v>
      </x:c>
      <x:c r="D19" s="12" t="n">
        <x:v>2024</x:v>
      </x:c>
      <x:c r="E19" s="21" t="n">
        <x:v>47.525</x:v>
      </x:c>
      <x:c r="F19" s="6" t="str">
        <x:v>US$ billion per fiscal year</x:v>
      </x:c>
      <x:c r="G19" s="6" t="str">
        <x:v>observed</x:v>
      </x:c>
      <x:c r="H19" s="6" t="str"/>
      <x:c r="I19" s="6" t="str">
        <x:v>NVIDIA Data Center platform revenue, including compute and networking; fiscal years end in January.</x:v>
      </x:c>
      <x:c r="J19" s="6" t="str">
        <x:v>Fiscal-year labels must not be read as calendar-year totals. FY2026 ended January 25, 2026. The business includes networking and market-share changes; it is neither global semiconductor revenue nor deployed AI capacity.</x:v>
      </x:c>
      <x:c r="K19" s="6" t="str">
        <x:v>NVIDIA</x:v>
      </x:c>
      <x:c r="L19" s="6" t="str">
        <x:v>https://s201.q4cdn.com/141608511/files/doc_financials/2025/annual/NVIDIA-2025-Annual-Report.pdf</x:v>
      </x:c>
      <x:c r="M19" s="6" t="str">
        <x:v>2025-02-26</x:v>
      </x:c>
    </x:row>
    <x:row r="20" ht="24" hidden="0" customHeight="1">
      <x:c r="A20" s="12" t="n">
        <x:v>6</x:v>
      </x:c>
      <x:c r="B20" s="6" t="str">
        <x:v>AI accelerators and heterogeneous computing</x:v>
      </x:c>
      <x:c r="C20" s="6" t="str">
        <x:v>NVIDIA Data Center revenue — company proxy</x:v>
      </x:c>
      <x:c r="D20" s="12" t="n">
        <x:v>2025</x:v>
      </x:c>
      <x:c r="E20" s="21" t="n">
        <x:v>115.186</x:v>
      </x:c>
      <x:c r="F20" s="6" t="str">
        <x:v>US$ billion per fiscal year</x:v>
      </x:c>
      <x:c r="G20" s="6" t="str">
        <x:v>observed</x:v>
      </x:c>
      <x:c r="H20" s="6" t="str"/>
      <x:c r="I20" s="6" t="str">
        <x:v>NVIDIA Data Center platform revenue, including compute and networking; fiscal years end in January.</x:v>
      </x:c>
      <x:c r="J20" s="6" t="str">
        <x:v>Fiscal-year labels must not be read as calendar-year totals. FY2026 ended January 25, 2026. The business includes networking and market-share changes; it is neither global semiconductor revenue nor deployed AI capacity.</x:v>
      </x:c>
      <x:c r="K20" s="6" t="str">
        <x:v>NVIDIA</x:v>
      </x:c>
      <x:c r="L20" s="6" t="str">
        <x:v>https://s201.q4cdn.com/141608511/files/doc_financials/2025/annual/NVIDIA-2025-Annual-Report.pdf</x:v>
      </x:c>
      <x:c r="M20" s="6" t="str">
        <x:v>2025-02-26</x:v>
      </x:c>
    </x:row>
    <x:row r="21" ht="24" hidden="0" customHeight="1">
      <x:c r="A21" s="12" t="n">
        <x:v>6</x:v>
      </x:c>
      <x:c r="B21" s="6" t="str">
        <x:v>AI accelerators and heterogeneous computing</x:v>
      </x:c>
      <x:c r="C21" s="6" t="str">
        <x:v>NVIDIA Data Center revenue — company proxy</x:v>
      </x:c>
      <x:c r="D21" s="12" t="n">
        <x:v>2026</x:v>
      </x:c>
      <x:c r="E21" s="20" t="n">
        <x:v>193.7</x:v>
      </x:c>
      <x:c r="F21" s="6" t="str">
        <x:v>US$ billion per fiscal year</x:v>
      </x:c>
      <x:c r="G21" s="6" t="str">
        <x:v>observed</x:v>
      </x:c>
      <x:c r="H21" s="6" t="str"/>
      <x:c r="I21" s="6" t="str">
        <x:v>NVIDIA Data Center platform revenue, including compute and networking; fiscal years end in January.</x:v>
      </x:c>
      <x:c r="J21" s="6" t="str">
        <x:v>Fiscal-year labels must not be read as calendar-year totals. FY2026 ended January 25, 2026. The business includes networking and market-share changes; it is neither global semiconductor revenue nor deployed AI capacity.</x:v>
      </x:c>
      <x:c r="K21" s="6" t="str">
        <x:v>NVIDIA</x:v>
      </x:c>
      <x:c r="L21" s="6" t="str">
        <x:v>https://investor.nvidia.com/news/press-release-details/2026/NVIDIA-Announces-Financial-Results-for-Fourth-Quarter-and-Fiscal-2026/</x:v>
      </x:c>
      <x:c r="M21" s="6" t="str">
        <x:v>2026-02-25</x:v>
      </x:c>
    </x:row>
    <x:row r="22" ht="24" hidden="0" customHeight="1">
      <x:c r="A22" s="12" t="n">
        <x:v>7</x:v>
      </x:c>
      <x:c r="B22" s="6" t="str">
        <x:v>Chiplets and advanced semiconductor packaging</x:v>
      </x:c>
      <x:c r="C22" s="6" t="str">
        <x:v>Maximum UCIe link rate — technical capability proxy</x:v>
      </x:c>
      <x:c r="D22" s="12" t="n">
        <x:v>2022</x:v>
      </x:c>
      <x:c r="E22" s="18" t="n">
        <x:v>32</x:v>
      </x:c>
      <x:c r="F22" s="6" t="str">
        <x:v>GT/s</x:v>
      </x:c>
      <x:c r="G22" s="6" t="str">
        <x:v>observed</x:v>
      </x:c>
      <x:c r="H22" s="6" t="str"/>
      <x:c r="I22" s="6" t="str">
        <x:v>Maximum per-lane transfer rate supported by published UCIe specifications.</x:v>
      </x:c>
      <x:c r="J22" s="6" t="str">
        <x:v>Standards capability, not shipped products, adoption, realized bandwidth or package revenue. A higher supported rate is only useful if manufacturers achieve yield, signal integrity and acceptable power. Missing 2021 and 2026 adoption counts are not inferred.</x:v>
      </x:c>
      <x:c r="K22" s="6" t="str">
        <x:v>UCIe Consortium</x:v>
      </x:c>
      <x:c r="L22" s="6" t="str">
        <x:v>https://www.uciexpress.org/press-releases</x:v>
      </x:c>
      <x:c r="M22" s="6" t="str"/>
    </x:row>
    <x:row r="23" ht="24" hidden="0" customHeight="1">
      <x:c r="A23" s="12" t="n">
        <x:v>7</x:v>
      </x:c>
      <x:c r="B23" s="6" t="str">
        <x:v>Chiplets and advanced semiconductor packaging</x:v>
      </x:c>
      <x:c r="C23" s="6" t="str">
        <x:v>Maximum UCIe link rate — technical capability proxy</x:v>
      </x:c>
      <x:c r="D23" s="12" t="n">
        <x:v>2023</x:v>
      </x:c>
      <x:c r="E23" s="18" t="n">
        <x:v>32</x:v>
      </x:c>
      <x:c r="F23" s="6" t="str">
        <x:v>GT/s</x:v>
      </x:c>
      <x:c r="G23" s="6" t="str">
        <x:v>observed</x:v>
      </x:c>
      <x:c r="H23" s="6" t="str"/>
      <x:c r="I23" s="6" t="str">
        <x:v>Maximum per-lane transfer rate supported by published UCIe specifications.</x:v>
      </x:c>
      <x:c r="J23" s="6" t="str">
        <x:v>Standards capability, not shipped products, adoption, realized bandwidth or package revenue. A higher supported rate is only useful if manufacturers achieve yield, signal integrity and acceptable power. Missing 2021 and 2026 adoption counts are not inferred.</x:v>
      </x:c>
      <x:c r="K23" s="6" t="str">
        <x:v>UCIe Consortium</x:v>
      </x:c>
      <x:c r="L23" s="6" t="str">
        <x:v>https://www.uciexpress.org/press-releases</x:v>
      </x:c>
      <x:c r="M23" s="6" t="str"/>
    </x:row>
    <x:row r="24" ht="24" hidden="0" customHeight="1">
      <x:c r="A24" s="12" t="n">
        <x:v>7</x:v>
      </x:c>
      <x:c r="B24" s="6" t="str">
        <x:v>Chiplets and advanced semiconductor packaging</x:v>
      </x:c>
      <x:c r="C24" s="6" t="str">
        <x:v>Maximum UCIe link rate — technical capability proxy</x:v>
      </x:c>
      <x:c r="D24" s="12" t="n">
        <x:v>2024</x:v>
      </x:c>
      <x:c r="E24" s="18" t="n">
        <x:v>32</x:v>
      </x:c>
      <x:c r="F24" s="6" t="str">
        <x:v>GT/s</x:v>
      </x:c>
      <x:c r="G24" s="6" t="str">
        <x:v>observed</x:v>
      </x:c>
      <x:c r="H24" s="6" t="str"/>
      <x:c r="I24" s="6" t="str">
        <x:v>Maximum per-lane transfer rate supported by published UCIe specifications.</x:v>
      </x:c>
      <x:c r="J24" s="6" t="str">
        <x:v>Standards capability, not shipped products, adoption, realized bandwidth or package revenue. A higher supported rate is only useful if manufacturers achieve yield, signal integrity and acceptable power. Missing 2021 and 2026 adoption counts are not inferred.</x:v>
      </x:c>
      <x:c r="K24" s="6" t="str">
        <x:v>UCIe Consortium</x:v>
      </x:c>
      <x:c r="L24" s="6" t="str">
        <x:v>https://www.uciexpress.org/press-releases</x:v>
      </x:c>
      <x:c r="M24" s="6" t="str"/>
    </x:row>
    <x:row r="25" ht="24" hidden="0" customHeight="1">
      <x:c r="A25" s="12" t="n">
        <x:v>7</x:v>
      </x:c>
      <x:c r="B25" s="6" t="str">
        <x:v>Chiplets and advanced semiconductor packaging</x:v>
      </x:c>
      <x:c r="C25" s="6" t="str">
        <x:v>Maximum UCIe link rate — technical capability proxy</x:v>
      </x:c>
      <x:c r="D25" s="12" t="n">
        <x:v>2025</x:v>
      </x:c>
      <x:c r="E25" s="18" t="n">
        <x:v>64</x:v>
      </x:c>
      <x:c r="F25" s="6" t="str">
        <x:v>GT/s</x:v>
      </x:c>
      <x:c r="G25" s="6" t="str">
        <x:v>observed</x:v>
      </x:c>
      <x:c r="H25" s="6" t="str"/>
      <x:c r="I25" s="6" t="str">
        <x:v>Maximum per-lane transfer rate supported by published UCIe specifications.</x:v>
      </x:c>
      <x:c r="J25" s="6" t="str">
        <x:v>Standards capability, not shipped products, adoption, realized bandwidth or package revenue. A higher supported rate is only useful if manufacturers achieve yield, signal integrity and acceptable power. Missing 2021 and 2026 adoption counts are not inferred.</x:v>
      </x:c>
      <x:c r="K25" s="6" t="str">
        <x:v>UCIe Consortium</x:v>
      </x:c>
      <x:c r="L25" s="6" t="str">
        <x:v>https://www.uciexpress.org/post/ucie-consortium-s-2025-year-in-review</x:v>
      </x:c>
      <x:c r="M25" s="6" t="str">
        <x:v>2025-12-17</x:v>
      </x:c>
    </x:row>
    <x:row r="26" ht="24" hidden="0" customHeight="1">
      <x:c r="A26" s="12" t="n">
        <x:v>8</x:v>
      </x:c>
      <x:c r="B26" s="6" t="str">
        <x:v>Silicon photonics and optical interconnects</x:v>
      </x:c>
      <x:c r="C26" s="6" t="str">
        <x:v>Coherent Data Center and Communications revenue — adjacent proxy</x:v>
      </x:c>
      <x:c r="D26" s="12" t="n">
        <x:v>2024</x:v>
      </x:c>
      <x:c r="E26" s="21" t="n">
        <x:v>2.631369</x:v>
      </x:c>
      <x:c r="F26" s="6" t="str">
        <x:v>US$ billion per fiscal year</x:v>
      </x:c>
      <x:c r="G26" s="6" t="str">
        <x:v>observed</x:v>
      </x:c>
      <x:c r="H26" s="6" t="str"/>
      <x:c r="I26" s="6" t="str">
        <x:v>Coherent’s reported segment, including established optical communications products; fiscal years end in June.</x:v>
      </x:c>
      <x:c r="J26" s="6" t="str">
        <x:v>This is a broad optical-communications supplier segment, not the size of the silicon-photonics or co-packaged-optics market. The series uses the comparable segment presentation in the FY2026 filing. It reflects price, mix and demand as well as units.</x:v>
      </x:c>
      <x:c r="K26" s="6" t="str">
        <x:v>Coherent</x:v>
      </x:c>
      <x:c r="L26" s="6" t="str">
        <x:v>https://ir.coherent.com/static-files/afd880a5-f5c9-46c2-b16a-1f2cbe90e28b</x:v>
      </x:c>
      <x:c r="M26" s="6" t="str">
        <x:v>2026-08</x:v>
      </x:c>
    </x:row>
    <x:row r="27" ht="24" hidden="0" customHeight="1">
      <x:c r="A27" s="12" t="n">
        <x:v>8</x:v>
      </x:c>
      <x:c r="B27" s="6" t="str">
        <x:v>Silicon photonics and optical interconnects</x:v>
      </x:c>
      <x:c r="C27" s="6" t="str">
        <x:v>Coherent Data Center and Communications revenue — adjacent proxy</x:v>
      </x:c>
      <x:c r="D27" s="12" t="n">
        <x:v>2025</x:v>
      </x:c>
      <x:c r="E27" s="21" t="n">
        <x:v>3.755164</x:v>
      </x:c>
      <x:c r="F27" s="6" t="str">
        <x:v>US$ billion per fiscal year</x:v>
      </x:c>
      <x:c r="G27" s="6" t="str">
        <x:v>observed</x:v>
      </x:c>
      <x:c r="H27" s="6" t="str"/>
      <x:c r="I27" s="6" t="str">
        <x:v>Coherent’s reported segment, including established optical communications products; fiscal years end in June.</x:v>
      </x:c>
      <x:c r="J27" s="6" t="str">
        <x:v>This is a broad optical-communications supplier segment, not the size of the silicon-photonics or co-packaged-optics market. The series uses the comparable segment presentation in the FY2026 filing. It reflects price, mix and demand as well as units.</x:v>
      </x:c>
      <x:c r="K27" s="6" t="str">
        <x:v>Coherent</x:v>
      </x:c>
      <x:c r="L27" s="6" t="str">
        <x:v>https://ir.coherent.com/static-files/afd880a5-f5c9-46c2-b16a-1f2cbe90e28b</x:v>
      </x:c>
      <x:c r="M27" s="6" t="str">
        <x:v>2026-08</x:v>
      </x:c>
    </x:row>
    <x:row r="28" ht="24" hidden="0" customHeight="1">
      <x:c r="A28" s="12" t="n">
        <x:v>8</x:v>
      </x:c>
      <x:c r="B28" s="6" t="str">
        <x:v>Silicon photonics and optical interconnects</x:v>
      </x:c>
      <x:c r="C28" s="6" t="str">
        <x:v>Coherent Data Center and Communications revenue — adjacent proxy</x:v>
      </x:c>
      <x:c r="D28" s="12" t="n">
        <x:v>2026</x:v>
      </x:c>
      <x:c r="E28" s="21" t="n">
        <x:v>5.274629</x:v>
      </x:c>
      <x:c r="F28" s="6" t="str">
        <x:v>US$ billion per fiscal year</x:v>
      </x:c>
      <x:c r="G28" s="6" t="str">
        <x:v>observed</x:v>
      </x:c>
      <x:c r="H28" s="6" t="str"/>
      <x:c r="I28" s="6" t="str">
        <x:v>Coherent’s reported segment, including established optical communications products; fiscal years end in June.</x:v>
      </x:c>
      <x:c r="J28" s="6" t="str">
        <x:v>This is a broad optical-communications supplier segment, not the size of the silicon-photonics or co-packaged-optics market. The series uses the comparable segment presentation in the FY2026 filing. It reflects price, mix and demand as well as units.</x:v>
      </x:c>
      <x:c r="K28" s="6" t="str">
        <x:v>Coherent</x:v>
      </x:c>
      <x:c r="L28" s="6" t="str">
        <x:v>https://ir.coherent.com/static-files/afd880a5-f5c9-46c2-b16a-1f2cbe90e28b</x:v>
      </x:c>
      <x:c r="M28" s="6" t="str">
        <x:v>2026-08</x:v>
      </x:c>
    </x:row>
    <x:row r="29" ht="36" hidden="0" customHeight="1">
      <x:c r="A29" s="12" t="n">
        <x:v>9</x:v>
      </x:c>
      <x:c r="B29" s="6" t="str">
        <x:v>Post-quantum cryptography</x:v>
      </x:c>
      <x:c r="C29" s="6" t="str">
        <x:v>Cloudflare human HTTPS traffic with post-quantum protection</x:v>
      </x:c>
      <x:c r="D29" s="12" t="n">
        <x:v>2025</x:v>
      </x:c>
      <x:c r="E29" s="19" t="n">
        <x:v>50</x:v>
      </x:c>
      <x:c r="F29" s="6" t="str">
        <x:v>% of human HTTPS traffic</x:v>
      </x:c>
      <x:c r="G29" s="6" t="str">
        <x:v>observed</x:v>
      </x:c>
      <x:c r="H29" s="6" t="str">
        <x:v>2025-10-28</x:v>
      </x:c>
      <x:c r="I29" s="6" t="str">
        <x:v>Traffic reaching Cloudflare; reported threshold snapshots.</x:v>
      </x:c>
      <x:c r="J29" s="6" t="str">
        <x:v>Reported value qualifier: &gt; (retain this when interpreting the number). Lower-bound disclosures, not exact percentages or a global internet census. This denominator excludes automated traffic. Older TLS 1.3-specific statistics have a different denominator and are deliberately not combined. Hybrid key exchange is not the same as quantum-safe authentication everywhere.</x:v>
      </x:c>
      <x:c r="K29" s="6" t="str">
        <x:v>Cloudflare</x:v>
      </x:c>
      <x:c r="L29" s="6" t="str">
        <x:v>https://blog.cloudflare.com/pq-2025/</x:v>
      </x:c>
      <x:c r="M29" s="6" t="str">
        <x:v>2025-10-28</x:v>
      </x:c>
    </x:row>
    <x:row r="30" ht="36" hidden="0" customHeight="1">
      <x:c r="A30" s="12" t="n">
        <x:v>9</x:v>
      </x:c>
      <x:c r="B30" s="6" t="str">
        <x:v>Post-quantum cryptography</x:v>
      </x:c>
      <x:c r="C30" s="6" t="str">
        <x:v>Cloudflare human HTTPS traffic with post-quantum protection</x:v>
      </x:c>
      <x:c r="D30" s="12" t="n">
        <x:v>2026</x:v>
      </x:c>
      <x:c r="E30" s="19" t="n">
        <x:v>65</x:v>
      </x:c>
      <x:c r="F30" s="6" t="str">
        <x:v>% of human HTTPS traffic</x:v>
      </x:c>
      <x:c r="G30" s="6" t="str">
        <x:v>observed</x:v>
      </x:c>
      <x:c r="H30" s="6" t="str">
        <x:v>2026-04-07</x:v>
      </x:c>
      <x:c r="I30" s="6" t="str">
        <x:v>Traffic reaching Cloudflare; reported threshold snapshots.</x:v>
      </x:c>
      <x:c r="J30" s="6" t="str">
        <x:v>Reported value qualifier: &gt; (retain this when interpreting the number). Lower-bound disclosures, not exact percentages or a global internet census. This denominator excludes automated traffic. Older TLS 1.3-specific statistics have a different denominator and are deliberately not combined. Hybrid key exchange is not the same as quantum-safe authentication everywhere.</x:v>
      </x:c>
      <x:c r="K30" s="6" t="str">
        <x:v>Cloudflare</x:v>
      </x:c>
      <x:c r="L30" s="6" t="str">
        <x:v>https://blog.cloudflare.com/post-quantum-roadmap/</x:v>
      </x:c>
      <x:c r="M30" s="6" t="str">
        <x:v>2026-04-07</x:v>
      </x:c>
    </x:row>
    <x:row r="31" ht="24" hidden="0" customHeight="1">
      <x:c r="A31" s="12" t="n">
        <x:v>10</x:v>
      </x:c>
      <x:c r="B31" s="6" t="str">
        <x:v>Confidential computing and privacy-preserving AI</x:v>
      </x:c>
      <x:c r="C31" s="6" t="str">
        <x:v>Survey respondents using confidential computing in full production</x:v>
      </x:c>
      <x:c r="D31" s="12" t="n">
        <x:v>2025</x:v>
      </x:c>
      <x:c r="E31" s="18" t="n">
        <x:v>18</x:v>
      </x:c>
      <x:c r="F31" s="6" t="str">
        <x:v>% of surveyed IT leaders</x:v>
      </x:c>
      <x:c r="G31" s="6" t="str">
        <x:v>observed</x:v>
      </x:c>
      <x:c r="H31" s="6" t="str"/>
      <x:c r="I31" s="6" t="str">
        <x:v>IDC survey commissioned by the Confidential Computing Consortium; 600 IT leaders across 15 industries in July 2025.</x:v>
      </x:c>
      <x:c r="J31" s="6" t="str">
        <x:v>One credible observed adoption point was identified; no historical growth rate can be calculated. It is a commissioned survey, not a market census. Combining pilots and production into a 75% production claim would be incorrect. The broad privacy-preserving-AI category has no consistent aggregate series.</x:v>
      </x:c>
      <x:c r="K31" s="6" t="str">
        <x:v>Confidential Computing Consortium / IDC</x:v>
      </x:c>
      <x:c r="L31" s="6" t="str">
        <x:v>https://confidentialcomputing.io/2025/</x:v>
      </x:c>
      <x:c r="M31" s="6" t="str">
        <x:v>2025-12-03</x:v>
      </x:c>
    </x:row>
    <x:row r="32" ht="24" hidden="0" customHeight="1">
      <x:c r="A32" s="12" t="n">
        <x:v>11</x:v>
      </x:c>
      <x:c r="B32" s="6" t="str">
        <x:v>Private 5G and industrial wireless</x:v>
      </x:c>
      <x:c r="C32" s="6" t="str">
        <x:v>Organizations in GSA’s private-mobile-network database</x:v>
      </x:c>
      <x:c r="D32" s="12" t="n">
        <x:v>2022</x:v>
      </x:c>
      <x:c r="E32" s="18" t="n">
        <x:v>1077</x:v>
      </x:c>
      <x:c r="F32" s="6" t="str">
        <x:v>customer organizations</x:v>
      </x:c>
      <x:c r="G32" s="6" t="str">
        <x:v>observed</x:v>
      </x:c>
      <x:c r="H32" s="6" t="str">
        <x:v>2022-12-31</x:v>
      </x:c>
      <x:c r="I32" s="6" t="str">
        <x:v>Reported private LTE/5G references, generally projects above €100,000; GSA coverage is incomplete and revised.</x:v>
      </x:c>
      <x:c r="J32" s="6" t="str">
        <x:v>Customer references are not all live sites, unique networks, 5G-only deployments or the entire market. Dates differ within years, database discovery can revise past coverage and small projects are omitted. This series does not justify a precise market CAGR.</x:v>
      </x:c>
      <x:c r="K32" s="6" t="str">
        <x:v>GSA</x:v>
      </x:c>
      <x:c r="L32" s="6" t="str">
        <x:v>https://gsacom.com/press-release/over-1000-organisations-now-deploying-private-mobile-networks/</x:v>
      </x:c>
      <x:c r="M32" s="6" t="str">
        <x:v>2023-02</x:v>
      </x:c>
    </x:row>
    <x:row r="33" ht="24" hidden="0" customHeight="1">
      <x:c r="A33" s="12" t="n">
        <x:v>11</x:v>
      </x:c>
      <x:c r="B33" s="6" t="str">
        <x:v>Private 5G and industrial wireless</x:v>
      </x:c>
      <x:c r="C33" s="6" t="str">
        <x:v>Organizations in GSA’s private-mobile-network database</x:v>
      </x:c>
      <x:c r="D33" s="12" t="n">
        <x:v>2023</x:v>
      </x:c>
      <x:c r="E33" s="18" t="n">
        <x:v>1384</x:v>
      </x:c>
      <x:c r="F33" s="6" t="str">
        <x:v>customer organizations</x:v>
      </x:c>
      <x:c r="G33" s="6" t="str">
        <x:v>observed</x:v>
      </x:c>
      <x:c r="H33" s="6" t="str">
        <x:v>2023-12-31</x:v>
      </x:c>
      <x:c r="I33" s="6" t="str">
        <x:v>Reported private LTE/5G references, generally projects above €100,000; GSA coverage is incomplete and revised.</x:v>
      </x:c>
      <x:c r="J33" s="6" t="str">
        <x:v>Customer references are not all live sites, unique networks, 5G-only deployments or the entire market. Dates differ within years, database discovery can revise past coverage and small projects are omitted. This series does not justify a precise market CAGR.</x:v>
      </x:c>
      <x:c r="K33" s="6" t="str">
        <x:v>GSA</x:v>
      </x:c>
      <x:c r="L33" s="6" t="str">
        <x:v>https://gsacom.com/paper/private-mobile-networks-summary-february-2024/</x:v>
      </x:c>
      <x:c r="M33" s="6" t="str">
        <x:v>2024-02</x:v>
      </x:c>
    </x:row>
    <x:row r="34" ht="24" hidden="0" customHeight="1">
      <x:c r="A34" s="12" t="n">
        <x:v>11</x:v>
      </x:c>
      <x:c r="B34" s="6" t="str">
        <x:v>Private 5G and industrial wireless</x:v>
      </x:c>
      <x:c r="C34" s="6" t="str">
        <x:v>Organizations in GSA’s private-mobile-network database</x:v>
      </x:c>
      <x:c r="D34" s="12" t="n">
        <x:v>2024</x:v>
      </x:c>
      <x:c r="E34" s="18" t="n">
        <x:v>1427</x:v>
      </x:c>
      <x:c r="F34" s="6" t="str">
        <x:v>customer organizations</x:v>
      </x:c>
      <x:c r="G34" s="6" t="str">
        <x:v>observed</x:v>
      </x:c>
      <x:c r="H34" s="6" t="str">
        <x:v>2024-03-31</x:v>
      </x:c>
      <x:c r="I34" s="6" t="str">
        <x:v>Reported private LTE/5G references, generally projects above €100,000; GSA coverage is incomplete and revised.</x:v>
      </x:c>
      <x:c r="J34" s="6" t="str">
        <x:v>Customer references are not all live sites, unique networks, 5G-only deployments or the entire market. Dates differ within years, database discovery can revise past coverage and small projects are omitted. This series does not justify a precise market CAGR.</x:v>
      </x:c>
      <x:c r="K34" s="6" t="str">
        <x:v>GSA</x:v>
      </x:c>
      <x:c r="L34" s="6" t="str">
        <x:v>https://gsacom.com/paper/privatemobilenetworks-june-2024-summary/</x:v>
      </x:c>
      <x:c r="M34" s="6" t="str">
        <x:v>2024-06</x:v>
      </x:c>
    </x:row>
    <x:row r="35" ht="24" hidden="0" customHeight="1">
      <x:c r="A35" s="12" t="n">
        <x:v>11</x:v>
      </x:c>
      <x:c r="B35" s="6" t="str">
        <x:v>Private 5G and industrial wireless</x:v>
      </x:c>
      <x:c r="C35" s="6" t="str">
        <x:v>Organizations in GSA’s private-mobile-network database</x:v>
      </x:c>
      <x:c r="D35" s="12" t="n">
        <x:v>2026</x:v>
      </x:c>
      <x:c r="E35" s="18" t="n">
        <x:v>2031</x:v>
      </x:c>
      <x:c r="F35" s="6" t="str">
        <x:v>customer organizations</x:v>
      </x:c>
      <x:c r="G35" s="6" t="str">
        <x:v>observed</x:v>
      </x:c>
      <x:c r="H35" s="6" t="str">
        <x:v>2026-06-30</x:v>
      </x:c>
      <x:c r="I35" s="6" t="str">
        <x:v>Reported private LTE/5G references, generally projects above €100,000; GSA coverage is incomplete and revised.</x:v>
      </x:c>
      <x:c r="J35" s="6" t="str">
        <x:v>Customer references are not all live sites, unique networks, 5G-only deployments or the entire market. Dates differ within years, database discovery can revise past coverage and small projects are omitted. This series does not justify a precise market CAGR.</x:v>
      </x:c>
      <x:c r="K35" s="6" t="str">
        <x:v>GSA</x:v>
      </x:c>
      <x:c r="L35" s="6" t="str">
        <x:v>https://gsacom.com/paper/private-mobile-networks-september-2026-2/</x:v>
      </x:c>
      <x:c r="M35" s="6" t="str">
        <x:v>2026-09-22</x:v>
      </x:c>
    </x:row>
    <x:row r="36" ht="24" hidden="0" customHeight="1">
      <x:c r="A36" s="12" t="n">
        <x:v>12</x:v>
      </x:c>
      <x:c r="B36" s="6" t="str">
        <x:v>Direct-to-device satellite connectivity</x:v>
      </x:c>
      <x:c r="C36" s="6" t="str">
        <x:v>Countries/regions with Apple Emergency SOS via satellite</x:v>
      </x:c>
      <x:c r="D36" s="12" t="n">
        <x:v>2022</x:v>
      </x:c>
      <x:c r="E36" s="18" t="n">
        <x:v>6</x:v>
      </x:c>
      <x:c r="F36" s="6" t="str">
        <x:v>listed countries/regions</x:v>
      </x:c>
      <x:c r="G36" s="6" t="str">
        <x:v>observed</x:v>
      </x:c>
      <x:c r="H36" s="6" t="str">
        <x:v>2022-12-13</x:v>
      </x:c>
      <x:c r="I36" s="6" t="str">
        <x:v>Apple’s published service availability list; analyst count of listed country/region names.</x:v>
      </x:c>
      <x:c r="J36" s="6" t="str">
        <x:v>One vendor’s geographic service availability; not a population-weighted coverage figure. Device versions, local approvals, sky visibility and geographic conditions apply. Territorial inclusions are not counted as additional countries. No unsupported 2024/2025 country values are interpolated.</x:v>
      </x:c>
      <x:c r="K36" s="6" t="str">
        <x:v>Apple</x:v>
      </x:c>
      <x:c r="L36" s="6" t="str">
        <x:v>https://www.apple.com/uk/newsroom/2022/12/emergency-sos-via-satellite-available-in-france-germany-ireland-and-the-uk/</x:v>
      </x:c>
      <x:c r="M36" s="6" t="str">
        <x:v>2022-12-13</x:v>
      </x:c>
    </x:row>
    <x:row r="37" ht="24" hidden="0" customHeight="1">
      <x:c r="A37" s="12" t="n">
        <x:v>12</x:v>
      </x:c>
      <x:c r="B37" s="6" t="str">
        <x:v>Direct-to-device satellite connectivity</x:v>
      </x:c>
      <x:c r="C37" s="6" t="str">
        <x:v>Countries/regions with Apple Emergency SOS via satellite</x:v>
      </x:c>
      <x:c r="D37" s="12" t="n">
        <x:v>2023</x:v>
      </x:c>
      <x:c r="E37" s="18" t="n">
        <x:v>16</x:v>
      </x:c>
      <x:c r="F37" s="6" t="str">
        <x:v>listed countries/regions</x:v>
      </x:c>
      <x:c r="G37" s="6" t="str">
        <x:v>observed</x:v>
      </x:c>
      <x:c r="H37" s="6" t="str">
        <x:v>2023-11-15</x:v>
      </x:c>
      <x:c r="I37" s="6" t="str">
        <x:v>Apple’s published service availability list; analyst count of listed country/region names.</x:v>
      </x:c>
      <x:c r="J37" s="6" t="str">
        <x:v>One vendor’s geographic service availability; not a population-weighted coverage figure. Device versions, local approvals, sky visibility and geographic conditions apply. Territorial inclusions are not counted as additional countries. No unsupported 2024/2025 country values are interpolated.</x:v>
      </x:c>
      <x:c r="K37" s="6" t="str">
        <x:v>Apple</x:v>
      </x:c>
      <x:c r="L37" s="6" t="str">
        <x:v>https://www.apple.com/newsroom/2023/11/apple-extends-emergency-sos-via-satellite-for-an-additional-free-year/</x:v>
      </x:c>
      <x:c r="M37" s="6" t="str">
        <x:v>2023-11-15</x:v>
      </x:c>
    </x:row>
    <x:row r="38" ht="24" hidden="0" customHeight="1">
      <x:c r="A38" s="12" t="n">
        <x:v>12</x:v>
      </x:c>
      <x:c r="B38" s="6" t="str">
        <x:v>Direct-to-device satellite connectivity</x:v>
      </x:c>
      <x:c r="C38" s="6" t="str">
        <x:v>Countries/regions with Apple Emergency SOS via satellite</x:v>
      </x:c>
      <x:c r="D38" s="12" t="n">
        <x:v>2026</x:v>
      </x:c>
      <x:c r="E38" s="18" t="n">
        <x:v>21</x:v>
      </x:c>
      <x:c r="F38" s="6" t="str">
        <x:v>listed countries/regions</x:v>
      </x:c>
      <x:c r="G38" s="6" t="str">
        <x:v>observed</x:v>
      </x:c>
      <x:c r="H38" s="6" t="str">
        <x:v>2026-10-05</x:v>
      </x:c>
      <x:c r="I38" s="6" t="str">
        <x:v>Apple’s published service availability list; analyst count of listed country/region names.</x:v>
      </x:c>
      <x:c r="J38" s="6" t="str">
        <x:v>One vendor’s geographic service availability; not a population-weighted coverage figure. Device versions, local approvals, sky visibility and geographic conditions apply. Territorial inclusions are not counted as additional countries. No unsupported 2024/2025 country values are interpolated.</x:v>
      </x:c>
      <x:c r="K38" s="6" t="str">
        <x:v>Apple Support</x:v>
      </x:c>
      <x:c r="L38" s="6" t="str">
        <x:v>https://support.apple.com/en-us/101573</x:v>
      </x:c>
      <x:c r="M38" s="6" t="str">
        <x:v>2026-10-05</x:v>
      </x:c>
    </x:row>
    <x:row r="39" ht="24" hidden="0" customHeight="1">
      <x:c r="A39" s="12" t="n">
        <x:v>13</x:v>
      </x:c>
      <x:c r="B39" s="6" t="str">
        <x:v>Industrial IoT and predictive maintenance</x:v>
      </x:c>
      <x:c r="C39" s="6" t="str">
        <x:v>Connected IoT devices worldwide — adjacent infrastructure proxy</x:v>
      </x:c>
      <x:c r="D39" s="12" t="n">
        <x:v>2024</x:v>
      </x:c>
      <x:c r="E39" s="20" t="n">
        <x:v>18.5</x:v>
      </x:c>
      <x:c r="F39" s="6" t="str">
        <x:v>billion connected devices</x:v>
      </x:c>
      <x:c r="G39" s="6" t="str">
        <x:v>observed</x:v>
      </x:c>
      <x:c r="H39" s="6" t="str">
        <x:v>2024-12-31</x:v>
      </x:c>
      <x:c r="I39" s="6" t="str">
        <x:v>IoT Analytics estimates for all IoT, including industrial and nonindustrial devices.</x:v>
      </x:c>
      <x:c r="J39" s="6" t="str">
        <x:v>Research estimates rather than a device census. The 2024 value is a revised estimate, not the earlier 18.8 billion forecast. The denominator includes consumer and nonindustrial IoT, so this is an enabling-infrastructure proxy, not predictive-maintenance adoption.</x:v>
      </x:c>
      <x:c r="K39" s="6" t="str">
        <x:v>IoT Analytics</x:v>
      </x:c>
      <x:c r="L39" s="6" t="str">
        <x:v>https://iot-analytics.com/number-connected-iot-devices/</x:v>
      </x:c>
      <x:c r="M39" s="6" t="str">
        <x:v>2025-10</x:v>
      </x:c>
    </x:row>
    <x:row r="40" ht="24" hidden="0" customHeight="1">
      <x:c r="A40" s="12" t="n">
        <x:v>13</x:v>
      </x:c>
      <x:c r="B40" s="6" t="str">
        <x:v>Industrial IoT and predictive maintenance</x:v>
      </x:c>
      <x:c r="C40" s="6" t="str">
        <x:v>Connected IoT devices worldwide — adjacent infrastructure proxy</x:v>
      </x:c>
      <x:c r="D40" s="12" t="n">
        <x:v>2025</x:v>
      </x:c>
      <x:c r="E40" s="20" t="n">
        <x:v>21.1</x:v>
      </x:c>
      <x:c r="F40" s="6" t="str">
        <x:v>billion connected devices</x:v>
      </x:c>
      <x:c r="G40" s="6" t="str">
        <x:v>observed</x:v>
      </x:c>
      <x:c r="H40" s="6" t="str">
        <x:v>2025-12-31</x:v>
      </x:c>
      <x:c r="I40" s="6" t="str">
        <x:v>IoT Analytics estimates for all IoT, including industrial and nonindustrial devices.</x:v>
      </x:c>
      <x:c r="J40" s="6" t="str">
        <x:v>Research estimates rather than a device census. The 2024 value is a revised estimate, not the earlier 18.8 billion forecast. The denominator includes consumer and nonindustrial IoT, so this is an enabling-infrastructure proxy, not predictive-maintenance adoption.</x:v>
      </x:c>
      <x:c r="K40" s="6" t="str">
        <x:v>IoT Analytics</x:v>
      </x:c>
      <x:c r="L40" s="6" t="str">
        <x:v>https://iot-analytics.com/state-of-enterprise-iot-from-iot-autonomous-connected-operations/</x:v>
      </x:c>
      <x:c r="M40" s="6" t="str">
        <x:v>2026-02-04</x:v>
      </x:c>
    </x:row>
    <x:row r="41" ht="24" hidden="0" customHeight="1">
      <x:c r="A41" s="12" t="n">
        <x:v>13</x:v>
      </x:c>
      <x:c r="B41" s="6" t="str">
        <x:v>Industrial IoT and predictive maintenance</x:v>
      </x:c>
      <x:c r="C41" s="6" t="str">
        <x:v>Connected IoT devices worldwide — adjacent infrastructure proxy</x:v>
      </x:c>
      <x:c r="D41" s="12" t="n">
        <x:v>2030</x:v>
      </x:c>
      <x:c r="E41" s="18" t="n">
        <x:v>39</x:v>
      </x:c>
      <x:c r="F41" s="6" t="str">
        <x:v>billion connected devices</x:v>
      </x:c>
      <x:c r="G41" s="6" t="str">
        <x:v>external forecast</x:v>
      </x:c>
      <x:c r="H41" s="6" t="str"/>
      <x:c r="I41" s="6" t="str">
        <x:v>IoT Analytics estimates for all IoT, including industrial and nonindustrial devices.</x:v>
      </x:c>
      <x:c r="J41" s="6" t="str">
        <x:v>Research estimates rather than a device census. The 2024 value is a revised estimate, not the earlier 18.8 billion forecast. The denominator includes consumer and nonindustrial IoT, so this is an enabling-infrastructure proxy, not predictive-maintenance adoption.</x:v>
      </x:c>
      <x:c r="K41" s="6" t="str">
        <x:v>IoT Analytics</x:v>
      </x:c>
      <x:c r="L41" s="6" t="str">
        <x:v>https://iot-analytics.com/number-connected-iot-devices/</x:v>
      </x:c>
      <x:c r="M41" s="6" t="str">
        <x:v>2025-10</x:v>
      </x:c>
    </x:row>
    <x:row r="42" ht="24" hidden="0" customHeight="1">
      <x:c r="A42" s="12" t="n">
        <x:v>13</x:v>
      </x:c>
      <x:c r="B42" s="6" t="str">
        <x:v>Industrial IoT and predictive maintenance</x:v>
      </x:c>
      <x:c r="C42" s="6" t="str">
        <x:v>Connected IoT devices worldwide — adjacent infrastructure proxy</x:v>
      </x:c>
      <x:c r="D42" s="12" t="n">
        <x:v>2035</x:v>
      </x:c>
      <x:c r="E42" s="19" t="n">
        <x:v>50</x:v>
      </x:c>
      <x:c r="F42" s="6" t="str">
        <x:v>billion connected devices</x:v>
      </x:c>
      <x:c r="G42" s="6" t="str">
        <x:v>external forecast</x:v>
      </x:c>
      <x:c r="H42" s="6" t="str"/>
      <x:c r="I42" s="6" t="str">
        <x:v>IoT Analytics estimates for all IoT, including industrial and nonindustrial devices.</x:v>
      </x:c>
      <x:c r="J42" s="6" t="str">
        <x:v>Reported value qualifier: &gt; (retain this when interpreting the number). Research estimates rather than a device census. The 2024 value is a revised estimate, not the earlier 18.8 billion forecast. The denominator includes consumer and nonindustrial IoT, so this is an enabling-infrastructure proxy, not predictive-maintenance adoption.</x:v>
      </x:c>
      <x:c r="K42" s="6" t="str">
        <x:v>IoT Analytics</x:v>
      </x:c>
      <x:c r="L42" s="6" t="str">
        <x:v>https://iot-analytics.com/number-connected-iot-devices/</x:v>
      </x:c>
      <x:c r="M42" s="6" t="str">
        <x:v>2025-10</x:v>
      </x:c>
    </x:row>
    <x:row r="43" ht="24" hidden="0" customHeight="1">
      <x:c r="A43" s="12" t="n">
        <x:v>14</x:v>
      </x:c>
      <x:c r="B43" s="6" t="str">
        <x:v>Industrial digital twins</x:v>
      </x:c>
      <x:c r="C43" s="6" t="str">
        <x:v>Global Lighthouse Network sites — adjacent Industry 4.0 proxy</x:v>
      </x:c>
      <x:c r="D43" s="12" t="n">
        <x:v>2021</x:v>
      </x:c>
      <x:c r="E43" s="18" t="n">
        <x:v>90</x:v>
      </x:c>
      <x:c r="F43" s="6" t="str">
        <x:v>recognized sites</x:v>
      </x:c>
      <x:c r="G43" s="6" t="str">
        <x:v>observed</x:v>
      </x:c>
      <x:c r="H43" s="6" t="str">
        <x:v>2021-09-27</x:v>
      </x:c>
      <x:c r="I43" s="6" t="str">
        <x:v>WEF-selected advanced-manufacturing lighthouses; a recognition network, not all digital-twin deployments.</x:v>
      </x:c>
      <x:c r="J43" s="6" t="str">
        <x:v>Selective recognition of many Industry 4.0 technologies. Not every site uses a digital twin, and many unrecognized sites do. Selection pace and dates differ; no market-size or adoption-rate CAGR should be inferred.</x:v>
      </x:c>
      <x:c r="K43" s="6" t="str">
        <x:v>World Economic Forum</x:v>
      </x:c>
      <x:c r="L43" s="6" t="str">
        <x:v>https://www.weforum.org/stories/2021/10/lighthouses-sustainability-manufacturing-4ir-technologies/</x:v>
      </x:c>
      <x:c r="M43" s="6" t="str">
        <x:v>2021-10</x:v>
      </x:c>
    </x:row>
    <x:row r="44" ht="24" hidden="0" customHeight="1">
      <x:c r="A44" s="12" t="n">
        <x:v>14</x:v>
      </x:c>
      <x:c r="B44" s="6" t="str">
        <x:v>Industrial digital twins</x:v>
      </x:c>
      <x:c r="C44" s="6" t="str">
        <x:v>Global Lighthouse Network sites — adjacent Industry 4.0 proxy</x:v>
      </x:c>
      <x:c r="D44" s="12" t="n">
        <x:v>2023</x:v>
      </x:c>
      <x:c r="E44" s="18" t="n">
        <x:v>132</x:v>
      </x:c>
      <x:c r="F44" s="6" t="str">
        <x:v>recognized sites</x:v>
      </x:c>
      <x:c r="G44" s="6" t="str">
        <x:v>observed</x:v>
      </x:c>
      <x:c r="H44" s="6" t="str"/>
      <x:c r="I44" s="6" t="str">
        <x:v>WEF-selected advanced-manufacturing lighthouses; a recognition network, not all digital-twin deployments.</x:v>
      </x:c>
      <x:c r="J44" s="6" t="str">
        <x:v>Selective recognition of many Industry 4.0 technologies. Not every site uses a digital twin, and many unrecognized sites do. Selection pace and dates differ; no market-size or adoption-rate CAGR should be inferred.</x:v>
      </x:c>
      <x:c r="K44" s="6" t="str">
        <x:v>World Economic Forum</x:v>
      </x:c>
      <x:c r="L44" s="6" t="str">
        <x:v>https://www.weforum.org/publications/annual-report-2022-2023/in-full/our-centres/</x:v>
      </x:c>
      <x:c r="M44" s="6" t="str">
        <x:v>2023</x:v>
      </x:c>
    </x:row>
    <x:row r="45" ht="24" hidden="0" customHeight="1">
      <x:c r="A45" s="12" t="n">
        <x:v>14</x:v>
      </x:c>
      <x:c r="B45" s="6" t="str">
        <x:v>Industrial digital twins</x:v>
      </x:c>
      <x:c r="C45" s="6" t="str">
        <x:v>Global Lighthouse Network sites — adjacent Industry 4.0 proxy</x:v>
      </x:c>
      <x:c r="D45" s="12" t="n">
        <x:v>2025</x:v>
      </x:c>
      <x:c r="E45" s="18" t="n">
        <x:v>189</x:v>
      </x:c>
      <x:c r="F45" s="6" t="str">
        <x:v>recognized sites</x:v>
      </x:c>
      <x:c r="G45" s="6" t="str">
        <x:v>observed</x:v>
      </x:c>
      <x:c r="H45" s="6" t="str">
        <x:v>2025-01-14</x:v>
      </x:c>
      <x:c r="I45" s="6" t="str">
        <x:v>WEF-selected advanced-manufacturing lighthouses; a recognition network, not all digital-twin deployments.</x:v>
      </x:c>
      <x:c r="J45" s="6" t="str">
        <x:v>Selective recognition of many Industry 4.0 technologies. Not every site uses a digital twin, and many unrecognized sites do. Selection pace and dates differ; no market-size or adoption-rate CAGR should be inferred.</x:v>
      </x:c>
      <x:c r="K45" s="6" t="str">
        <x:v>World Economic Forum</x:v>
      </x:c>
      <x:c r="L45" s="6" t="str">
        <x:v>https://www.weforum.org/media/global-lighthouse-network-2025-world-economic-forum-recognizes-companies-transforming-manufacturing-through-innovation/</x:v>
      </x:c>
      <x:c r="M45" s="6" t="str">
        <x:v>2025-01-14</x:v>
      </x:c>
    </x:row>
    <x:row r="46" ht="24" hidden="0" customHeight="1">
      <x:c r="A46" s="12" t="n">
        <x:v>14</x:v>
      </x:c>
      <x:c r="B46" s="6" t="str">
        <x:v>Industrial digital twins</x:v>
      </x:c>
      <x:c r="C46" s="6" t="str">
        <x:v>Global Lighthouse Network sites — adjacent Industry 4.0 proxy</x:v>
      </x:c>
      <x:c r="D46" s="12" t="n">
        <x:v>2026</x:v>
      </x:c>
      <x:c r="E46" s="18" t="n">
        <x:v>223</x:v>
      </x:c>
      <x:c r="F46" s="6" t="str">
        <x:v>recognized sites</x:v>
      </x:c>
      <x:c r="G46" s="6" t="str">
        <x:v>observed</x:v>
      </x:c>
      <x:c r="H46" s="6" t="str">
        <x:v>2026-01-15</x:v>
      </x:c>
      <x:c r="I46" s="6" t="str">
        <x:v>WEF-selected advanced-manufacturing lighthouses; a recognition network, not all digital-twin deployments.</x:v>
      </x:c>
      <x:c r="J46" s="6" t="str">
        <x:v>Selective recognition of many Industry 4.0 technologies. Not every site uses a digital twin, and many unrecognized sites do. Selection pace and dates differ; no market-size or adoption-rate CAGR should be inferred.</x:v>
      </x:c>
      <x:c r="K46" s="6" t="str">
        <x:v>World Economic Forum</x:v>
      </x:c>
      <x:c r="L46" s="6" t="str">
        <x:v>https://www.weforum.org/publications/global-lighthouse-network-rewiring-operations-for-resilience-and-impact-at-scale/</x:v>
      </x:c>
      <x:c r="M46" s="6" t="str">
        <x:v>2026-01-15</x:v>
      </x:c>
    </x:row>
    <x:row r="47" ht="24" hidden="0" customHeight="1">
      <x:c r="A47" s="12" t="n">
        <x:v>15</x:v>
      </x:c>
      <x:c r="B47" s="6" t="str">
        <x:v>Enterprise spatial computing</x:v>
      </x:c>
      <x:c r="C47" s="6" t="str">
        <x:v>Meta Reality Labs revenue — adjacent hardware/platform proxy</x:v>
      </x:c>
      <x:c r="D47" s="12" t="n">
        <x:v>2023</x:v>
      </x:c>
      <x:c r="E47" s="18" t="n">
        <x:v>1896</x:v>
      </x:c>
      <x:c r="F47" s="6" t="str">
        <x:v>US$ million per calendar year</x:v>
      </x:c>
      <x:c r="G47" s="6" t="str">
        <x:v>observed</x:v>
      </x:c>
      <x:c r="H47" s="6" t="str"/>
      <x:c r="I47" s="6" t="str">
        <x:v>Meta’s Reality Labs segment, including consumer AR/VR hardware, software and other products.</x:v>
      </x:c>
      <x:c r="J47" s="6" t="str">
        <x:v>Predominantly a consumer-platform measure, not enterprise spatial-computing adoption. Product mix shifts toward wearables complicate interpretation. Modest segment growth does not establish headset shipment growth or profitable business models. No invented 2026 annual result is included.</x:v>
      </x:c>
      <x:c r="K47" s="6" t="str">
        <x:v>Meta / SEC</x:v>
      </x:c>
      <x:c r="L47" s="6" t="str">
        <x:v>https://www.sec.gov/Archives/edgar/data/1326801/000162828026003942/R11.htm</x:v>
      </x:c>
      <x:c r="M47" s="6" t="str">
        <x:v>2026-01-29</x:v>
      </x:c>
    </x:row>
    <x:row r="48" ht="24" hidden="0" customHeight="1">
      <x:c r="A48" s="12" t="n">
        <x:v>15</x:v>
      </x:c>
      <x:c r="B48" s="6" t="str">
        <x:v>Enterprise spatial computing</x:v>
      </x:c>
      <x:c r="C48" s="6" t="str">
        <x:v>Meta Reality Labs revenue — adjacent hardware/platform proxy</x:v>
      </x:c>
      <x:c r="D48" s="12" t="n">
        <x:v>2024</x:v>
      </x:c>
      <x:c r="E48" s="18" t="n">
        <x:v>2146</x:v>
      </x:c>
      <x:c r="F48" s="6" t="str">
        <x:v>US$ million per calendar year</x:v>
      </x:c>
      <x:c r="G48" s="6" t="str">
        <x:v>observed</x:v>
      </x:c>
      <x:c r="H48" s="6" t="str"/>
      <x:c r="I48" s="6" t="str">
        <x:v>Meta’s Reality Labs segment, including consumer AR/VR hardware, software and other products.</x:v>
      </x:c>
      <x:c r="J48" s="6" t="str">
        <x:v>Predominantly a consumer-platform measure, not enterprise spatial-computing adoption. Product mix shifts toward wearables complicate interpretation. Modest segment growth does not establish headset shipment growth or profitable business models. No invented 2026 annual result is included.</x:v>
      </x:c>
      <x:c r="K48" s="6" t="str">
        <x:v>Meta / SEC</x:v>
      </x:c>
      <x:c r="L48" s="6" t="str">
        <x:v>https://www.sec.gov/Archives/edgar/data/1326801/000162828026003942/R11.htm</x:v>
      </x:c>
      <x:c r="M48" s="6" t="str">
        <x:v>2026-01-29</x:v>
      </x:c>
    </x:row>
    <x:row r="49" ht="24" hidden="0" customHeight="1">
      <x:c r="A49" s="12" t="n">
        <x:v>15</x:v>
      </x:c>
      <x:c r="B49" s="6" t="str">
        <x:v>Enterprise spatial computing</x:v>
      </x:c>
      <x:c r="C49" s="6" t="str">
        <x:v>Meta Reality Labs revenue — adjacent hardware/platform proxy</x:v>
      </x:c>
      <x:c r="D49" s="12" t="n">
        <x:v>2025</x:v>
      </x:c>
      <x:c r="E49" s="18" t="n">
        <x:v>2207</x:v>
      </x:c>
      <x:c r="F49" s="6" t="str">
        <x:v>US$ million per calendar year</x:v>
      </x:c>
      <x:c r="G49" s="6" t="str">
        <x:v>observed</x:v>
      </x:c>
      <x:c r="H49" s="6" t="str"/>
      <x:c r="I49" s="6" t="str">
        <x:v>Meta’s Reality Labs segment, including consumer AR/VR hardware, software and other products.</x:v>
      </x:c>
      <x:c r="J49" s="6" t="str">
        <x:v>Predominantly a consumer-platform measure, not enterprise spatial-computing adoption. Product mix shifts toward wearables complicate interpretation. Modest segment growth does not establish headset shipment growth or profitable business models. No invented 2026 annual result is included.</x:v>
      </x:c>
      <x:c r="K49" s="6" t="str">
        <x:v>Meta / SEC</x:v>
      </x:c>
      <x:c r="L49" s="6" t="str">
        <x:v>https://www.sec.gov/Archives/edgar/data/1326801/000162828026003942/R11.htm</x:v>
      </x:c>
      <x:c r="M49" s="6" t="str">
        <x:v>2026-01-29</x:v>
      </x:c>
    </x:row>
    <x:row r="50" ht="24" hidden="0" customHeight="1">
      <x:c r="A50" s="12" t="n">
        <x:v>16</x:v>
      </x:c>
      <x:c r="B50" s="6" t="str">
        <x:v>Collaborative robots and autonomous mobile robots</x:v>
      </x:c>
      <x:c r="C50" s="6" t="str">
        <x:v>Amazon disclosed robot fleet — company scale proxy</x:v>
      </x:c>
      <x:c r="D50" s="12" t="n">
        <x:v>2021</x:v>
      </x:c>
      <x:c r="E50" s="19" t="n">
        <x:v>350</x:v>
      </x:c>
      <x:c r="F50" s="6" t="str">
        <x:v>thousand robots / drive units</x:v>
      </x:c>
      <x:c r="G50" s="6" t="str">
        <x:v>observed</x:v>
      </x:c>
      <x:c r="H50" s="6" t="str"/>
      <x:c r="I50" s="6" t="str">
        <x:v>Amazon operations; company categories broaden over time.</x:v>
      </x:c>
      <x:c r="J50" s="6" t="str">
        <x:v>Reported value qualifier: &gt; (retain this when interpreting the number). One highly automated operator, not the global AMR or cobot installed base. Definitions change from drive units to mobile robots to all robots, so no growth percentage or CAGR is calculated. Fleet size is not equivalent to labor savings or productive hours.</x:v>
      </x:c>
      <x:c r="K50" s="6" t="str">
        <x:v>Amazon</x:v>
      </x:c>
      <x:c r="L50" s="6" t="str">
        <x:v>https://press.aboutamazon.com/uk/2021/5/amazon-operations-unveils-european-innovation-lab-developing-new-technologies-that-enhance-employee-safety-and-wellbeing</x:v>
      </x:c>
      <x:c r="M50" s="6" t="str">
        <x:v>2021-05-20</x:v>
      </x:c>
    </x:row>
    <x:row r="51" ht="24" hidden="0" customHeight="1">
      <x:c r="A51" s="12" t="n">
        <x:v>16</x:v>
      </x:c>
      <x:c r="B51" s="6" t="str">
        <x:v>Collaborative robots and autonomous mobile robots</x:v>
      </x:c>
      <x:c r="C51" s="6" t="str">
        <x:v>Amazon disclosed robot fleet — company scale proxy</x:v>
      </x:c>
      <x:c r="D51" s="12" t="n">
        <x:v>2022</x:v>
      </x:c>
      <x:c r="E51" s="19" t="n">
        <x:v>520</x:v>
      </x:c>
      <x:c r="F51" s="6" t="str">
        <x:v>thousand robots / drive units</x:v>
      </x:c>
      <x:c r="G51" s="6" t="str">
        <x:v>observed</x:v>
      </x:c>
      <x:c r="H51" s="6" t="str"/>
      <x:c r="I51" s="6" t="str">
        <x:v>Amazon operations; company categories broaden over time.</x:v>
      </x:c>
      <x:c r="J51" s="6" t="str">
        <x:v>Reported value qualifier: &gt; (retain this when interpreting the number). One highly automated operator, not the global AMR or cobot installed base. Definitions change from drive units to mobile robots to all robots, so no growth percentage or CAGR is calculated. Fleet size is not equivalent to labor savings or productive hours.</x:v>
      </x:c>
      <x:c r="K51" s="6" t="str">
        <x:v>Amazon</x:v>
      </x:c>
      <x:c r="L51" s="6" t="str">
        <x:v>https://www.aboutamazon.com/news/operations/10-years-of-amazon-robotics-how-robots-help-sort-packages-move-product-and-improve-safety</x:v>
      </x:c>
      <x:c r="M51" s="6" t="str">
        <x:v>2022-06-21</x:v>
      </x:c>
    </x:row>
    <x:row r="52" ht="24" hidden="0" customHeight="1">
      <x:c r="A52" s="12" t="n">
        <x:v>16</x:v>
      </x:c>
      <x:c r="B52" s="6" t="str">
        <x:v>Collaborative robots and autonomous mobile robots</x:v>
      </x:c>
      <x:c r="C52" s="6" t="str">
        <x:v>Amazon disclosed robot fleet — company scale proxy</x:v>
      </x:c>
      <x:c r="D52" s="12" t="n">
        <x:v>2023</x:v>
      </x:c>
      <x:c r="E52" s="19" t="n">
        <x:v>750</x:v>
      </x:c>
      <x:c r="F52" s="6" t="str">
        <x:v>thousand robots / drive units</x:v>
      </x:c>
      <x:c r="G52" s="6" t="str">
        <x:v>observed</x:v>
      </x:c>
      <x:c r="H52" s="6" t="str"/>
      <x:c r="I52" s="6" t="str">
        <x:v>Amazon operations; company categories broaden over time.</x:v>
      </x:c>
      <x:c r="J52" s="6" t="str">
        <x:v>Reported value qualifier: &gt; (retain this when interpreting the number). One highly automated operator, not the global AMR or cobot installed base. Definitions change from drive units to mobile robots to all robots, so no growth percentage or CAGR is calculated. Fleet size is not equivalent to labor savings or productive hours.</x:v>
      </x:c>
      <x:c r="K52" s="6" t="str">
        <x:v>Amazon</x:v>
      </x:c>
      <x:c r="L52" s="6" t="str">
        <x:v>https://www.aboutamazon.com/news/operations/amazon-hercules-robot</x:v>
      </x:c>
      <x:c r="M52" s="6" t="str">
        <x:v>2023-09-07</x:v>
      </x:c>
    </x:row>
    <x:row r="53" ht="24" hidden="0" customHeight="1">
      <x:c r="A53" s="12" t="n">
        <x:v>16</x:v>
      </x:c>
      <x:c r="B53" s="6" t="str">
        <x:v>Collaborative robots and autonomous mobile robots</x:v>
      </x:c>
      <x:c r="C53" s="6" t="str">
        <x:v>Amazon disclosed robot fleet — company scale proxy</x:v>
      </x:c>
      <x:c r="D53" s="12" t="n">
        <x:v>2025</x:v>
      </x:c>
      <x:c r="E53" s="18" t="n">
        <x:v>1000</x:v>
      </x:c>
      <x:c r="F53" s="6" t="str">
        <x:v>thousand robots / drive units</x:v>
      </x:c>
      <x:c r="G53" s="6" t="str">
        <x:v>observed</x:v>
      </x:c>
      <x:c r="H53" s="6" t="str">
        <x:v>2025-06-30</x:v>
      </x:c>
      <x:c r="I53" s="6" t="str">
        <x:v>Amazon operations; company categories broaden over time.</x:v>
      </x:c>
      <x:c r="J53" s="6" t="str">
        <x:v>One highly automated operator, not the global AMR or cobot installed base. Definitions change from drive units to mobile robots to all robots, so no growth percentage or CAGR is calculated. Fleet size is not equivalent to labor savings or productive hours.</x:v>
      </x:c>
      <x:c r="K53" s="6" t="str">
        <x:v>Amazon</x:v>
      </x:c>
      <x:c r="L53" s="6" t="str">
        <x:v>https://www.aboutamazon.com/news/operations/amazon-million-robots-ai-foundation-model</x:v>
      </x:c>
      <x:c r="M53" s="6" t="str">
        <x:v>2025-06-30</x:v>
      </x:c>
    </x:row>
    <x:row r="54" ht="36" hidden="0" customHeight="1">
      <x:c r="A54" s="12" t="n">
        <x:v>17</x:v>
      </x:c>
      <x:c r="B54" s="6" t="str">
        <x:v>Humanoid robots in structured industrial work</x:v>
      </x:c>
      <x:c r="C54" s="6" t="str">
        <x:v>UBTECH full-size humanoid products and services revenue</x:v>
      </x:c>
      <x:c r="D54" s="12" t="n">
        <x:v>2024</x:v>
      </x:c>
      <x:c r="E54" s="20" t="n">
        <x:v>35.6</x:v>
      </x:c>
      <x:c r="F54" s="6" t="str">
        <x:v>RMB million per calendar year</x:v>
      </x:c>
      <x:c r="G54" s="6" t="str">
        <x:v>observed</x:v>
      </x:c>
      <x:c r="H54" s="6" t="str"/>
      <x:c r="I54" s="6" t="str">
        <x:v>UBTECH’s disclosed full-size embodied-intelligence humanoid business; one supplier.</x:v>
      </x:c>
      <x:c r="J54" s="6" t="str">
        <x:v>Company-specific revenue from a very small base, including products and services. Sales may include research, demonstration or government customers rather than sustained productive industrial use. The 2026 annual result is not yet available; first-half revenue is not substituted. The annual-report PDF was verified via its indexed HKEX filing; direct extraction exceeded retrieval size limits.</x:v>
      </x:c>
      <x:c r="K54" s="6" t="str">
        <x:v>UBTECH / HKEX</x:v>
      </x:c>
      <x:c r="L54" s="6" t="str">
        <x:v>https://www.hkexnews.hk/listedco/listconews/sehk/2026/0414/2026041401168.pdf</x:v>
      </x:c>
      <x:c r="M54" s="6" t="str">
        <x:v>2026-04-14</x:v>
      </x:c>
    </x:row>
    <x:row r="55" ht="36" hidden="0" customHeight="1">
      <x:c r="A55" s="12" t="n">
        <x:v>17</x:v>
      </x:c>
      <x:c r="B55" s="6" t="str">
        <x:v>Humanoid robots in structured industrial work</x:v>
      </x:c>
      <x:c r="C55" s="6" t="str">
        <x:v>UBTECH full-size humanoid products and services revenue</x:v>
      </x:c>
      <x:c r="D55" s="12" t="n">
        <x:v>2025</x:v>
      </x:c>
      <x:c r="E55" s="20" t="n">
        <x:v>820.6</x:v>
      </x:c>
      <x:c r="F55" s="6" t="str">
        <x:v>RMB million per calendar year</x:v>
      </x:c>
      <x:c r="G55" s="6" t="str">
        <x:v>observed</x:v>
      </x:c>
      <x:c r="H55" s="6" t="str"/>
      <x:c r="I55" s="6" t="str">
        <x:v>UBTECH’s disclosed full-size embodied-intelligence humanoid business; one supplier.</x:v>
      </x:c>
      <x:c r="J55" s="6" t="str">
        <x:v>Company-specific revenue from a very small base, including products and services. Sales may include research, demonstration or government customers rather than sustained productive industrial use. The 2026 annual result is not yet available; first-half revenue is not substituted. The annual-report PDF was verified via its indexed HKEX filing; direct extraction exceeded retrieval size limits.</x:v>
      </x:c>
      <x:c r="K55" s="6" t="str">
        <x:v>UBTECH / HKEX</x:v>
      </x:c>
      <x:c r="L55" s="6" t="str">
        <x:v>https://www.hkexnews.hk/listedco/listconews/sehk/2026/0414/2026041401168.pdf</x:v>
      </x:c>
      <x:c r="M55" s="6" t="str">
        <x:v>2026-04-14</x:v>
      </x:c>
    </x:row>
    <x:row r="56" ht="15" hidden="0" customHeight="1">
      <x:c r="A56" s="12" t="n">
        <x:v>17</x:v>
      </x:c>
      <x:c r="B56" s="6" t="str">
        <x:v>Humanoid robots in structured industrial work</x:v>
      </x:c>
      <x:c r="C56" s="6" t="str">
        <x:v>Agility RoboFab designed annual capacity</x:v>
      </x:c>
      <x:c r="D56" s="12" t="n">
        <x:v>2026</x:v>
      </x:c>
      <x:c r="E56" s="18" t="n">
        <x:v>10000</x:v>
      </x:c>
      <x:c r="F56" s="6" t="str">
        <x:v>robots per year</x:v>
      </x:c>
      <x:c r="G56" s="6" t="str">
        <x:v>company target</x:v>
      </x:c>
      <x:c r="H56" s="6" t="str"/>
      <x:c r="I56" s="6" t="str">
        <x:v>Factory design capacity at full utilization</x:v>
      </x:c>
      <x:c r="J56" s="6" t="str">
        <x:v>A designed capacity ceiling disclosed in September 2026, not robots produced, shipped or sold. No date for reaching full utilization is assumed.</x:v>
      </x:c>
      <x:c r="K56" s="6" t="str">
        <x:v>Agility Robotics</x:v>
      </x:c>
      <x:c r="L56" s="6" t="str">
        <x:v>https://www.agilityrobotics.com/content/agility-unveils-digit-5-humanoid-robot-built-for-cooperatively-safe-work-at-scale</x:v>
      </x:c>
      <x:c r="M56" s="6" t="str">
        <x:v>2026-09-15</x:v>
      </x:c>
    </x:row>
    <x:row r="57" ht="24" hidden="0" customHeight="1">
      <x:c r="A57" s="12" t="n">
        <x:v>18</x:v>
      </x:c>
      <x:c r="B57" s="6" t="str">
        <x:v>Robotaxis and autonomous driving</x:v>
      </x:c>
      <x:c r="C57" s="6" t="str">
        <x:v>Waymo weekly fully autonomous trips</x:v>
      </x:c>
      <x:c r="D57" s="12" t="n">
        <x:v>2023</x:v>
      </x:c>
      <x:c r="E57" s="22" t="n">
        <x:v>10000</x:v>
      </x:c>
      <x:c r="F57" s="6" t="str">
        <x:v>trips per week</x:v>
      </x:c>
      <x:c r="G57" s="6" t="str">
        <x:v>observed</x:v>
      </x:c>
      <x:c r="H57" s="6" t="str"/>
      <x:c r="I57" s="6" t="str">
        <x:v>One operator, served markets; company-reported lower-bound snapshots</x:v>
      </x:c>
      <x:c r="J57" s="6" t="str">
        <x:v>Reported value qualifier: ≥ (retain this when interpreting the number). These are lower-bound weekly snapshots, not annual totals or global robotaxi adoption. Service territory expands between observations. The 2026 point is current to the source, not a full-year average.</x:v>
      </x:c>
      <x:c r="K57" s="6" t="str">
        <x:v>Waymo</x:v>
      </x:c>
      <x:c r="L57" s="6" t="str">
        <x:v>https://waymo-blog.blogspot.com/2023/08/waymos-next-chapter-in-san-francisco.html</x:v>
      </x:c>
      <x:c r="M57" s="6" t="str">
        <x:v>2023-08-10</x:v>
      </x:c>
    </x:row>
    <x:row r="58" ht="24" hidden="0" customHeight="1">
      <x:c r="A58" s="12" t="n">
        <x:v>18</x:v>
      </x:c>
      <x:c r="B58" s="6" t="str">
        <x:v>Robotaxis and autonomous driving</x:v>
      </x:c>
      <x:c r="C58" s="6" t="str">
        <x:v>Waymo weekly fully autonomous trips</x:v>
      </x:c>
      <x:c r="D58" s="12" t="n">
        <x:v>2024</x:v>
      </x:c>
      <x:c r="E58" s="22" t="n">
        <x:v>150000</x:v>
      </x:c>
      <x:c r="F58" s="6" t="str">
        <x:v>trips per week</x:v>
      </x:c>
      <x:c r="G58" s="6" t="str">
        <x:v>observed</x:v>
      </x:c>
      <x:c r="H58" s="6" t="str"/>
      <x:c r="I58" s="6" t="str">
        <x:v>One operator, served markets; company-reported lower-bound snapshots</x:v>
      </x:c>
      <x:c r="J58" s="6" t="str">
        <x:v>Reported value qualifier: ≥ (retain this when interpreting the number). These are lower-bound weekly snapshots, not annual totals or global robotaxi adoption. Service territory expands between observations. The 2026 point is current to the source, not a full-year average.</x:v>
      </x:c>
      <x:c r="K58" s="6" t="str">
        <x:v>Waymo</x:v>
      </x:c>
      <x:c r="L58" s="6" t="str">
        <x:v>https://waymo.com/blog/2024/12/year-in-review-2024/</x:v>
      </x:c>
      <x:c r="M58" s="6" t="str">
        <x:v>2024-12-18</x:v>
      </x:c>
    </x:row>
    <x:row r="59" ht="24" hidden="0" customHeight="1">
      <x:c r="A59" s="12" t="n">
        <x:v>18</x:v>
      </x:c>
      <x:c r="B59" s="6" t="str">
        <x:v>Robotaxis and autonomous driving</x:v>
      </x:c>
      <x:c r="C59" s="6" t="str">
        <x:v>Waymo weekly fully autonomous trips</x:v>
      </x:c>
      <x:c r="D59" s="12" t="n">
        <x:v>2026</x:v>
      </x:c>
      <x:c r="E59" s="22" t="n">
        <x:v>500000</x:v>
      </x:c>
      <x:c r="F59" s="6" t="str">
        <x:v>trips per week</x:v>
      </x:c>
      <x:c r="G59" s="6" t="str">
        <x:v>observed</x:v>
      </x:c>
      <x:c r="H59" s="6" t="str"/>
      <x:c r="I59" s="6" t="str">
        <x:v>One operator, served markets; company-reported lower-bound snapshots</x:v>
      </x:c>
      <x:c r="J59" s="6" t="str">
        <x:v>Reported value qualifier: ≥ (retain this when interpreting the number). These are lower-bound weekly snapshots, not annual totals or global robotaxi adoption. Service territory expands between observations. The 2026 point is current to the source, not a full-year average.</x:v>
      </x:c>
      <x:c r="K59" s="6" t="str">
        <x:v>Waymo</x:v>
      </x:c>
      <x:c r="L59" s="6" t="str">
        <x:v>https://blog.waymo.com/sustainability/</x:v>
      </x:c>
      <x:c r="M59" s="6" t="str"/>
    </x:row>
    <x:row r="60" ht="15" hidden="0" customHeight="1">
      <x:c r="A60" s="12" t="n">
        <x:v>18</x:v>
      </x:c>
      <x:c r="B60" s="6" t="str">
        <x:v>Robotaxis and autonomous driving</x:v>
      </x:c>
      <x:c r="C60" s="6" t="str">
        <x:v>Waymo weekly trip target</x:v>
      </x:c>
      <x:c r="D60" s="12" t="n">
        <x:v>2026</x:v>
      </x:c>
      <x:c r="E60" s="18" t="n">
        <x:v>1000000</x:v>
      </x:c>
      <x:c r="F60" s="6" t="str">
        <x:v>trips per week</x:v>
      </x:c>
      <x:c r="G60" s="6" t="str">
        <x:v>Company target</x:v>
      </x:c>
      <x:c r="H60" s="6" t="str"/>
      <x:c r="I60" s="6" t="str">
        <x:v>Waymo globally, end-2026 company goal</x:v>
      </x:c>
      <x:c r="J60" s="6" t="str">
        <x:v>Target announced in the December 2025 review; not an achieved run rate, an industry total or a forecast for every city.</x:v>
      </x:c>
      <x:c r="K60" s="6" t="str">
        <x:v>Waymo</x:v>
      </x:c>
      <x:c r="L60" s="6" t="str">
        <x:v>https://waymo.com/blog/2025/12/2025-year-in-review/</x:v>
      </x:c>
      <x:c r="M60" s="6" t="str"/>
    </x:row>
    <x:row r="61" ht="24" hidden="0" customHeight="1">
      <x:c r="A61" s="12" t="n">
        <x:v>19</x:v>
      </x:c>
      <x:c r="B61" s="6" t="str">
        <x:v>Autonomous delivery drones</x:v>
      </x:c>
      <x:c r="C61" s="6" t="str">
        <x:v>Wing cumulative commercial deliveries</x:v>
      </x:c>
      <x:c r="D61" s="12" t="n">
        <x:v>2021</x:v>
      </x:c>
      <x:c r="E61" s="22" t="n">
        <x:v>100000</x:v>
      </x:c>
      <x:c r="F61" s="6" t="str">
        <x:v>deliveries</x:v>
      </x:c>
      <x:c r="G61" s="6" t="str">
        <x:v>observed</x:v>
      </x:c>
      <x:c r="H61" s="6" t="str"/>
      <x:c r="I61" s="6" t="str">
        <x:v>One operator across its operating markets; cumulative company-reported milestones</x:v>
      </x:c>
      <x:c r="J61" s="6" t="str">
        <x:v>Reported value qualifier: ≥ (retain this when interpreting the number). Cumulative totals are not annual deliveries, active users or total market share. Reported milestones are approximate lower bounds and service geography expands. The 2026 value is a June observation.</x:v>
      </x:c>
      <x:c r="K61" s="6" t="str">
        <x:v>Wing</x:v>
      </x:c>
      <x:c r="L61" s="6" t="str">
        <x:v>https://wing.com/news/recent-study-explores-what-drone</x:v>
      </x:c>
      <x:c r="M61" s="6" t="str"/>
    </x:row>
    <x:row r="62" ht="24" hidden="0" customHeight="1">
      <x:c r="A62" s="12" t="n">
        <x:v>19</x:v>
      </x:c>
      <x:c r="B62" s="6" t="str">
        <x:v>Autonomous delivery drones</x:v>
      </x:c>
      <x:c r="C62" s="6" t="str">
        <x:v>Wing cumulative commercial deliveries</x:v>
      </x:c>
      <x:c r="D62" s="12" t="n">
        <x:v>2022</x:v>
      </x:c>
      <x:c r="E62" s="22" t="n">
        <x:v>200000</x:v>
      </x:c>
      <x:c r="F62" s="6" t="str">
        <x:v>deliveries</x:v>
      </x:c>
      <x:c r="G62" s="6" t="str">
        <x:v>observed</x:v>
      </x:c>
      <x:c r="H62" s="6" t="str"/>
      <x:c r="I62" s="6" t="str">
        <x:v>One operator across its operating markets; cumulative company-reported milestones</x:v>
      </x:c>
      <x:c r="J62" s="6" t="str">
        <x:v>Reported value qualifier: ≥ (retain this when interpreting the number). Cumulative totals are not annual deliveries, active users or total market share. Reported milestones are approximate lower bounds and service geography expands. The 2026 value is a June observation.</x:v>
      </x:c>
      <x:c r="K62" s="6" t="str">
        <x:v>Wing</x:v>
      </x:c>
      <x:c r="L62" s="6" t="str">
        <x:v>https://wing.com/news/dispatches-from-australia-supermarket</x:v>
      </x:c>
      <x:c r="M62" s="6" t="str">
        <x:v>2022-03-01</x:v>
      </x:c>
    </x:row>
    <x:row r="63" ht="24" hidden="0" customHeight="1">
      <x:c r="A63" s="12" t="n">
        <x:v>19</x:v>
      </x:c>
      <x:c r="B63" s="6" t="str">
        <x:v>Autonomous delivery drones</x:v>
      </x:c>
      <x:c r="C63" s="6" t="str">
        <x:v>Wing cumulative commercial deliveries</x:v>
      </x:c>
      <x:c r="D63" s="12" t="n">
        <x:v>2026</x:v>
      </x:c>
      <x:c r="E63" s="22" t="n">
        <x:v>1000000</x:v>
      </x:c>
      <x:c r="F63" s="6" t="str">
        <x:v>deliveries</x:v>
      </x:c>
      <x:c r="G63" s="6" t="str">
        <x:v>observed</x:v>
      </x:c>
      <x:c r="H63" s="6" t="str"/>
      <x:c r="I63" s="6" t="str">
        <x:v>One operator across its operating markets; cumulative company-reported milestones</x:v>
      </x:c>
      <x:c r="J63" s="6" t="str">
        <x:v>Reported value qualifier: ≥ (retain this when interpreting the number). Cumulative totals are not annual deliveries, active users or total market share. Reported milestones are approximate lower bounds and service geography expands. The 2026 value is a June observation.</x:v>
      </x:c>
      <x:c r="K63" s="6" t="str">
        <x:v>Wing</x:v>
      </x:c>
      <x:c r="L63" s="6" t="str">
        <x:v>https://wing.com/news/wing-and-walmart-seven-new-markets-drone-delivery</x:v>
      </x:c>
      <x:c r="M63" s="6" t="str">
        <x:v>2026-06-08</x:v>
      </x:c>
    </x:row>
    <x:row r="64" ht="24" hidden="0" customHeight="1">
      <x:c r="A64" s="12" t="n">
        <x:v>19</x:v>
      </x:c>
      <x:c r="B64" s="6" t="str">
        <x:v>Autonomous delivery drones</x:v>
      </x:c>
      <x:c r="C64" s="6" t="str">
        <x:v>Wing/Walmart delivery-location target</x:v>
      </x:c>
      <x:c r="D64" s="12" t="n">
        <x:v>2027</x:v>
      </x:c>
      <x:c r="E64" s="19" t="n">
        <x:v>270</x:v>
      </x:c>
      <x:c r="F64" s="6" t="str">
        <x:v>locations</x:v>
      </x:c>
      <x:c r="G64" s="6" t="str">
        <x:v>Company expansion plan</x:v>
      </x:c>
      <x:c r="H64" s="6" t="str"/>
      <x:c r="I64" s="6" t="str">
        <x:v>US Walmart locations served by Wing</x:v>
      </x:c>
      <x:c r="J64" s="6" t="str">
        <x:v>Reported value qualifier: &gt; (retain this when interpreting the number). Announced network footprint, not completed sites, deliveries, customers or profitability. October 2026 announcement reconfirmed the plan.</x:v>
      </x:c>
      <x:c r="K64" s="6" t="str">
        <x:v>Wing</x:v>
      </x:c>
      <x:c r="L64" s="6" t="str">
        <x:v>https://wing.com/news/wing-walmart-new-metros-nations-largest-drone-delivery-network</x:v>
      </x:c>
      <x:c r="M64" s="6" t="str">
        <x:v>2026-10-05</x:v>
      </x:c>
    </x:row>
    <x:row r="65" ht="24" hidden="0" customHeight="1">
      <x:c r="A65" s="12" t="n">
        <x:v>20</x:v>
      </x:c>
      <x:c r="B65" s="6" t="str">
        <x:v>Software-defined vehicles</x:v>
      </x:c>
      <x:c r="C65" s="6" t="str">
        <x:v>QNX embedded vehicle installed base</x:v>
      </x:c>
      <x:c r="D65" s="12" t="n">
        <x:v>2021</x:v>
      </x:c>
      <x:c r="E65" s="18" t="n">
        <x:v>195</x:v>
      </x:c>
      <x:c r="F65" s="6" t="str">
        <x:v>million vehicles</x:v>
      </x:c>
      <x:c r="G65" s="6" t="str">
        <x:v>observed</x:v>
      </x:c>
      <x:c r="H65" s="6" t="str"/>
      <x:c r="I65" s="6" t="str">
        <x:v>BlackBerry QNX software in vehicles on the road; foundational software proxy</x:v>
      </x:c>
      <x:c r="J65" s="6" t="str">
        <x:v>Cumulative embedded software base, not a count of fully software-defined vehicles or annual new-vehicle sales. Many older systems have limited updateability. No 2026 incremental total is invented.</x:v>
      </x:c>
      <x:c r="K65" s="6" t="str">
        <x:v>BlackBerry</x:v>
      </x:c>
      <x:c r="L65" s="6" t="str">
        <x:v>https://www.prnewswire.com/news-releases/blackberry-qnx-software-is-now-embedded-in-over-195-million-vehicles-301315834.html</x:v>
      </x:c>
      <x:c r="M65" s="6" t="str">
        <x:v>2021-06-21</x:v>
      </x:c>
    </x:row>
    <x:row r="66" ht="24" hidden="0" customHeight="1">
      <x:c r="A66" s="12" t="n">
        <x:v>20</x:v>
      </x:c>
      <x:c r="B66" s="6" t="str">
        <x:v>Software-defined vehicles</x:v>
      </x:c>
      <x:c r="C66" s="6" t="str">
        <x:v>QNX embedded vehicle installed base</x:v>
      </x:c>
      <x:c r="D66" s="12" t="n">
        <x:v>2025</x:v>
      </x:c>
      <x:c r="E66" s="18" t="n">
        <x:v>275</x:v>
      </x:c>
      <x:c r="F66" s="6" t="str">
        <x:v>million vehicles</x:v>
      </x:c>
      <x:c r="G66" s="6" t="str">
        <x:v>observed</x:v>
      </x:c>
      <x:c r="H66" s="6" t="str"/>
      <x:c r="I66" s="6" t="str">
        <x:v>BlackBerry QNX software in vehicles on the road; foundational software proxy</x:v>
      </x:c>
      <x:c r="J66" s="6" t="str">
        <x:v>Cumulative embedded software base, not a count of fully software-defined vehicles or annual new-vehicle sales. Many older systems have limited updateability. No 2026 incremental total is invented.</x:v>
      </x:c>
      <x:c r="K66" s="6" t="str">
        <x:v>BlackBerry / SEC</x:v>
      </x:c>
      <x:c r="L66" s="6" t="str">
        <x:v>https://www.sec.gov/Archives/edgar/data/1070235/000107023525000196/q3fy26ex-991.htm</x:v>
      </x:c>
      <x:c r="M66" s="6" t="str">
        <x:v>2025-12-18</x:v>
      </x:c>
    </x:row>
    <x:row r="67" ht="24" hidden="0" customHeight="1">
      <x:c r="A67" s="12" t="n">
        <x:v>21</x:v>
      </x:c>
      <x:c r="B67" s="6" t="str">
        <x:v>AI diagnostics and clinical copilots</x:v>
      </x:c>
      <x:c r="C67" s="6" t="str">
        <x:v>Physicians reporting professional AI use in AMA surveys</x:v>
      </x:c>
      <x:c r="D67" s="12" t="n">
        <x:v>2023</x:v>
      </x:c>
      <x:c r="E67" s="18" t="n">
        <x:v>38</x:v>
      </x:c>
      <x:c r="F67" s="6" t="str">
        <x:v>percent of respondents</x:v>
      </x:c>
      <x:c r="G67" s="6" t="str">
        <x:v>observed</x:v>
      </x:c>
      <x:c r="H67" s="6" t="str"/>
      <x:c r="I67" s="6" t="str">
        <x:v>US physician survey; any professional AI use, not autonomous diagnosis</x:v>
      </x:c>
      <x:c r="J67" s="6" t="str">
        <x:v>Different survey waves and respondent samples; the latest value is reported in a March 2026 release. Use includes research, notes and other assistance. Show percentage-point change, not CAGR or population-wide penetration.</x:v>
      </x:c>
      <x:c r="K67" s="6" t="str">
        <x:v>American Medical Association</x:v>
      </x:c>
      <x:c r="L67" s="6" t="str">
        <x:v>https://www.ama-assn.org/press-center/ama-press-releases/ama-ai-usage-among-doctors-doubles-confidence-technology-grows</x:v>
      </x:c>
      <x:c r="M67" s="6" t="str">
        <x:v>2026-03-12</x:v>
      </x:c>
    </x:row>
    <x:row r="68" ht="24" hidden="0" customHeight="1">
      <x:c r="A68" s="12" t="n">
        <x:v>21</x:v>
      </x:c>
      <x:c r="B68" s="6" t="str">
        <x:v>AI diagnostics and clinical copilots</x:v>
      </x:c>
      <x:c r="C68" s="6" t="str">
        <x:v>Physicians reporting professional AI use in AMA surveys</x:v>
      </x:c>
      <x:c r="D68" s="12" t="n">
        <x:v>2024</x:v>
      </x:c>
      <x:c r="E68" s="18" t="n">
        <x:v>66</x:v>
      </x:c>
      <x:c r="F68" s="6" t="str">
        <x:v>percent of respondents</x:v>
      </x:c>
      <x:c r="G68" s="6" t="str">
        <x:v>observed</x:v>
      </x:c>
      <x:c r="H68" s="6" t="str"/>
      <x:c r="I68" s="6" t="str">
        <x:v>US physician survey; any professional AI use, not autonomous diagnosis</x:v>
      </x:c>
      <x:c r="J68" s="6" t="str">
        <x:v>Different survey waves and respondent samples; the latest value is reported in a March 2026 release. Use includes research, notes and other assistance. Show percentage-point change, not CAGR or population-wide penetration.</x:v>
      </x:c>
      <x:c r="K68" s="6" t="str">
        <x:v>American Medical Association</x:v>
      </x:c>
      <x:c r="L68" s="6" t="str">
        <x:v>https://www.ama-assn.org/press-center/ama-press-releases/ama-physician-enthusiasm-grows-health-care-ai</x:v>
      </x:c>
      <x:c r="M68" s="6" t="str"/>
    </x:row>
    <x:row r="69" ht="24" hidden="0" customHeight="1">
      <x:c r="A69" s="12" t="n">
        <x:v>21</x:v>
      </x:c>
      <x:c r="B69" s="6" t="str">
        <x:v>AI diagnostics and clinical copilots</x:v>
      </x:c>
      <x:c r="C69" s="6" t="str">
        <x:v>Physicians reporting professional AI use in AMA surveys</x:v>
      </x:c>
      <x:c r="D69" s="12" t="n">
        <x:v>2026</x:v>
      </x:c>
      <x:c r="E69" s="18" t="n">
        <x:v>81</x:v>
      </x:c>
      <x:c r="F69" s="6" t="str">
        <x:v>percent of respondents</x:v>
      </x:c>
      <x:c r="G69" s="6" t="str">
        <x:v>observed</x:v>
      </x:c>
      <x:c r="H69" s="6" t="str"/>
      <x:c r="I69" s="6" t="str">
        <x:v>US physician survey; any professional AI use, not autonomous diagnosis</x:v>
      </x:c>
      <x:c r="J69" s="6" t="str">
        <x:v>Different survey waves and respondent samples; the latest value is reported in a March 2026 release. Use includes research, notes and other assistance. Show percentage-point change, not CAGR or population-wide penetration.</x:v>
      </x:c>
      <x:c r="K69" s="6" t="str">
        <x:v>American Medical Association</x:v>
      </x:c>
      <x:c r="L69" s="6" t="str">
        <x:v>https://www.ama-assn.org/press-center/ama-press-releases/ama-ai-usage-among-doctors-doubles-confidence-technology-grows</x:v>
      </x:c>
      <x:c r="M69" s="6" t="str">
        <x:v>2026-03-12</x:v>
      </x:c>
    </x:row>
    <x:row r="70" ht="24" hidden="0" customHeight="1">
      <x:c r="A70" s="12" t="n">
        <x:v>22</x:v>
      </x:c>
      <x:c r="B70" s="6" t="str">
        <x:v>Precision oncology and liquid biopsies</x:v>
      </x:c>
      <x:c r="C70" s="6" t="str">
        <x:v>Guardant oncology clinical tests</x:v>
      </x:c>
      <x:c r="D70" s="12" t="n">
        <x:v>2021</x:v>
      </x:c>
      <x:c r="E70" s="23" t="n">
        <x:v>87600</x:v>
      </x:c>
      <x:c r="F70" s="6" t="str">
        <x:v>tests per year</x:v>
      </x:c>
      <x:c r="G70" s="6" t="str">
        <x:v>observed</x:v>
      </x:c>
      <x:c r="H70" s="6" t="str"/>
      <x:c r="I70" s="6" t="str">
        <x:v>Guardant clinical oncology volume; excludes screening and biopharma tests</x:v>
      </x:c>
      <x:c r="J70" s="6" t="str">
        <x:v>Reported value qualifier: ≈ (retain this when interpreting the number). One company’s clinical oncology volume, including products beyond liquid biopsy; not the total sector or unique patients. Annual endpoints are comparable within the disclosed company series. No invented 2026 full-year total.</x:v>
      </x:c>
      <x:c r="K70" s="6" t="str">
        <x:v>Guardant Health</x:v>
      </x:c>
      <x:c r="L70" s="6" t="str">
        <x:v>https://www.sec.gov/Archives/edgar/data/1576280/000157628022000012/gh-12312021xexhibit991.htm</x:v>
      </x:c>
      <x:c r="M70" s="6" t="str">
        <x:v>2022-02-23</x:v>
      </x:c>
    </x:row>
    <x:row r="71" ht="24" hidden="0" customHeight="1">
      <x:c r="A71" s="12" t="n">
        <x:v>22</x:v>
      </x:c>
      <x:c r="B71" s="6" t="str">
        <x:v>Precision oncology and liquid biopsies</x:v>
      </x:c>
      <x:c r="C71" s="6" t="str">
        <x:v>Guardant oncology clinical tests</x:v>
      </x:c>
      <x:c r="D71" s="12" t="n">
        <x:v>2022</x:v>
      </x:c>
      <x:c r="E71" s="23" t="n">
        <x:v>124800</x:v>
      </x:c>
      <x:c r="F71" s="6" t="str">
        <x:v>tests per year</x:v>
      </x:c>
      <x:c r="G71" s="6" t="str">
        <x:v>observed</x:v>
      </x:c>
      <x:c r="H71" s="6" t="str"/>
      <x:c r="I71" s="6" t="str">
        <x:v>Guardant clinical oncology volume; excludes screening and biopharma tests</x:v>
      </x:c>
      <x:c r="J71" s="6" t="str">
        <x:v>Reported value qualifier: ≈ (retain this when interpreting the number). One company’s clinical oncology volume, including products beyond liquid biopsy; not the total sector or unique patients. Annual endpoints are comparable within the disclosed company series. No invented 2026 full-year total.</x:v>
      </x:c>
      <x:c r="K71" s="6" t="str">
        <x:v>Guardant Health</x:v>
      </x:c>
      <x:c r="L71" s="6" t="str">
        <x:v>https://investors.guardanthealth.com/files/doc_financials/2022/ar/ARS-Filing-2022-Annual-Report.pdf</x:v>
      </x:c>
      <x:c r="M71" s="6" t="str"/>
    </x:row>
    <x:row r="72" ht="24" hidden="0" customHeight="1">
      <x:c r="A72" s="12" t="n">
        <x:v>22</x:v>
      </x:c>
      <x:c r="B72" s="6" t="str">
        <x:v>Precision oncology and liquid biopsies</x:v>
      </x:c>
      <x:c r="C72" s="6" t="str">
        <x:v>Guardant oncology clinical tests</x:v>
      </x:c>
      <x:c r="D72" s="12" t="n">
        <x:v>2024</x:v>
      </x:c>
      <x:c r="E72" s="23" t="n">
        <x:v>206700</x:v>
      </x:c>
      <x:c r="F72" s="6" t="str">
        <x:v>tests per year</x:v>
      </x:c>
      <x:c r="G72" s="6" t="str">
        <x:v>observed</x:v>
      </x:c>
      <x:c r="H72" s="6" t="str"/>
      <x:c r="I72" s="6" t="str">
        <x:v>Guardant clinical oncology volume; excludes screening and biopharma tests</x:v>
      </x:c>
      <x:c r="J72" s="6" t="str">
        <x:v>Reported value qualifier: ≈ (retain this when interpreting the number). One company’s clinical oncology volume, including products beyond liquid biopsy; not the total sector or unique patients. Annual endpoints are comparable within the disclosed company series. No invented 2026 full-year total.</x:v>
      </x:c>
      <x:c r="K72" s="6" t="str">
        <x:v>Guardant Health</x:v>
      </x:c>
      <x:c r="L72" s="6" t="str">
        <x:v>https://investors.guardanthealth.com/press-releases/press-releases/2025/Guardant-Health-Reports-Fourth-Quarter-and-Full-Year-2024-Financial-Results-and-Provides-2025-Outlook/default.aspx</x:v>
      </x:c>
      <x:c r="M72" s="6" t="str">
        <x:v>2025-02-20</x:v>
      </x:c>
    </x:row>
    <x:row r="73" ht="24" hidden="0" customHeight="1">
      <x:c r="A73" s="12" t="n">
        <x:v>22</x:v>
      </x:c>
      <x:c r="B73" s="6" t="str">
        <x:v>Precision oncology and liquid biopsies</x:v>
      </x:c>
      <x:c r="C73" s="6" t="str">
        <x:v>Guardant oncology clinical tests</x:v>
      </x:c>
      <x:c r="D73" s="12" t="n">
        <x:v>2025</x:v>
      </x:c>
      <x:c r="E73" s="23" t="n">
        <x:v>276000</x:v>
      </x:c>
      <x:c r="F73" s="6" t="str">
        <x:v>tests per year</x:v>
      </x:c>
      <x:c r="G73" s="6" t="str">
        <x:v>observed</x:v>
      </x:c>
      <x:c r="H73" s="6" t="str"/>
      <x:c r="I73" s="6" t="str">
        <x:v>Guardant clinical oncology volume; excludes screening and biopharma tests</x:v>
      </x:c>
      <x:c r="J73" s="6" t="str">
        <x:v>Reported value qualifier: ≈ (retain this when interpreting the number). One company’s clinical oncology volume, including products beyond liquid biopsy; not the total sector or unique patients. Annual endpoints are comparable within the disclosed company series. No invented 2026 full-year total.</x:v>
      </x:c>
      <x:c r="K73" s="6" t="str">
        <x:v>Guardant Health</x:v>
      </x:c>
      <x:c r="L73" s="6" t="str">
        <x:v>https://investors.guardanthealth.com/press-releases/press-releases/2026/Guardant-Health-Reports-Fourth-Quarter-and-Full-Year-2025-Financial-Results-and-Provides-2026-Outlook/default.aspx</x:v>
      </x:c>
      <x:c r="M73" s="6" t="str">
        <x:v>2026-02-19</x:v>
      </x:c>
    </x:row>
    <x:row r="74" ht="24" hidden="0" customHeight="1">
      <x:c r="A74" s="12" t="n">
        <x:v>23</x:v>
      </x:c>
      <x:c r="B74" s="6" t="str">
        <x:v>Gene-editing therapies</x:v>
      </x:c>
      <x:c r="C74" s="6" t="str">
        <x:v>Casgevy annual net product revenue</x:v>
      </x:c>
      <x:c r="D74" s="12" t="n">
        <x:v>2024</x:v>
      </x:c>
      <x:c r="E74" s="18" t="n">
        <x:v>10</x:v>
      </x:c>
      <x:c r="F74" s="6" t="str">
        <x:v>USD million</x:v>
      </x:c>
      <x:c r="G74" s="6" t="str">
        <x:v>observed</x:v>
      </x:c>
      <x:c r="H74" s="6" t="str"/>
      <x:c r="I74" s="6" t="str">
        <x:v>Vertex-recognised global Casgevy revenue; launch-stage company proxy</x:v>
      </x:c>
      <x:c r="J74" s="6" t="str">
        <x:v>Revenue for one therapy is not the gene-editing market or number of successfully treated patients. The large change begins from an initial launch year; price, timing and access affect revenue.</x:v>
      </x:c>
      <x:c r="K74" s="6" t="str">
        <x:v>Vertex</x:v>
      </x:c>
      <x:c r="L74" s="6" t="str">
        <x:v>https://news.vrtx.com/news-releases/news-release-details/vertex-reports-fourth-quarter-and-full-year-2024-financial</x:v>
      </x:c>
      <x:c r="M74" s="6" t="str"/>
    </x:row>
    <x:row r="75" ht="24" hidden="0" customHeight="1">
      <x:c r="A75" s="12" t="n">
        <x:v>23</x:v>
      </x:c>
      <x:c r="B75" s="6" t="str">
        <x:v>Gene-editing therapies</x:v>
      </x:c>
      <x:c r="C75" s="6" t="str">
        <x:v>Casgevy annual net product revenue</x:v>
      </x:c>
      <x:c r="D75" s="12" t="n">
        <x:v>2025</x:v>
      </x:c>
      <x:c r="E75" s="20" t="n">
        <x:v>115.8</x:v>
      </x:c>
      <x:c r="F75" s="6" t="str">
        <x:v>USD million</x:v>
      </x:c>
      <x:c r="G75" s="6" t="str">
        <x:v>observed</x:v>
      </x:c>
      <x:c r="H75" s="6" t="str"/>
      <x:c r="I75" s="6" t="str">
        <x:v>Vertex-recognised global Casgevy revenue; launch-stage company proxy</x:v>
      </x:c>
      <x:c r="J75" s="6" t="str">
        <x:v>Revenue for one therapy is not the gene-editing market or number of successfully treated patients. The large change begins from an initial launch year; price, timing and access affect revenue.</x:v>
      </x:c>
      <x:c r="K75" s="6" t="str">
        <x:v>Vertex / SEC</x:v>
      </x:c>
      <x:c r="L75" s="6" t="str">
        <x:v>https://www.sec.gov/Archives/edgar/data/875320/000087532026000056/vrtx-20251231.htm</x:v>
      </x:c>
      <x:c r="M75" s="6" t="str">
        <x:v>2026-02-13</x:v>
      </x:c>
    </x:row>
    <x:row r="76" ht="24" hidden="0" customHeight="1">
      <x:c r="A76" s="12" t="n">
        <x:v>24</x:v>
      </x:c>
      <x:c r="B76" s="6" t="str">
        <x:v>RNA therapeutics and next-generation vaccines</x:v>
      </x:c>
      <x:c r="C76" s="6" t="str">
        <x:v>Alnylam annual net product revenue</x:v>
      </x:c>
      <x:c r="D76" s="12" t="n">
        <x:v>2021</x:v>
      </x:c>
      <x:c r="E76" s="21" t="n">
        <x:v>662.138</x:v>
      </x:c>
      <x:c r="F76" s="6" t="str">
        <x:v>USD million</x:v>
      </x:c>
      <x:c r="G76" s="6" t="str">
        <x:v>observed</x:v>
      </x:c>
      <x:c r="H76" s="6" t="str"/>
      <x:c r="I76" s="6" t="str">
        <x:v>RNA interference medicines sold by one company; excludes collaboration revenue</x:v>
      </x:c>
      <x:c r="J76" s="6" t="str">
        <x:v>RNAi commercial proxy, not all RNA therapeutics or vaccines. Revenue reflects indication expansion, pricing and product mix; it is not a count of patients. Do not extend this series to imply mRNA vaccine sales followed the same path.</x:v>
      </x:c>
      <x:c r="K76" s="6" t="str">
        <x:v>Alnylam</x:v>
      </x:c>
      <x:c r="L76" s="6" t="str">
        <x:v>https://investors.alnylam.com/press-release?id=26471</x:v>
      </x:c>
      <x:c r="M76" s="6" t="str"/>
    </x:row>
    <x:row r="77" ht="24" hidden="0" customHeight="1">
      <x:c r="A77" s="12" t="n">
        <x:v>24</x:v>
      </x:c>
      <x:c r="B77" s="6" t="str">
        <x:v>RNA therapeutics and next-generation vaccines</x:v>
      </x:c>
      <x:c r="C77" s="6" t="str">
        <x:v>Alnylam annual net product revenue</x:v>
      </x:c>
      <x:c r="D77" s="12" t="n">
        <x:v>2023</x:v>
      </x:c>
      <x:c r="E77" s="21" t="n">
        <x:v>1241.474</x:v>
      </x:c>
      <x:c r="F77" s="6" t="str">
        <x:v>USD million</x:v>
      </x:c>
      <x:c r="G77" s="6" t="str">
        <x:v>observed</x:v>
      </x:c>
      <x:c r="H77" s="6" t="str"/>
      <x:c r="I77" s="6" t="str">
        <x:v>RNA interference medicines sold by one company; excludes collaboration revenue</x:v>
      </x:c>
      <x:c r="J77" s="6" t="str">
        <x:v>RNAi commercial proxy, not all RNA therapeutics or vaccines. Revenue reflects indication expansion, pricing and product mix; it is not a count of patients. Do not extend this series to imply mRNA vaccine sales followed the same path.</x:v>
      </x:c>
      <x:c r="K77" s="6" t="str">
        <x:v>Alnylam / SEC</x:v>
      </x:c>
      <x:c r="L77" s="6" t="str">
        <x:v>https://www.sec.gov/Archives/edgar/data/1178670/000162828026007497/alny-20251231.htm</x:v>
      </x:c>
      <x:c r="M77" s="6" t="str"/>
    </x:row>
    <x:row r="78" ht="24" hidden="0" customHeight="1">
      <x:c r="A78" s="12" t="n">
        <x:v>24</x:v>
      </x:c>
      <x:c r="B78" s="6" t="str">
        <x:v>RNA therapeutics and next-generation vaccines</x:v>
      </x:c>
      <x:c r="C78" s="6" t="str">
        <x:v>Alnylam annual net product revenue</x:v>
      </x:c>
      <x:c r="D78" s="12" t="n">
        <x:v>2024</x:v>
      </x:c>
      <x:c r="E78" s="21" t="n">
        <x:v>1646.228</x:v>
      </x:c>
      <x:c r="F78" s="6" t="str">
        <x:v>USD million</x:v>
      </x:c>
      <x:c r="G78" s="6" t="str">
        <x:v>observed</x:v>
      </x:c>
      <x:c r="H78" s="6" t="str"/>
      <x:c r="I78" s="6" t="str">
        <x:v>RNA interference medicines sold by one company; excludes collaboration revenue</x:v>
      </x:c>
      <x:c r="J78" s="6" t="str">
        <x:v>RNAi commercial proxy, not all RNA therapeutics or vaccines. Revenue reflects indication expansion, pricing and product mix; it is not a count of patients. Do not extend this series to imply mRNA vaccine sales followed the same path.</x:v>
      </x:c>
      <x:c r="K78" s="6" t="str">
        <x:v>Alnylam / SEC</x:v>
      </x:c>
      <x:c r="L78" s="6" t="str">
        <x:v>https://www.sec.gov/Archives/edgar/data/1178670/000162828026007497/alny-20251231.htm</x:v>
      </x:c>
      <x:c r="M78" s="6" t="str"/>
    </x:row>
    <x:row r="79" ht="24" hidden="0" customHeight="1">
      <x:c r="A79" s="12" t="n">
        <x:v>24</x:v>
      </x:c>
      <x:c r="B79" s="6" t="str">
        <x:v>RNA therapeutics and next-generation vaccines</x:v>
      </x:c>
      <x:c r="C79" s="6" t="str">
        <x:v>Alnylam annual net product revenue</x:v>
      </x:c>
      <x:c r="D79" s="12" t="n">
        <x:v>2025</x:v>
      </x:c>
      <x:c r="E79" s="21" t="n">
        <x:v>2986.549</x:v>
      </x:c>
      <x:c r="F79" s="6" t="str">
        <x:v>USD million</x:v>
      </x:c>
      <x:c r="G79" s="6" t="str">
        <x:v>observed</x:v>
      </x:c>
      <x:c r="H79" s="6" t="str"/>
      <x:c r="I79" s="6" t="str">
        <x:v>RNA interference medicines sold by one company; excludes collaboration revenue</x:v>
      </x:c>
      <x:c r="J79" s="6" t="str">
        <x:v>RNAi commercial proxy, not all RNA therapeutics or vaccines. Revenue reflects indication expansion, pricing and product mix; it is not a count of patients. Do not extend this series to imply mRNA vaccine sales followed the same path.</x:v>
      </x:c>
      <x:c r="K79" s="6" t="str">
        <x:v>Alnylam / SEC</x:v>
      </x:c>
      <x:c r="L79" s="6" t="str">
        <x:v>https://www.sec.gov/Archives/edgar/data/1178670/000162828026007497/alny-20251231.htm</x:v>
      </x:c>
      <x:c r="M79" s="6" t="str"/>
    </x:row>
    <x:row r="80" ht="24" hidden="0" customHeight="1">
      <x:c r="A80" s="12" t="n">
        <x:v>24</x:v>
      </x:c>
      <x:c r="B80" s="6" t="str">
        <x:v>RNA therapeutics and next-generation vaccines</x:v>
      </x:c>
      <x:c r="C80" s="6" t="str">
        <x:v>Alnylam total-revenue growth ambition</x:v>
      </x:c>
      <x:c r="D80" s="12" t="n">
        <x:v>2030</x:v>
      </x:c>
      <x:c r="E80" s="22" t="n">
        <x:v>25</x:v>
      </x:c>
      <x:c r="F80" s="6" t="str">
        <x:v>% annual CAGR</x:v>
      </x:c>
      <x:c r="G80" s="6" t="str">
        <x:v>Aspirational company target</x:v>
      </x:c>
      <x:c r="H80" s="6" t="str"/>
      <x:c r="I80" s="6" t="str">
        <x:v>One company’s total revenue over its five-year 2030 strategy; broader than net product revenue</x:v>
      </x:c>
      <x:c r="J80" s="6" t="str">
        <x:v>Reported value qualifier: ≥ (retain this when interpreting the number). Company target, not an analyst market forecast. Total revenue includes streams outside the historical net-product series, so it must not be used to mechanically extend that line.</x:v>
      </x:c>
      <x:c r="K80" s="6" t="str">
        <x:v>Alnylam</x:v>
      </x:c>
      <x:c r="L80" s="6" t="str">
        <x:v>https://investors.alnylam.com/press-release?id=bed48a74-b01e-454e-bb79-756538936bb1</x:v>
      </x:c>
      <x:c r="M80" s="6" t="str">
        <x:v>2026-01-11</x:v>
      </x:c>
    </x:row>
    <x:row r="81" ht="24" hidden="0" customHeight="1">
      <x:c r="A81" s="12" t="n">
        <x:v>25</x:v>
      </x:c>
      <x:c r="B81" s="6" t="str">
        <x:v>Remote patient monitoring and medical wearables</x:v>
      </x:c>
      <x:c r="C81" s="6" t="str">
        <x:v>Dexcom annual revenue</x:v>
      </x:c>
      <x:c r="D81" s="12" t="n">
        <x:v>2021</x:v>
      </x:c>
      <x:c r="E81" s="23" t="n">
        <x:v>2448</x:v>
      </x:c>
      <x:c r="F81" s="6" t="str">
        <x:v>USD million</x:v>
      </x:c>
      <x:c r="G81" s="6" t="str">
        <x:v>observed</x:v>
      </x:c>
      <x:c r="H81" s="6" t="str"/>
      <x:c r="I81" s="6" t="str">
        <x:v>One continuous glucose monitoring supplier; adjacent clinical wearable proxy</x:v>
      </x:c>
      <x:c r="J81" s="6" t="str">
        <x:v>Reported value qualifier: ≈ (retain this when interpreting the number). Company revenue is not the total RPM market, number of monitored patients or reimbursement spending. It measures CGM commercial scale, with product, pricing and geography effects. Latest full year is 2025.</x:v>
      </x:c>
      <x:c r="K81" s="6" t="str">
        <x:v>Dexcom / SEC</x:v>
      </x:c>
      <x:c r="L81" s="6" t="str">
        <x:v>https://www.sec.gov/Archives/edgar/data/1093557/000109355726000063/dxcm2025_ars.pdf</x:v>
      </x:c>
      <x:c r="M81" s="6" t="str"/>
    </x:row>
    <x:row r="82" ht="24" hidden="0" customHeight="1">
      <x:c r="A82" s="12" t="n">
        <x:v>25</x:v>
      </x:c>
      <x:c r="B82" s="6" t="str">
        <x:v>Remote patient monitoring and medical wearables</x:v>
      </x:c>
      <x:c r="C82" s="6" t="str">
        <x:v>Dexcom annual revenue</x:v>
      </x:c>
      <x:c r="D82" s="12" t="n">
        <x:v>2022</x:v>
      </x:c>
      <x:c r="E82" s="23" t="n">
        <x:v>2910</x:v>
      </x:c>
      <x:c r="F82" s="6" t="str">
        <x:v>USD million</x:v>
      </x:c>
      <x:c r="G82" s="6" t="str">
        <x:v>observed</x:v>
      </x:c>
      <x:c r="H82" s="6" t="str"/>
      <x:c r="I82" s="6" t="str">
        <x:v>One continuous glucose monitoring supplier; adjacent clinical wearable proxy</x:v>
      </x:c>
      <x:c r="J82" s="6" t="str">
        <x:v>Reported value qualifier: ≈ (retain this when interpreting the number). Company revenue is not the total RPM market, number of monitored patients or reimbursement spending. It measures CGM commercial scale, with product, pricing and geography effects. Latest full year is 2025.</x:v>
      </x:c>
      <x:c r="K82" s="6" t="str">
        <x:v>Dexcom / SEC</x:v>
      </x:c>
      <x:c r="L82" s="6" t="str">
        <x:v>https://www.sec.gov/Archives/edgar/data/1093557/000109355726000063/dxcm2025_ars.pdf</x:v>
      </x:c>
      <x:c r="M82" s="6" t="str"/>
    </x:row>
    <x:row r="83" ht="24" hidden="0" customHeight="1">
      <x:c r="A83" s="12" t="n">
        <x:v>25</x:v>
      </x:c>
      <x:c r="B83" s="6" t="str">
        <x:v>Remote patient monitoring and medical wearables</x:v>
      </x:c>
      <x:c r="C83" s="6" t="str">
        <x:v>Dexcom annual revenue</x:v>
      </x:c>
      <x:c r="D83" s="12" t="n">
        <x:v>2023</x:v>
      </x:c>
      <x:c r="E83" s="24" t="n">
        <x:v>3622.3</x:v>
      </x:c>
      <x:c r="F83" s="6" t="str">
        <x:v>USD million</x:v>
      </x:c>
      <x:c r="G83" s="6" t="str">
        <x:v>observed</x:v>
      </x:c>
      <x:c r="H83" s="6" t="str"/>
      <x:c r="I83" s="6" t="str">
        <x:v>One continuous glucose monitoring supplier; adjacent clinical wearable proxy</x:v>
      </x:c>
      <x:c r="J83" s="6" t="str">
        <x:v>Reported value qualifier: ≈ (retain this when interpreting the number). Company revenue is not the total RPM market, number of monitored patients or reimbursement spending. It measures CGM commercial scale, with product, pricing and geography effects. Latest full year is 2025.</x:v>
      </x:c>
      <x:c r="K83" s="6" t="str">
        <x:v>Dexcom / SEC</x:v>
      </x:c>
      <x:c r="L83" s="6" t="str">
        <x:v>https://www.sec.gov/Archives/edgar/data/1093557/000109355726000063/dxcm2025_ars.pdf</x:v>
      </x:c>
      <x:c r="M83" s="6" t="str"/>
    </x:row>
    <x:row r="84" ht="24" hidden="0" customHeight="1">
      <x:c r="A84" s="12" t="n">
        <x:v>25</x:v>
      </x:c>
      <x:c r="B84" s="6" t="str">
        <x:v>Remote patient monitoring and medical wearables</x:v>
      </x:c>
      <x:c r="C84" s="6" t="str">
        <x:v>Dexcom annual revenue</x:v>
      </x:c>
      <x:c r="D84" s="12" t="n">
        <x:v>2024</x:v>
      </x:c>
      <x:c r="E84" s="23" t="n">
        <x:v>4033</x:v>
      </x:c>
      <x:c r="F84" s="6" t="str">
        <x:v>USD million</x:v>
      </x:c>
      <x:c r="G84" s="6" t="str">
        <x:v>observed</x:v>
      </x:c>
      <x:c r="H84" s="6" t="str"/>
      <x:c r="I84" s="6" t="str">
        <x:v>One continuous glucose monitoring supplier; adjacent clinical wearable proxy</x:v>
      </x:c>
      <x:c r="J84" s="6" t="str">
        <x:v>Reported value qualifier: ≈ (retain this when interpreting the number). Company revenue is not the total RPM market, number of monitored patients or reimbursement spending. It measures CGM commercial scale, with product, pricing and geography effects. Latest full year is 2025.</x:v>
      </x:c>
      <x:c r="K84" s="6" t="str">
        <x:v>Dexcom / SEC</x:v>
      </x:c>
      <x:c r="L84" s="6" t="str">
        <x:v>https://www.sec.gov/Archives/edgar/data/1093557/000109355726000063/dxcm2025_ars.pdf</x:v>
      </x:c>
      <x:c r="M84" s="6" t="str"/>
    </x:row>
    <x:row r="85" ht="24" hidden="0" customHeight="1">
      <x:c r="A85" s="12" t="n">
        <x:v>25</x:v>
      </x:c>
      <x:c r="B85" s="6" t="str">
        <x:v>Remote patient monitoring and medical wearables</x:v>
      </x:c>
      <x:c r="C85" s="6" t="str">
        <x:v>Dexcom annual revenue</x:v>
      </x:c>
      <x:c r="D85" s="12" t="n">
        <x:v>2025</x:v>
      </x:c>
      <x:c r="E85" s="23" t="n">
        <x:v>4662</x:v>
      </x:c>
      <x:c r="F85" s="6" t="str">
        <x:v>USD million</x:v>
      </x:c>
      <x:c r="G85" s="6" t="str">
        <x:v>observed</x:v>
      </x:c>
      <x:c r="H85" s="6" t="str"/>
      <x:c r="I85" s="6" t="str">
        <x:v>One continuous glucose monitoring supplier; adjacent clinical wearable proxy</x:v>
      </x:c>
      <x:c r="J85" s="6" t="str">
        <x:v>Reported value qualifier: ≈ (retain this when interpreting the number). Company revenue is not the total RPM market, number of monitored patients or reimbursement spending. It measures CGM commercial scale, with product, pricing and geography effects. Latest full year is 2025.</x:v>
      </x:c>
      <x:c r="K85" s="6" t="str">
        <x:v>Dexcom / SEC</x:v>
      </x:c>
      <x:c r="L85" s="6" t="str">
        <x:v>https://www.sec.gov/Archives/edgar/data/1093557/000109355726000063/dxcm2025_ars.pdf</x:v>
      </x:c>
      <x:c r="M85" s="6" t="str"/>
    </x:row>
    <x:row r="86" ht="24" hidden="0" customHeight="1">
      <x:c r="A86" s="12" t="n">
        <x:v>26</x:v>
      </x:c>
      <x:c r="B86" s="6" t="str">
        <x:v>AI-enabled drug discovery</x:v>
      </x:c>
      <x:c r="C86" s="6" t="str">
        <x:v>Insilico cumulative nominated preclinical candidates</x:v>
      </x:c>
      <x:c r="D86" s="12" t="n">
        <x:v>2024</x:v>
      </x:c>
      <x:c r="E86" s="18" t="n">
        <x:v>20</x:v>
      </x:c>
      <x:c r="F86" s="6" t="str">
        <x:v>candidates</x:v>
      </x:c>
      <x:c r="G86" s="6" t="str">
        <x:v>observed</x:v>
      </x:c>
      <x:c r="H86" s="6" t="str"/>
      <x:c r="I86" s="6" t="str">
        <x:v>One AI-drug-discovery company, reported candidate nominations</x:v>
      </x:c>
      <x:c r="J86" s="6" t="str">
        <x:v>Company-reported preclinical nominations are an activity proxy, not approvals, successful medicines or an industry total. The 2026 value is a cumulative April observation. Candidate quality and trial outcomes matter more than counts.</x:v>
      </x:c>
      <x:c r="K86" s="6" t="str">
        <x:v>Insilico Medicine</x:v>
      </x:c>
      <x:c r="L86" s="6" t="str">
        <x:v>https://insilico.com/news/tnik-ipf-phase2a</x:v>
      </x:c>
      <x:c r="M86" s="6" t="str">
        <x:v>2024-11-12</x:v>
      </x:c>
    </x:row>
    <x:row r="87" ht="24" hidden="0" customHeight="1">
      <x:c r="A87" s="12" t="n">
        <x:v>26</x:v>
      </x:c>
      <x:c r="B87" s="6" t="str">
        <x:v>AI-enabled drug discovery</x:v>
      </x:c>
      <x:c r="C87" s="6" t="str">
        <x:v>Insilico cumulative nominated preclinical candidates</x:v>
      </x:c>
      <x:c r="D87" s="12" t="n">
        <x:v>2026</x:v>
      </x:c>
      <x:c r="E87" s="18" t="n">
        <x:v>30</x:v>
      </x:c>
      <x:c r="F87" s="6" t="str">
        <x:v>candidates</x:v>
      </x:c>
      <x:c r="G87" s="6" t="str">
        <x:v>observed</x:v>
      </x:c>
      <x:c r="H87" s="6" t="str"/>
      <x:c r="I87" s="6" t="str">
        <x:v>One AI-drug-discovery company, reported candidate nominations</x:v>
      </x:c>
      <x:c r="J87" s="6" t="str">
        <x:v>Company-reported preclinical nominations are an activity proxy, not approvals, successful medicines or an industry total. The 2026 value is a cumulative April observation. Candidate quality and trial outcomes matter more than counts.</x:v>
      </x:c>
      <x:c r="K87" s="6" t="str">
        <x:v>Insilico Medicine</x:v>
      </x:c>
      <x:c r="L87" s="6" t="str">
        <x:v>https://www.prnewswire.com/news-releases/generative-ai-leap-insilico-medicine-nominates-first-preclinical-candidate-in-the-uae-302752898.html</x:v>
      </x:c>
      <x:c r="M87" s="6" t="str">
        <x:v>2026-04-23</x:v>
      </x:c>
    </x:row>
    <x:row r="88" ht="24" hidden="0" customHeight="1">
      <x:c r="A88" s="12" t="n">
        <x:v>27</x:v>
      </x:c>
      <x:c r="B88" s="6" t="str">
        <x:v>Synthetic biology and biomanufacturing</x:v>
      </x:c>
      <x:c r="C88" s="6" t="str">
        <x:v>Twist synthetic genes shipped</x:v>
      </x:c>
      <x:c r="D88" s="12" t="n">
        <x:v>2021</x:v>
      </x:c>
      <x:c r="E88" s="23" t="n">
        <x:v>372000</x:v>
      </x:c>
      <x:c r="F88" s="6" t="str">
        <x:v>genes per fiscal year</x:v>
      </x:c>
      <x:c r="G88" s="6" t="str">
        <x:v>observed</x:v>
      </x:c>
      <x:c r="H88" s="6" t="str"/>
      <x:c r="I88" s="6" t="str">
        <x:v>One DNA-synthesis supplier; enabling-input activity proxy</x:v>
      </x:c>
      <x:c r="J88" s="6" t="str">
        <x:v>Reported value qualifier: ≈ (retain this when interpreting the number). Fiscal years end September. Genes shipped are research and production inputs, not tonnes of biomanufactured product, unique customers or sector adoption. Product mix and cheaper synthesis can expand units without proportional end-market value.</x:v>
      </x:c>
      <x:c r="K88" s="6" t="str">
        <x:v>Twist Bioscience</x:v>
      </x:c>
      <x:c r="L88" s="6" t="str">
        <x:v>https://investors.twistbioscience.com/news-releases/news-release-details/twist-bioscience-reports-fourth-quarter-and-full-year-fiscal-1/</x:v>
      </x:c>
      <x:c r="M88" s="6" t="str">
        <x:v>2021-11-22</x:v>
      </x:c>
    </x:row>
    <x:row r="89" ht="24" hidden="0" customHeight="1">
      <x:c r="A89" s="12" t="n">
        <x:v>27</x:v>
      </x:c>
      <x:c r="B89" s="6" t="str">
        <x:v>Synthetic biology and biomanufacturing</x:v>
      </x:c>
      <x:c r="C89" s="6" t="str">
        <x:v>Twist synthetic genes shipped</x:v>
      </x:c>
      <x:c r="D89" s="12" t="n">
        <x:v>2024</x:v>
      </x:c>
      <x:c r="E89" s="23" t="n">
        <x:v>772000</x:v>
      </x:c>
      <x:c r="F89" s="6" t="str">
        <x:v>genes per fiscal year</x:v>
      </x:c>
      <x:c r="G89" s="6" t="str">
        <x:v>observed</x:v>
      </x:c>
      <x:c r="H89" s="6" t="str"/>
      <x:c r="I89" s="6" t="str">
        <x:v>One DNA-synthesis supplier; enabling-input activity proxy</x:v>
      </x:c>
      <x:c r="J89" s="6" t="str">
        <x:v>Reported value qualifier: ≈ (retain this when interpreting the number). Fiscal years end September. Genes shipped are research and production inputs, not tonnes of biomanufactured product, unique customers or sector adoption. Product mix and cheaper synthesis can expand units without proportional end-market value.</x:v>
      </x:c>
      <x:c r="K89" s="6" t="str">
        <x:v>Twist Bioscience / SEC</x:v>
      </x:c>
      <x:c r="L89" s="6" t="str">
        <x:v>https://www.sec.gov/Archives/edgar/data/1581280/000158128025000020/twst-20250930xex991.htm</x:v>
      </x:c>
      <x:c r="M89" s="6" t="str">
        <x:v>2025-11-14</x:v>
      </x:c>
    </x:row>
    <x:row r="90" ht="24" hidden="0" customHeight="1">
      <x:c r="A90" s="12" t="n">
        <x:v>27</x:v>
      </x:c>
      <x:c r="B90" s="6" t="str">
        <x:v>Synthetic biology and biomanufacturing</x:v>
      </x:c>
      <x:c r="C90" s="6" t="str">
        <x:v>Twist synthetic genes shipped</x:v>
      </x:c>
      <x:c r="D90" s="12" t="n">
        <x:v>2025</x:v>
      </x:c>
      <x:c r="E90" s="23" t="n">
        <x:v>938000</x:v>
      </x:c>
      <x:c r="F90" s="6" t="str">
        <x:v>genes per fiscal year</x:v>
      </x:c>
      <x:c r="G90" s="6" t="str">
        <x:v>observed</x:v>
      </x:c>
      <x:c r="H90" s="6" t="str"/>
      <x:c r="I90" s="6" t="str">
        <x:v>One DNA-synthesis supplier; enabling-input activity proxy</x:v>
      </x:c>
      <x:c r="J90" s="6" t="str">
        <x:v>Reported value qualifier: ≈ (retain this when interpreting the number). Fiscal years end September. Genes shipped are research and production inputs, not tonnes of biomanufactured product, unique customers or sector adoption. Product mix and cheaper synthesis can expand units without proportional end-market value.</x:v>
      </x:c>
      <x:c r="K90" s="6" t="str">
        <x:v>Twist Bioscience / SEC</x:v>
      </x:c>
      <x:c r="L90" s="6" t="str">
        <x:v>https://www.sec.gov/Archives/edgar/data/1581280/000158128025000020/twst-20250930xex991.htm</x:v>
      </x:c>
      <x:c r="M90" s="6" t="str">
        <x:v>2025-11-14</x:v>
      </x:c>
    </x:row>
    <x:row r="91" ht="24" hidden="0" customHeight="1">
      <x:c r="A91" s="12" t="n">
        <x:v>28</x:v>
      </x:c>
      <x:c r="B91" s="6" t="str">
        <x:v>Precision fermentation for food</x:v>
      </x:c>
      <x:c r="C91" s="6" t="str">
        <x:v>Global alternative-protein fermentation investment</x:v>
      </x:c>
      <x:c r="D91" s="12" t="n">
        <x:v>2024</x:v>
      </x:c>
      <x:c r="E91" s="23" t="n">
        <x:v>632</x:v>
      </x:c>
      <x:c r="F91" s="6" t="str">
        <x:v>USD million per year</x:v>
      </x:c>
      <x:c r="G91" s="6" t="str">
        <x:v>observed</x:v>
      </x:c>
      <x:c r="H91" s="6" t="str"/>
      <x:c r="I91" s="6" t="str">
        <x:v>GFI-reported fermentation funding, including precision and biomass fermentation</x:v>
      </x:c>
      <x:c r="J91" s="6" t="str">
        <x:v>Reported value qualifier: ≈ (retain this when interpreting the number). A financing indicator for a broader category, not sales, production or pure precision fermentation. Investment methods and categories can change between report editions; use the same 2025-report comparison and do not splice older datasets without reconciliation.</x:v>
      </x:c>
      <x:c r="K91" s="6" t="str">
        <x:v>Good Food Institute</x:v>
      </x:c>
      <x:c r="L91" s="6" t="str">
        <x:v>https://gfi.org/resource/fermentation-meat-seafood-eggs-dairy-and-ingredients-state-of-the-industry/</x:v>
      </x:c>
      <x:c r="M91" s="6" t="str"/>
    </x:row>
    <x:row r="92" ht="24" hidden="0" customHeight="1">
      <x:c r="A92" s="12" t="n">
        <x:v>28</x:v>
      </x:c>
      <x:c r="B92" s="6" t="str">
        <x:v>Precision fermentation for food</x:v>
      </x:c>
      <x:c r="C92" s="6" t="str">
        <x:v>Global alternative-protein fermentation investment</x:v>
      </x:c>
      <x:c r="D92" s="12" t="n">
        <x:v>2025</x:v>
      </x:c>
      <x:c r="E92" s="23" t="n">
        <x:v>357</x:v>
      </x:c>
      <x:c r="F92" s="6" t="str">
        <x:v>USD million per year</x:v>
      </x:c>
      <x:c r="G92" s="6" t="str">
        <x:v>observed</x:v>
      </x:c>
      <x:c r="H92" s="6" t="str"/>
      <x:c r="I92" s="6" t="str">
        <x:v>GFI-reported fermentation funding, including precision and biomass fermentation</x:v>
      </x:c>
      <x:c r="J92" s="6" t="str">
        <x:v>Reported value qualifier: ≈ (retain this when interpreting the number). A financing indicator for a broader category, not sales, production or pure precision fermentation. Investment methods and categories can change between report editions; use the same 2025-report comparison and do not splice older datasets without reconciliation.</x:v>
      </x:c>
      <x:c r="K92" s="6" t="str">
        <x:v>Good Food Institute</x:v>
      </x:c>
      <x:c r="L92" s="6" t="str">
        <x:v>https://gfi.org/resource/fermentation-meat-seafood-eggs-dairy-and-ingredients-state-of-the-industry/</x:v>
      </x:c>
      <x:c r="M92" s="6" t="str"/>
    </x:row>
    <x:row r="93" ht="36" hidden="0" customHeight="1">
      <x:c r="A93" s="12" t="n">
        <x:v>29</x:v>
      </x:c>
      <x:c r="B93" s="6" t="str">
        <x:v>Organoids and organ-on-chip testing</x:v>
      </x:c>
      <x:c r="C93" s="6" t="str">
        <x:v>Maximum parallel Organ-Chip samples per Emulate instrument run</x:v>
      </x:c>
      <x:c r="D93" s="12" t="n">
        <x:v>2021</x:v>
      </x:c>
      <x:c r="E93" s="25" t="n">
        <x:v>12</x:v>
      </x:c>
      <x:c r="F93" s="6" t="str">
        <x:v>samples per instrument run</x:v>
      </x:c>
      <x:c r="G93" s="6" t="str">
        <x:v>manufacturer specification</x:v>
      </x:c>
      <x:c r="H93" s="6" t="str"/>
      <x:c r="I93" s="6" t="str">
        <x:v>Manufacturer specifications for successive Zoë-CM2 and AVA platforms; technical capacity proxy</x:v>
      </x:c>
      <x:c r="J93" s="6" t="str">
        <x:v>Reported value qualifier: up to (retain this when interpreting the number). Technical capacity of two different instrument generations, not annual laboratory throughput, instrument shipments, actual utilisation or sector adoption. Different workflows and consumables mean the eightfold capacity increase is not an eightfold improvement in clinical prediction or market size.</x:v>
      </x:c>
      <x:c r="K93" s="6" t="str">
        <x:v>Emulate</x:v>
      </x:c>
      <x:c r="L93" s="6" t="str">
        <x:v>https://emulatebio.com/press/emulate-introduce-new-zoe-culture-module/</x:v>
      </x:c>
      <x:c r="M93" s="6" t="str">
        <x:v>2021-11-15</x:v>
      </x:c>
    </x:row>
    <x:row r="94" ht="36" hidden="0" customHeight="1">
      <x:c r="A94" s="12" t="n">
        <x:v>29</x:v>
      </x:c>
      <x:c r="B94" s="6" t="str">
        <x:v>Organoids and organ-on-chip testing</x:v>
      </x:c>
      <x:c r="C94" s="6" t="str">
        <x:v>Maximum parallel Organ-Chip samples per Emulate instrument run</x:v>
      </x:c>
      <x:c r="D94" s="12" t="n">
        <x:v>2025</x:v>
      </x:c>
      <x:c r="E94" s="25" t="n">
        <x:v>96</x:v>
      </x:c>
      <x:c r="F94" s="6" t="str">
        <x:v>samples per instrument run</x:v>
      </x:c>
      <x:c r="G94" s="6" t="str">
        <x:v>manufacturer specification</x:v>
      </x:c>
      <x:c r="H94" s="6" t="str"/>
      <x:c r="I94" s="6" t="str">
        <x:v>Manufacturer specifications for successive Zoë-CM2 and AVA platforms; technical capacity proxy</x:v>
      </x:c>
      <x:c r="J94" s="6" t="str">
        <x:v>Reported value qualifier: up to (retain this when interpreting the number). Technical capacity of two different instrument generations, not annual laboratory throughput, instrument shipments, actual utilisation or sector adoption. Different workflows and consumables mean the eightfold capacity increase is not an eightfold improvement in clinical prediction or market size.</x:v>
      </x:c>
      <x:c r="K94" s="6" t="str">
        <x:v>Emulate</x:v>
      </x:c>
      <x:c r="L94" s="6" t="str">
        <x:v>https://emulatebio.com/press/emulate-launches-ava-emulation-system-to-accelerate-drug-development-with-first-of-its-kind-high-throughput-organ-chip-platform/</x:v>
      </x:c>
      <x:c r="M94" s="6" t="str">
        <x:v>2025-06-10</x:v>
      </x:c>
    </x:row>
    <x:row r="95" ht="24" hidden="0" customHeight="1">
      <x:c r="A95" s="12" t="n">
        <x:v>30</x:v>
      </x:c>
      <x:c r="B95" s="6" t="str">
        <x:v>Autonomous agriculture and precision farming</x:v>
      </x:c>
      <x:c r="C95" s="6" t="str">
        <x:v>Acres treated using John Deere See &amp; Spray</x:v>
      </x:c>
      <x:c r="D95" s="12" t="n">
        <x:v>2024</x:v>
      </x:c>
      <x:c r="E95" s="22" t="n">
        <x:v>1</x:v>
      </x:c>
      <x:c r="F95" s="6" t="str">
        <x:v>million acres</x:v>
      </x:c>
      <x:c r="G95" s="6" t="str">
        <x:v>observed</x:v>
      </x:c>
      <x:c r="H95" s="6" t="str"/>
      <x:c r="I95" s="6" t="str">
        <x:v>Company-reported selective-spraying coverage; 2025 scope includes US and Canada</x:v>
      </x:c>
      <x:c r="J95" s="6" t="str">
        <x:v>Reported value qualifier: ≥ (retain this when interpreting the number). One product-family deployment proxy, not total precision agriculture or fully autonomous acres. Published geographic scope expands between observations and treated acres need not be unique farm acres; the fivefold comparison is approximate.</x:v>
      </x:c>
      <x:c r="K95" s="6" t="str">
        <x:v>John Deere</x:v>
      </x:c>
      <x:c r="L95" s="6" t="str">
        <x:v>https://www.deere.ca/en/news/all-news/see-spray-herbicide-savings/</x:v>
      </x:c>
      <x:c r="M95" s="6" t="str">
        <x:v>2024-09-18</x:v>
      </x:c>
    </x:row>
    <x:row r="96" ht="24" hidden="0" customHeight="1">
      <x:c r="A96" s="12" t="n">
        <x:v>30</x:v>
      </x:c>
      <x:c r="B96" s="6" t="str">
        <x:v>Autonomous agriculture and precision farming</x:v>
      </x:c>
      <x:c r="C96" s="6" t="str">
        <x:v>Acres treated using John Deere See &amp; Spray</x:v>
      </x:c>
      <x:c r="D96" s="12" t="n">
        <x:v>2025</x:v>
      </x:c>
      <x:c r="E96" s="22" t="n">
        <x:v>5</x:v>
      </x:c>
      <x:c r="F96" s="6" t="str">
        <x:v>million acres</x:v>
      </x:c>
      <x:c r="G96" s="6" t="str">
        <x:v>observed</x:v>
      </x:c>
      <x:c r="H96" s="6" t="str"/>
      <x:c r="I96" s="6" t="str">
        <x:v>Company-reported selective-spraying coverage; 2025 scope includes US and Canada</x:v>
      </x:c>
      <x:c r="J96" s="6" t="str">
        <x:v>Reported value qualifier: ≥ (retain this when interpreting the number). One product-family deployment proxy, not total precision agriculture or fully autonomous acres. Published geographic scope expands between observations and treated acres need not be unique farm acres; the fivefold comparison is approximate.</x:v>
      </x:c>
      <x:c r="K96" s="6" t="str">
        <x:v>John Deere</x:v>
      </x:c>
      <x:c r="L96" s="6" t="str">
        <x:v>https://www.deere.ca/en/news/all-news/see-spray-technology-across-5-million-acres/</x:v>
      </x:c>
      <x:c r="M96" s="6" t="str">
        <x:v>2025-11-04</x:v>
      </x:c>
    </x:row>
    <x:row r="97" ht="24" hidden="0" customHeight="1">
      <x:c r="A97" s="12" t="n">
        <x:v>31</x:v>
      </x:c>
      <x:c r="B97" s="6" t="str">
        <x:v>Perovskite-silicon tandem solar</x:v>
      </x:c>
      <x:c r="C97" s="6" t="str">
        <x:v>Certified perovskite-silicon research-cell efficiency</x:v>
      </x:c>
      <x:c r="D97" s="12" t="n">
        <x:v>2021</x:v>
      </x:c>
      <x:c r="E97" s="20" t="n">
        <x:v>29.8</x:v>
      </x:c>
      <x:c r="F97" s="6" t="str">
        <x:v>percent conversion efficiency</x:v>
      </x:c>
      <x:c r="G97" s="6" t="str">
        <x:v>observed</x:v>
      </x:c>
      <x:c r="H97" s="6" t="str"/>
      <x:c r="I97" s="6" t="str">
        <x:v>Selected champion-cell records from HZB and LONGi; research devices, not average modules</x:v>
      </x:c>
      <x:c r="J97" s="6" t="str">
        <x:v>Performance frontier, not deployed capacity or average commercial panel efficiency. Cell areas, architectures and test certificates differ. Express progress in percentage points, not sector CAGR; the 2026 point is a July record.</x:v>
      </x:c>
      <x:c r="K97" s="6" t="str">
        <x:v>Helmholtz-Zentrum Berlin</x:v>
      </x:c>
      <x:c r="L97" s="6" t="str">
        <x:v>https://www.helmholtz-berlin.de/pubbin/news_seite?nid=23248&amp;sprache=en</x:v>
      </x:c>
      <x:c r="M97" s="6" t="str">
        <x:v>2021-11-22</x:v>
      </x:c>
    </x:row>
    <x:row r="98" ht="24" hidden="0" customHeight="1">
      <x:c r="A98" s="12" t="n">
        <x:v>31</x:v>
      </x:c>
      <x:c r="B98" s="6" t="str">
        <x:v>Perovskite-silicon tandem solar</x:v>
      </x:c>
      <x:c r="C98" s="6" t="str">
        <x:v>Certified perovskite-silicon research-cell efficiency</x:v>
      </x:c>
      <x:c r="D98" s="12" t="n">
        <x:v>2023</x:v>
      </x:c>
      <x:c r="E98" s="20" t="n">
        <x:v>33.9</x:v>
      </x:c>
      <x:c r="F98" s="6" t="str">
        <x:v>percent conversion efficiency</x:v>
      </x:c>
      <x:c r="G98" s="6" t="str">
        <x:v>observed</x:v>
      </x:c>
      <x:c r="H98" s="6" t="str"/>
      <x:c r="I98" s="6" t="str">
        <x:v>Selected champion-cell records from HZB and LONGi; research devices, not average modules</x:v>
      </x:c>
      <x:c r="J98" s="6" t="str">
        <x:v>Performance frontier, not deployed capacity or average commercial panel efficiency. Cell areas, architectures and test certificates differ. Express progress in percentage points, not sector CAGR; the 2026 point is a July record.</x:v>
      </x:c>
      <x:c r="K98" s="6" t="str">
        <x:v>LONGi</x:v>
      </x:c>
      <x:c r="L98" s="6" t="str">
        <x:v>https://www.longi.com/en/news/crystalline-silicon-perovskite-tandem-solar-cell-new-world-efficiency-2026/</x:v>
      </x:c>
      <x:c r="M98" s="6" t="str">
        <x:v>2026-07-15</x:v>
      </x:c>
    </x:row>
    <x:row r="99" ht="24" hidden="0" customHeight="1">
      <x:c r="A99" s="12" t="n">
        <x:v>31</x:v>
      </x:c>
      <x:c r="B99" s="6" t="str">
        <x:v>Perovskite-silicon tandem solar</x:v>
      </x:c>
      <x:c r="C99" s="6" t="str">
        <x:v>Certified perovskite-silicon research-cell efficiency</x:v>
      </x:c>
      <x:c r="D99" s="12" t="n">
        <x:v>2024</x:v>
      </x:c>
      <x:c r="E99" s="20" t="n">
        <x:v>34.6</x:v>
      </x:c>
      <x:c r="F99" s="6" t="str">
        <x:v>percent conversion efficiency</x:v>
      </x:c>
      <x:c r="G99" s="6" t="str">
        <x:v>observed</x:v>
      </x:c>
      <x:c r="H99" s="6" t="str"/>
      <x:c r="I99" s="6" t="str">
        <x:v>Selected champion-cell records from HZB and LONGi; research devices, not average modules</x:v>
      </x:c>
      <x:c r="J99" s="6" t="str">
        <x:v>Performance frontier, not deployed capacity or average commercial panel efficiency. Cell areas, architectures and test certificates differ. Express progress in percentage points, not sector CAGR; the 2026 point is a July record.</x:v>
      </x:c>
      <x:c r="K99" s="6" t="str">
        <x:v>LONGi</x:v>
      </x:c>
      <x:c r="L99" s="6" t="str">
        <x:v>https://www.longi.com/en/news/crystalline-silicon-perovskite-tandem-solar-cell-new-world-efficiency-2026/</x:v>
      </x:c>
      <x:c r="M99" s="6" t="str">
        <x:v>2026-07-15</x:v>
      </x:c>
    </x:row>
    <x:row r="100" ht="24" hidden="0" customHeight="1">
      <x:c r="A100" s="12" t="n">
        <x:v>31</x:v>
      </x:c>
      <x:c r="B100" s="6" t="str">
        <x:v>Perovskite-silicon tandem solar</x:v>
      </x:c>
      <x:c r="C100" s="6" t="str">
        <x:v>Certified perovskite-silicon research-cell efficiency</x:v>
      </x:c>
      <x:c r="D100" s="12" t="n">
        <x:v>2025</x:v>
      </x:c>
      <x:c r="E100" s="26" t="n">
        <x:v>34.85</x:v>
      </x:c>
      <x:c r="F100" s="6" t="str">
        <x:v>percent conversion efficiency</x:v>
      </x:c>
      <x:c r="G100" s="6" t="str">
        <x:v>observed</x:v>
      </x:c>
      <x:c r="H100" s="6" t="str"/>
      <x:c r="I100" s="6" t="str">
        <x:v>Selected champion-cell records from HZB and LONGi; research devices, not average modules</x:v>
      </x:c>
      <x:c r="J100" s="6" t="str">
        <x:v>Performance frontier, not deployed capacity or average commercial panel efficiency. Cell areas, architectures and test certificates differ. Express progress in percentage points, not sector CAGR; the 2026 point is a July record.</x:v>
      </x:c>
      <x:c r="K100" s="6" t="str">
        <x:v>LONGi</x:v>
      </x:c>
      <x:c r="L100" s="6" t="str">
        <x:v>https://www.longi.com/au/news/silicon-perovskite-tandem-solar-cells-new-world-efficiency/</x:v>
      </x:c>
      <x:c r="M100" s="6" t="str">
        <x:v>2025-04-17</x:v>
      </x:c>
    </x:row>
    <x:row r="101" ht="24" hidden="0" customHeight="1">
      <x:c r="A101" s="12" t="n">
        <x:v>31</x:v>
      </x:c>
      <x:c r="B101" s="6" t="str">
        <x:v>Perovskite-silicon tandem solar</x:v>
      </x:c>
      <x:c r="C101" s="6" t="str">
        <x:v>Certified perovskite-silicon research-cell efficiency</x:v>
      </x:c>
      <x:c r="D101" s="12" t="n">
        <x:v>2026</x:v>
      </x:c>
      <x:c r="E101" s="20" t="n">
        <x:v>35.5</x:v>
      </x:c>
      <x:c r="F101" s="6" t="str">
        <x:v>percent conversion efficiency</x:v>
      </x:c>
      <x:c r="G101" s="6" t="str">
        <x:v>observed</x:v>
      </x:c>
      <x:c r="H101" s="6" t="str"/>
      <x:c r="I101" s="6" t="str">
        <x:v>Selected champion-cell records from HZB and LONGi; research devices, not average modules</x:v>
      </x:c>
      <x:c r="J101" s="6" t="str">
        <x:v>Performance frontier, not deployed capacity or average commercial panel efficiency. Cell areas, architectures and test certificates differ. Express progress in percentage points, not sector CAGR; the 2026 point is a July record.</x:v>
      </x:c>
      <x:c r="K101" s="6" t="str">
        <x:v>LONGi</x:v>
      </x:c>
      <x:c r="L101" s="6" t="str">
        <x:v>https://www.longi.com/en/news/crystalline-silicon-perovskite-tandem-solar-cell-new-world-efficiency-2026/</x:v>
      </x:c>
      <x:c r="M101" s="6" t="str">
        <x:v>2026-07-15</x:v>
      </x:c>
    </x:row>
    <x:row r="102" ht="15" hidden="0" customHeight="1">
      <x:c r="A102" s="12" t="n">
        <x:v>31</x:v>
      </x:c>
      <x:c r="B102" s="6" t="str">
        <x:v>Perovskite-silicon tandem solar</x:v>
      </x:c>
      <x:c r="C102" s="6" t="str">
        <x:v>Oxford PV commercial module-efficiency target</x:v>
      </x:c>
      <x:c r="D102" s="12" t="n">
        <x:v>2027</x:v>
      </x:c>
      <x:c r="E102" s="18" t="n">
        <x:v>27</x:v>
      </x:c>
      <x:c r="F102" s="6" t="str">
        <x:v>% conversion efficiency</x:v>
      </x:c>
      <x:c r="G102" s="6" t="str">
        <x:v>Company technology target</x:v>
      </x:c>
      <x:c r="H102" s="6" t="str"/>
      <x:c r="I102" s="6" t="str">
        <x:v>Oxford PV tandem modules; not champion research cells</x:v>
      </x:c>
      <x:c r="J102" s="6" t="str">
        <x:v>Module target on the company roadmap. Reliability and manufacturing yield must also be validated.</x:v>
      </x:c>
      <x:c r="K102" s="6" t="str">
        <x:v>Oxford PV</x:v>
      </x:c>
      <x:c r="L102" s="6" t="str">
        <x:v>https://www.oxfordpv.com/mainstream</x:v>
      </x:c>
      <x:c r="M102" s="6" t="str"/>
    </x:row>
    <x:row r="103" ht="15" hidden="0" customHeight="1">
      <x:c r="A103" s="12" t="n">
        <x:v>31</x:v>
      </x:c>
      <x:c r="B103" s="6" t="str">
        <x:v>Perovskite-silicon tandem solar</x:v>
      </x:c>
      <x:c r="C103" s="6" t="str">
        <x:v>Oxford PV commercial module-efficiency target</x:v>
      </x:c>
      <x:c r="D103" s="12" t="n">
        <x:v>2030</x:v>
      </x:c>
      <x:c r="E103" s="18" t="n">
        <x:v>30</x:v>
      </x:c>
      <x:c r="F103" s="6" t="str">
        <x:v>% conversion efficiency</x:v>
      </x:c>
      <x:c r="G103" s="6" t="str">
        <x:v>Company technology target</x:v>
      </x:c>
      <x:c r="H103" s="6" t="str"/>
      <x:c r="I103" s="6" t="str">
        <x:v>Oxford PV tandem modules; not champion research cells</x:v>
      </x:c>
      <x:c r="J103" s="6" t="str">
        <x:v>Must remain separate from the historical research-cell efficiency record because module and cell measurements are different.</x:v>
      </x:c>
      <x:c r="K103" s="6" t="str">
        <x:v>Oxford PV</x:v>
      </x:c>
      <x:c r="L103" s="6" t="str">
        <x:v>https://www.oxfordpv.com/mainstream</x:v>
      </x:c>
      <x:c r="M103" s="6" t="str"/>
    </x:row>
    <x:row r="104" ht="36" hidden="0" customHeight="1">
      <x:c r="A104" s="12" t="n">
        <x:v>32</x:v>
      </x:c>
      <x:c r="B104" s="6" t="str">
        <x:v>Long-duration energy storage</x:v>
      </x:c>
      <x:c r="C104" s="6" t="str">
        <x:v>Annual deployment of non-lithium long-duration technology families</x:v>
      </x:c>
      <x:c r="D104" s="12" t="n">
        <x:v>2024</x:v>
      </x:c>
      <x:c r="E104" s="24" t="n">
        <x:v>10.1</x:v>
      </x:c>
      <x:c r="F104" s="6" t="str">
        <x:v>GWh per year</x:v>
      </x:c>
      <x:c r="G104" s="6" t="str">
        <x:v>derived from reported growth</x:v>
      </x:c>
      <x:c r="H104" s="6" t="str"/>
      <x:c r="I104" s="6" t="str">
        <x:v>Wood Mackenzie category including compressed air, thermal and flow batteries; not a strict ten-hour asset census</x:v>
      </x:c>
      <x:c r="J104" s="6" t="str">
        <x:v>Reported value qualifier: ≈ (retain this when interpreting the number). 2025 was reported as more than 15 GWh, up 49%; the approximately 10.1 GWh 2024 point is back-calculated and rounded, not an independently reported exact count. Some included flow and compressed-air assets average about four hours, so this is a technology-family proxy. It must not be labelled a census of all ten-hour-plus storage.</x:v>
      </x:c>
      <x:c r="K104" s="6" t="str">
        <x:v>Wood Mackenzie</x:v>
      </x:c>
      <x:c r="L104" s="6" t="str">
        <x:v>https://www.woodmac.com/press-releases/ldes-2025-outlook/</x:v>
      </x:c>
      <x:c r="M104" s="6" t="str">
        <x:v>2026-03-09</x:v>
      </x:c>
    </x:row>
    <x:row r="105" ht="36" hidden="0" customHeight="1">
      <x:c r="A105" s="12" t="n">
        <x:v>32</x:v>
      </x:c>
      <x:c r="B105" s="6" t="str">
        <x:v>Long-duration energy storage</x:v>
      </x:c>
      <x:c r="C105" s="6" t="str">
        <x:v>Annual deployment of non-lithium long-duration technology families</x:v>
      </x:c>
      <x:c r="D105" s="12" t="n">
        <x:v>2025</x:v>
      </x:c>
      <x:c r="E105" s="22" t="n">
        <x:v>15</x:v>
      </x:c>
      <x:c r="F105" s="6" t="str">
        <x:v>GWh per year</x:v>
      </x:c>
      <x:c r="G105" s="6" t="str">
        <x:v>observed</x:v>
      </x:c>
      <x:c r="H105" s="6" t="str"/>
      <x:c r="I105" s="6" t="str">
        <x:v>Wood Mackenzie category including compressed air, thermal and flow batteries; not a strict ten-hour asset census</x:v>
      </x:c>
      <x:c r="J105" s="6" t="str">
        <x:v>Reported value qualifier: ≥ (retain this when interpreting the number). 2025 was reported as more than 15 GWh, up 49%; the approximately 10.1 GWh 2024 point is back-calculated and rounded, not an independently reported exact count. Some included flow and compressed-air assets average about four hours, so this is a technology-family proxy. It must not be labelled a census of all ten-hour-plus storage.</x:v>
      </x:c>
      <x:c r="K105" s="6" t="str">
        <x:v>Wood Mackenzie</x:v>
      </x:c>
      <x:c r="L105" s="6" t="str">
        <x:v>https://www.woodmac.com/press-releases/ldes-2025-outlook/</x:v>
      </x:c>
      <x:c r="M105" s="6" t="str">
        <x:v>2026-03-09</x:v>
      </x:c>
    </x:row>
    <x:row r="106" ht="24" hidden="0" customHeight="1">
      <x:c r="A106" s="12" t="n">
        <x:v>33</x:v>
      </x:c>
      <x:c r="B106" s="6" t="str">
        <x:v>Sodium-ion batteries</x:v>
      </x:c>
      <x:c r="C106" s="6" t="str">
        <x:v>CATL announced sodium-ion cell energy density</x:v>
      </x:c>
      <x:c r="D106" s="12" t="n">
        <x:v>2021</x:v>
      </x:c>
      <x:c r="E106" s="18" t="n">
        <x:v>160</x:v>
      </x:c>
      <x:c r="F106" s="6" t="str">
        <x:v>Wh per kg</x:v>
      </x:c>
      <x:c r="G106" s="6" t="str">
        <x:v>observed</x:v>
      </x:c>
      <x:c r="H106" s="6" t="str"/>
      <x:c r="I106" s="6" t="str">
        <x:v>Manufacturer specifications for successive cell generations; performance proxy</x:v>
      </x:c>
      <x:c r="J106" s="6" t="str">
        <x:v>Company-announced cell specifications, not independent like-for-like pack tests, installed GWh or market share. The 2026 figure accompanies a vehicle unveiling; it does not establish production volume. Pack-level density will be lower.</x:v>
      </x:c>
      <x:c r="K106" s="6" t="str">
        <x:v>CATL</x:v>
      </x:c>
      <x:c r="L106" s="6" t="str">
        <x:v>https://www.catl.com/es/uploads/1/file/public/202304/20230423150316_scwl3op487.pdf</x:v>
      </x:c>
      <x:c r="M106" s="6" t="str"/>
    </x:row>
    <x:row r="107" ht="24" hidden="0" customHeight="1">
      <x:c r="A107" s="12" t="n">
        <x:v>33</x:v>
      </x:c>
      <x:c r="B107" s="6" t="str">
        <x:v>Sodium-ion batteries</x:v>
      </x:c>
      <x:c r="C107" s="6" t="str">
        <x:v>CATL announced sodium-ion cell energy density</x:v>
      </x:c>
      <x:c r="D107" s="12" t="n">
        <x:v>2025</x:v>
      </x:c>
      <x:c r="E107" s="18" t="n">
        <x:v>175</x:v>
      </x:c>
      <x:c r="F107" s="6" t="str">
        <x:v>Wh per kg</x:v>
      </x:c>
      <x:c r="G107" s="6" t="str">
        <x:v>observed</x:v>
      </x:c>
      <x:c r="H107" s="6" t="str"/>
      <x:c r="I107" s="6" t="str">
        <x:v>Manufacturer specifications for successive cell generations; performance proxy</x:v>
      </x:c>
      <x:c r="J107" s="6" t="str">
        <x:v>Company-announced cell specifications, not independent like-for-like pack tests, installed GWh or market share. The 2026 figure accompanies a vehicle unveiling; it does not establish production volume. Pack-level density will be lower.</x:v>
      </x:c>
      <x:c r="K107" s="6" t="str">
        <x:v>CATL</x:v>
      </x:c>
      <x:c r="L107" s="6" t="str">
        <x:v>https://www.catl.com/en/news/6401.html</x:v>
      </x:c>
      <x:c r="M107" s="6" t="str">
        <x:v>2025-04-21</x:v>
      </x:c>
    </x:row>
    <x:row r="108" ht="24" hidden="0" customHeight="1">
      <x:c r="A108" s="12" t="n">
        <x:v>33</x:v>
      </x:c>
      <x:c r="B108" s="6" t="str">
        <x:v>Sodium-ion batteries</x:v>
      </x:c>
      <x:c r="C108" s="6" t="str">
        <x:v>CATL announced sodium-ion cell energy density</x:v>
      </x:c>
      <x:c r="D108" s="12" t="n">
        <x:v>2026</x:v>
      </x:c>
      <x:c r="E108" s="18" t="n">
        <x:v>175</x:v>
      </x:c>
      <x:c r="F108" s="6" t="str">
        <x:v>Wh per kg</x:v>
      </x:c>
      <x:c r="G108" s="6" t="str">
        <x:v>observed</x:v>
      </x:c>
      <x:c r="H108" s="6" t="str"/>
      <x:c r="I108" s="6" t="str">
        <x:v>Manufacturer specifications for successive cell generations; performance proxy</x:v>
      </x:c>
      <x:c r="J108" s="6" t="str">
        <x:v>Company-announced cell specifications, not independent like-for-like pack tests, installed GWh or market share. The 2026 figure accompanies a vehicle unveiling; it does not establish production volume. Pack-level density will be lower.</x:v>
      </x:c>
      <x:c r="K108" s="6" t="str">
        <x:v>CATL</x:v>
      </x:c>
      <x:c r="L108" s="6" t="str">
        <x:v>https://www.catl.com/en/news/6720.html</x:v>
      </x:c>
      <x:c r="M108" s="6" t="str">
        <x:v>2026-02-05</x:v>
      </x:c>
    </x:row>
    <x:row r="109" ht="15" hidden="0" customHeight="1">
      <x:c r="A109" s="12" t="n">
        <x:v>33</x:v>
      </x:c>
      <x:c r="B109" s="6" t="str">
        <x:v>Sodium-ion batteries</x:v>
      </x:c>
      <x:c r="C109" s="6" t="str">
        <x:v>CATL sodium-ion storage shipment target</x:v>
      </x:c>
      <x:c r="D109" s="12" t="n">
        <x:v>2026</x:v>
      </x:c>
      <x:c r="E109" s="18" t="n">
        <x:v>1</x:v>
      </x:c>
      <x:c r="F109" s="6" t="str">
        <x:v>GWh cumulative shipments</x:v>
      </x:c>
      <x:c r="G109" s="6" t="str">
        <x:v>Company shipment target</x:v>
      </x:c>
      <x:c r="H109" s="6" t="str"/>
      <x:c r="I109" s="6" t="str">
        <x:v>CATL sodium-ion energy storage, end-2026 target</x:v>
      </x:c>
      <x:c r="J109" s="6" t="str">
        <x:v>A June 2026 target, not confirmed delivered volume at the research cutoff.</x:v>
      </x:c>
      <x:c r="K109" s="6" t="str">
        <x:v>CATL</x:v>
      </x:c>
      <x:c r="L109" s="6" t="str">
        <x:v>https://www.catl.com/en/news/6861.html</x:v>
      </x:c>
      <x:c r="M109" s="6" t="str">
        <x:v>2026-06-22</x:v>
      </x:c>
    </x:row>
    <x:row r="110" ht="15" hidden="0" customHeight="1">
      <x:c r="A110" s="12" t="n">
        <x:v>33</x:v>
      </x:c>
      <x:c r="B110" s="6" t="str">
        <x:v>Sodium-ion batteries</x:v>
      </x:c>
      <x:c r="C110" s="6" t="str">
        <x:v>CATL/HyperStrong three-year supply agreement</x:v>
      </x:c>
      <x:c r="D110" s="12" t="n">
        <x:v>2029</x:v>
      </x:c>
      <x:c r="E110" s="18" t="n">
        <x:v>60</x:v>
      </x:c>
      <x:c r="F110" s="6" t="str">
        <x:v>GWh across agreement</x:v>
      </x:c>
      <x:c r="G110" s="6" t="str">
        <x:v>Announced supply agreement</x:v>
      </x:c>
      <x:c r="H110" s="6" t="str"/>
      <x:c r="I110" s="6" t="str">
        <x:v>Aggregate three-year agreement announced April 2026; endpoint year calculated from the stated term</x:v>
      </x:c>
      <x:c r="J110" s="6" t="str">
        <x:v>Contracted/planned multi-year volume, not annual output, capacity already installed or a forecast for the whole sodium-ion market. Execution remains uncertain.</x:v>
      </x:c>
      <x:c r="K110" s="6" t="str">
        <x:v>CATL</x:v>
      </x:c>
      <x:c r="L110" s="6" t="str">
        <x:v>https://www.catl.com/en/news/6812.html</x:v>
      </x:c>
      <x:c r="M110" s="6" t="str">
        <x:v>2026-05-06</x:v>
      </x:c>
    </x:row>
    <x:row r="111" ht="24" hidden="0" customHeight="1">
      <x:c r="A111" s="12" t="n">
        <x:v>34</x:v>
      </x:c>
      <x:c r="B111" s="6" t="str">
        <x:v>Advanced geothermal</x:v>
      </x:c>
      <x:c r="C111" s="6" t="str">
        <x:v>Fastest cited Fervo horizontal well: drilling duration</x:v>
      </x:c>
      <x:c r="D111" s="12" t="n">
        <x:v>2022</x:v>
      </x:c>
      <x:c r="E111" s="23" t="n">
        <x:v>70</x:v>
      </x:c>
      <x:c r="F111" s="6" t="str">
        <x:v>days</x:v>
      </x:c>
      <x:c r="G111" s="6" t="str">
        <x:v>derived from reported reduction</x:v>
      </x:c>
      <x:c r="H111" s="6" t="str"/>
      <x:c r="I111" s="6" t="str">
        <x:v>Technology-performance proxy, not market adoption; different well generations and depths.</x:v>
      </x:c>
      <x:c r="J111" s="6" t="str">
        <x:v>Reported value qualifier: ≈ (retain this when interpreting the number). 2022 is implied by the issuer’s 70% reduction to 21 days. These are selected fastest wells, not an average, and the 2026 well was substantially deeper. A flat duration can therefore coincide with improving drilling capability. Do not calculate adoption CAGR.</x:v>
      </x:c>
      <x:c r="K111" s="6" t="str">
        <x:v>Fervo Energy</x:v>
      </x:c>
      <x:c r="L111" s="6" t="str">
        <x:v>https://fervoenergy.com/fervo-energy-drilling-results-show-rapid-advancement-of-geothermal-performance/</x:v>
      </x:c>
      <x:c r="M111" s="6" t="str">
        <x:v>2024-02-12</x:v>
      </x:c>
    </x:row>
    <x:row r="112" ht="24" hidden="0" customHeight="1">
      <x:c r="A112" s="12" t="n">
        <x:v>34</x:v>
      </x:c>
      <x:c r="B112" s="6" t="str">
        <x:v>Advanced geothermal</x:v>
      </x:c>
      <x:c r="C112" s="6" t="str">
        <x:v>Fastest cited Fervo horizontal well: drilling duration</x:v>
      </x:c>
      <x:c r="D112" s="12" t="n">
        <x:v>2024</x:v>
      </x:c>
      <x:c r="E112" s="18" t="n">
        <x:v>21</x:v>
      </x:c>
      <x:c r="F112" s="6" t="str">
        <x:v>days</x:v>
      </x:c>
      <x:c r="G112" s="6" t="str">
        <x:v>observed</x:v>
      </x:c>
      <x:c r="H112" s="6" t="str"/>
      <x:c r="I112" s="6" t="str">
        <x:v>Technology-performance proxy, not market adoption; different well generations and depths.</x:v>
      </x:c>
      <x:c r="J112" s="6" t="str">
        <x:v>2022 is implied by the issuer’s 70% reduction to 21 days. These are selected fastest wells, not an average, and the 2026 well was substantially deeper. A flat duration can therefore coincide with improving drilling capability. Do not calculate adoption CAGR.</x:v>
      </x:c>
      <x:c r="K112" s="6" t="str">
        <x:v>Fervo Energy</x:v>
      </x:c>
      <x:c r="L112" s="6" t="str">
        <x:v>https://fervoenergy.com/fervo-energy-drilling-results-show-rapid-advancement-of-geothermal-performance/</x:v>
      </x:c>
      <x:c r="M112" s="6" t="str">
        <x:v>2024-02-12</x:v>
      </x:c>
    </x:row>
    <x:row r="113" ht="24" hidden="0" customHeight="1">
      <x:c r="A113" s="12" t="n">
        <x:v>34</x:v>
      </x:c>
      <x:c r="B113" s="6" t="str">
        <x:v>Advanced geothermal</x:v>
      </x:c>
      <x:c r="C113" s="6" t="str">
        <x:v>Fastest cited Fervo horizontal well: drilling duration</x:v>
      </x:c>
      <x:c r="D113" s="12" t="n">
        <x:v>2026</x:v>
      </x:c>
      <x:c r="E113" s="18" t="n">
        <x:v>21</x:v>
      </x:c>
      <x:c r="F113" s="6" t="str">
        <x:v>days</x:v>
      </x:c>
      <x:c r="G113" s="6" t="str">
        <x:v>observed</x:v>
      </x:c>
      <x:c r="H113" s="6" t="str">
        <x:v>2026-07-08</x:v>
      </x:c>
      <x:c r="I113" s="6" t="str">
        <x:v>Technology-performance proxy, not market adoption; different well generations and depths.</x:v>
      </x:c>
      <x:c r="J113" s="6" t="str">
        <x:v>2022 is implied by the issuer’s 70% reduction to 21 days. These are selected fastest wells, not an average, and the 2026 well was substantially deeper. A flat duration can therefore coincide with improving drilling capability. Do not calculate adoption CAGR.</x:v>
      </x:c>
      <x:c r="K113" s="6" t="str">
        <x:v>Fervo Energy</x:v>
      </x:c>
      <x:c r="L113" s="6" t="str">
        <x:v>https://fervoenergy.com/fervo-energy-learning-curve-continues-on-3rd-generation-well-design-boosting-drilling-rates-by-143-since-its-first-cape-station-well/</x:v>
      </x:c>
      <x:c r="M113" s="6" t="str">
        <x:v>2026-07-08</x:v>
      </x:c>
    </x:row>
    <x:row r="114" ht="15" hidden="0" customHeight="1">
      <x:c r="A114" s="12" t="n">
        <x:v>34</x:v>
      </x:c>
      <x:c r="B114" s="6" t="str">
        <x:v>Advanced geothermal</x:v>
      </x:c>
      <x:c r="C114" s="6" t="str">
        <x:v>Possible next-generation geothermal project cost reduction</x:v>
      </x:c>
      <x:c r="D114" s="12" t="n">
        <x:v>2035</x:v>
      </x:c>
      <x:c r="E114" s="18" t="n">
        <x:v>80</x:v>
      </x:c>
      <x:c r="F114" s="6" t="str">
        <x:v>%</x:v>
      </x:c>
      <x:c r="G114" s="6" t="str">
        <x:v>IEA conditional potential</x:v>
      </x:c>
      <x:c r="H114" s="6" t="str"/>
      <x:c r="I114" s="6" t="str">
        <x:v>Next-generation geothermal relative to current project costs</x:v>
      </x:c>
      <x:c r="J114" s="6" t="str">
        <x:v>The IEA says costs could fall by up to 80% with scaling, learning and supportive policy; this is not an expected installed-capacity forecast.</x:v>
      </x:c>
      <x:c r="K114" s="6" t="str">
        <x:v>IEA</x:v>
      </x:c>
      <x:c r="L114" s="6" t="str">
        <x:v>https://www.iea.org/reports/the-future-of-geothermal-energy/executive-summary</x:v>
      </x:c>
      <x:c r="M114" s="6" t="str">
        <x:v>2024-12-13</x:v>
      </x:c>
    </x:row>
    <x:row r="115" ht="24" hidden="0" customHeight="1">
      <x:c r="A115" s="12" t="n">
        <x:v>35</x:v>
      </x:c>
      <x:c r="B115" s="6" t="str">
        <x:v>Small modular nuclear reactors</x:v>
      </x:c>
      <x:c r="C115" s="6" t="str">
        <x:v>SMR designs assessed in the NEA dashboard</x:v>
      </x:c>
      <x:c r="D115" s="12" t="n">
        <x:v>2023</x:v>
      </x:c>
      <x:c r="E115" s="18" t="n">
        <x:v>42</x:v>
      </x:c>
      <x:c r="F115" s="6" t="str">
        <x:v>designs</x:v>
      </x:c>
      <x:c r="G115" s="6" t="str">
        <x:v>observed</x:v>
      </x:c>
      <x:c r="H115" s="6" t="str"/>
      <x:c r="I115" s="6" t="str">
        <x:v>Research/readiness coverage proxy; not reactors built, MW operating, sales or adoption.</x:v>
      </x:c>
      <x:c r="J115" s="6" t="str">
        <x:v>The assessed universe expands and eligibility changes, so the increase cannot be interpreted as deployment growth. The 2026 79-design figure is the digital dashboard snapshot; 129 designs were being tracked in its wider universe. No comparable full-year global operating SMR series was established here.</x:v>
      </x:c>
      <x:c r="K115" s="6" t="str">
        <x:v>OECD Nuclear Energy Agency</x:v>
      </x:c>
      <x:c r="L115" s="6" t="str">
        <x:v>https://www.oecd-nea.org/jcms/pl_73678/nea-small-modular-reactor-smr-dashboard</x:v>
      </x:c>
      <x:c r="M115" s="6" t="str"/>
    </x:row>
    <x:row r="116" ht="24" hidden="0" customHeight="1">
      <x:c r="A116" s="12" t="n">
        <x:v>35</x:v>
      </x:c>
      <x:c r="B116" s="6" t="str">
        <x:v>Small modular nuclear reactors</x:v>
      </x:c>
      <x:c r="C116" s="6" t="str">
        <x:v>SMR designs assessed in the NEA dashboard</x:v>
      </x:c>
      <x:c r="D116" s="12" t="n">
        <x:v>2024</x:v>
      </x:c>
      <x:c r="E116" s="18" t="n">
        <x:v>56</x:v>
      </x:c>
      <x:c r="F116" s="6" t="str">
        <x:v>designs</x:v>
      </x:c>
      <x:c r="G116" s="6" t="str">
        <x:v>observed</x:v>
      </x:c>
      <x:c r="H116" s="6" t="str"/>
      <x:c r="I116" s="6" t="str">
        <x:v>Research/readiness coverage proxy; not reactors built, MW operating, sales or adoption.</x:v>
      </x:c>
      <x:c r="J116" s="6" t="str">
        <x:v>The assessed universe expands and eligibility changes, so the increase cannot be interpreted as deployment growth. The 2026 79-design figure is the digital dashboard snapshot; 129 designs were being tracked in its wider universe. No comparable full-year global operating SMR series was established here.</x:v>
      </x:c>
      <x:c r="K116" s="6" t="str">
        <x:v>OECD Nuclear Energy Agency</x:v>
      </x:c>
      <x:c r="L116" s="6" t="str">
        <x:v>https://www.oecd-nea.org/jcms/pl_73678/nea-small-modular-reactor-smr-dashboard</x:v>
      </x:c>
      <x:c r="M116" s="6" t="str"/>
    </x:row>
    <x:row r="117" ht="24" hidden="0" customHeight="1">
      <x:c r="A117" s="12" t="n">
        <x:v>35</x:v>
      </x:c>
      <x:c r="B117" s="6" t="str">
        <x:v>Small modular nuclear reactors</x:v>
      </x:c>
      <x:c r="C117" s="6" t="str">
        <x:v>SMR designs assessed in the NEA dashboard</x:v>
      </x:c>
      <x:c r="D117" s="12" t="n">
        <x:v>2025</x:v>
      </x:c>
      <x:c r="E117" s="18" t="n">
        <x:v>74</x:v>
      </x:c>
      <x:c r="F117" s="6" t="str">
        <x:v>designs</x:v>
      </x:c>
      <x:c r="G117" s="6" t="str">
        <x:v>observed</x:v>
      </x:c>
      <x:c r="H117" s="6" t="str"/>
      <x:c r="I117" s="6" t="str">
        <x:v>Research/readiness coverage proxy; not reactors built, MW operating, sales or adoption.</x:v>
      </x:c>
      <x:c r="J117" s="6" t="str">
        <x:v>The assessed universe expands and eligibility changes, so the increase cannot be interpreted as deployment growth. The 2026 79-design figure is the digital dashboard snapshot; 129 designs were being tracked in its wider universe. No comparable full-year global operating SMR series was established here.</x:v>
      </x:c>
      <x:c r="K117" s="6" t="str">
        <x:v>OECD Nuclear Energy Agency</x:v>
      </x:c>
      <x:c r="L117" s="6" t="str">
        <x:v>https://www.oecd-nea.org/jcms/pl_73678/nea-small-modular-reactor-smr-dashboard</x:v>
      </x:c>
      <x:c r="M117" s="6" t="str"/>
    </x:row>
    <x:row r="118" ht="24" hidden="0" customHeight="1">
      <x:c r="A118" s="12" t="n">
        <x:v>35</x:v>
      </x:c>
      <x:c r="B118" s="6" t="str">
        <x:v>Small modular nuclear reactors</x:v>
      </x:c>
      <x:c r="C118" s="6" t="str">
        <x:v>SMR designs assessed in the NEA dashboard</x:v>
      </x:c>
      <x:c r="D118" s="12" t="n">
        <x:v>2026</x:v>
      </x:c>
      <x:c r="E118" s="18" t="n">
        <x:v>79</x:v>
      </x:c>
      <x:c r="F118" s="6" t="str">
        <x:v>designs</x:v>
      </x:c>
      <x:c r="G118" s="6" t="str">
        <x:v>observed</x:v>
      </x:c>
      <x:c r="H118" s="6" t="str">
        <x:v>2026-09-28</x:v>
      </x:c>
      <x:c r="I118" s="6" t="str">
        <x:v>Research/readiness coverage proxy; not reactors built, MW operating, sales or adoption.</x:v>
      </x:c>
      <x:c r="J118" s="6" t="str">
        <x:v>The assessed universe expands and eligibility changes, so the increase cannot be interpreted as deployment growth. The 2026 79-design figure is the digital dashboard snapshot; 129 designs were being tracked in its wider universe. No comparable full-year global operating SMR series was established here.</x:v>
      </x:c>
      <x:c r="K118" s="6" t="str">
        <x:v>OECD Nuclear Energy Agency</x:v>
      </x:c>
      <x:c r="L118" s="6" t="str">
        <x:v>https://cms.oecd-nea.org/jcms/pl_107879/nea-small-modular-reactor-digital-dashboard</x:v>
      </x:c>
      <x:c r="M118" s="6" t="str"/>
    </x:row>
    <x:row r="119" ht="24" hidden="0" customHeight="1">
      <x:c r="A119" s="12" t="n">
        <x:v>35</x:v>
      </x:c>
      <x:c r="B119" s="6" t="str">
        <x:v>Small modular nuclear reactors</x:v>
      </x:c>
      <x:c r="C119" s="6" t="str">
        <x:v>Global SMR capacity: current-policy scenario</x:v>
      </x:c>
      <x:c r="D119" s="12" t="n">
        <x:v>2050</x:v>
      </x:c>
      <x:c r="E119" s="18" t="n">
        <x:v>40</x:v>
      </x:c>
      <x:c r="F119" s="6" t="str">
        <x:v>GW</x:v>
      </x:c>
      <x:c r="G119" s="6" t="str">
        <x:v>IEA scenario beyond the 2035 atlas horizon</x:v>
      </x:c>
      <x:c r="H119" s="6" t="str"/>
      <x:c r="I119" s="6" t="str">
        <x:v>Global small modular reactor capacity</x:v>
      </x:c>
      <x:c r="J119" s="6" t="str">
        <x:v>Longer-range context only; initial commercial projects and subsequent repeat orders still face financing and execution gates.</x:v>
      </x:c>
      <x:c r="K119" s="6" t="str">
        <x:v>IEA</x:v>
      </x:c>
      <x:c r="L119" s="6" t="str">
        <x:v>https://www.iea.org/reports/the-path-to-a-new-era-for-nuclear-energy/executive-summary</x:v>
      </x:c>
      <x:c r="M119" s="6" t="str">
        <x:v>2025-01-16</x:v>
      </x:c>
    </x:row>
    <x:row r="120" ht="24" hidden="0" customHeight="1">
      <x:c r="A120" s="12" t="n">
        <x:v>35</x:v>
      </x:c>
      <x:c r="B120" s="6" t="str">
        <x:v>Small modular nuclear reactors</x:v>
      </x:c>
      <x:c r="C120" s="6" t="str">
        <x:v>Global SMR capacity: faster-growth scenario</x:v>
      </x:c>
      <x:c r="D120" s="12" t="n">
        <x:v>2050</x:v>
      </x:c>
      <x:c r="E120" s="18" t="n">
        <x:v>120</x:v>
      </x:c>
      <x:c r="F120" s="6" t="str">
        <x:v>GW</x:v>
      </x:c>
      <x:c r="G120" s="6" t="str">
        <x:v>IEA conditional scenario beyond the 2035 atlas horizon</x:v>
      </x:c>
      <x:c r="H120" s="6" t="str"/>
      <x:c r="I120" s="6" t="str">
        <x:v>Global small modular reactor capacity</x:v>
      </x:c>
      <x:c r="J120" s="6" t="str">
        <x:v>This higher case depends on successful delivery and policy alignment; it must not be mistaken for guaranteed 2035 deployment.</x:v>
      </x:c>
      <x:c r="K120" s="6" t="str">
        <x:v>IEA</x:v>
      </x:c>
      <x:c r="L120" s="6" t="str">
        <x:v>https://www.iea.org/reports/the-path-to-a-new-era-for-nuclear-energy/executive-summary</x:v>
      </x:c>
      <x:c r="M120" s="6" t="str">
        <x:v>2025-01-16</x:v>
      </x:c>
    </x:row>
    <x:row r="121" ht="36" hidden="0" customHeight="1">
      <x:c r="A121" s="12" t="n">
        <x:v>36</x:v>
      </x:c>
      <x:c r="B121" s="6" t="str">
        <x:v>High-temperature and industrial heat pumps</x:v>
      </x:c>
      <x:c r="C121" s="6" t="str">
        <x:v>Installed industrial heat-pump capacity in Japan</x:v>
      </x:c>
      <x:c r="D121" s="12" t="n">
        <x:v>2024</x:v>
      </x:c>
      <x:c r="E121" s="23" t="n">
        <x:v>650</x:v>
      </x:c>
      <x:c r="F121" s="6" t="str">
        <x:v>MW thermal</x:v>
      </x:c>
      <x:c r="G121" s="6" t="str">
        <x:v>observed</x:v>
      </x:c>
      <x:c r="H121" s="6" t="str"/>
      <x:c r="I121" s="6" t="str">
        <x:v>Japan; industrial equipment only, not residential or all commercial heat pumps.</x:v>
      </x:c>
      <x:c r="J121" s="6" t="str">
        <x:v>Reported value qualifier: ≈ (retain this when interpreting the number). Only one comparable observation within 2021–2026 was publicly established in the selected sources. The IEA/HPT commentary gives 290 MW a decade earlier, but that lies outside the requested five-year window. Do not invent annual values or infer the industrial trend from residential sales.</x:v>
      </x:c>
      <x:c r="K121" s="6" t="str">
        <x:v>IEA</x:v>
      </x:c>
      <x:c r="L121" s="6" t="str">
        <x:v>https://www.iea.org/reports/heat-pump-monitor-2026/key-findings</x:v>
      </x:c>
      <x:c r="M121" s="6" t="str">
        <x:v>2026-07-28</x:v>
      </x:c>
    </x:row>
    <x:row r="122" ht="15" hidden="0" customHeight="1">
      <x:c r="A122" s="12" t="n">
        <x:v>36</x:v>
      </x:c>
      <x:c r="B122" s="6" t="str">
        <x:v>High-temperature and industrial heat pumps</x:v>
      </x:c>
      <x:c r="C122" s="6" t="str">
        <x:v>Industrial heat pumps: stated-policy scenario</x:v>
      </x:c>
      <x:c r="D122" s="12" t="n">
        <x:v>2035</x:v>
      </x:c>
      <x:c r="E122" s="18" t="n">
        <x:v>8</x:v>
      </x:c>
      <x:c r="F122" s="6" t="str">
        <x:v>% of heat demand</x:v>
      </x:c>
      <x:c r="G122" s="6" t="str">
        <x:v>IEA STEPS scenario</x:v>
      </x:c>
      <x:c r="H122" s="6" t="str"/>
      <x:c r="I122" s="6" t="str">
        <x:v>Global light-industry heat demand</x:v>
      </x:c>
      <x:c r="J122" s="6" t="str">
        <x:v>About 8% under stated policies; not all industrial heat and not the stagnant current-policy case.</x:v>
      </x:c>
      <x:c r="K122" s="6" t="str">
        <x:v>IEA</x:v>
      </x:c>
      <x:c r="L122" s="6" t="str">
        <x:v>https://www.iea.org/reports/heat-pump-monitor-2026/key-findings</x:v>
      </x:c>
      <x:c r="M122" s="6" t="str">
        <x:v>2026-07-28</x:v>
      </x:c>
    </x:row>
    <x:row r="123" ht="15" hidden="0" customHeight="1">
      <x:c r="A123" s="12" t="n">
        <x:v>36</x:v>
      </x:c>
      <x:c r="B123" s="6" t="str">
        <x:v>High-temperature and industrial heat pumps</x:v>
      </x:c>
      <x:c r="C123" s="6" t="str">
        <x:v>Industrial heat pumps: net-zero pathway</x:v>
      </x:c>
      <x:c r="D123" s="12" t="n">
        <x:v>2035</x:v>
      </x:c>
      <x:c r="E123" s="18" t="n">
        <x:v>20</x:v>
      </x:c>
      <x:c r="F123" s="6" t="str">
        <x:v>% of heat demand</x:v>
      </x:c>
      <x:c r="G123" s="6" t="str">
        <x:v>IEA NZE normative pathway</x:v>
      </x:c>
      <x:c r="H123" s="6" t="str"/>
      <x:c r="I123" s="6" t="str">
        <x:v>Global light-industry heat demand</x:v>
      </x:c>
      <x:c r="J123" s="6" t="str">
        <x:v>A pathway consistent with the IEA net-zero scenario, not an unconditional market forecast.</x:v>
      </x:c>
      <x:c r="K123" s="6" t="str">
        <x:v>IEA</x:v>
      </x:c>
      <x:c r="L123" s="6" t="str">
        <x:v>https://www.iea.org/reports/heat-pump-monitor-2026/key-findings</x:v>
      </x:c>
      <x:c r="M123" s="6" t="str">
        <x:v>2026-07-28</x:v>
      </x:c>
    </x:row>
    <x:row r="124" ht="24" hidden="0" customHeight="1">
      <x:c r="A124" s="12" t="n">
        <x:v>37</x:v>
      </x:c>
      <x:c r="B124" s="6" t="str">
        <x:v>Virtual power plants and demand flexibility</x:v>
      </x:c>
      <x:c r="C124" s="6" t="str">
        <x:v>Residential share of North American VPP wholesale-market capacity</x:v>
      </x:c>
      <x:c r="D124" s="12" t="n">
        <x:v>2024</x:v>
      </x:c>
      <x:c r="E124" s="20" t="n">
        <x:v>8.8</x:v>
      </x:c>
      <x:c r="F124" s="6" t="str">
        <x:v>%</x:v>
      </x:c>
      <x:c r="G124" s="6" t="str">
        <x:v>observed</x:v>
      </x:c>
      <x:c r="H124" s="6" t="str"/>
      <x:c r="I124" s="6" t="str">
        <x:v>Wood Mackenzie study definitions; share of VPP capacity serving wholesale markets, not share of total grid load.</x:v>
      </x:c>
      <x:c r="J124" s="6" t="str">
        <x:v>Changes in surveyed coverage and market participation can affect the share. Show percentage-point change, not CAGR. Total surveyed VPP capacity in 2025 was 37.5 GW, up 13.7%.</x:v>
      </x:c>
      <x:c r="K124" s="6" t="str">
        <x:v>Wood Mackenzie</x:v>
      </x:c>
      <x:c r="L124" s="6" t="str">
        <x:v>https://www.woodmac.com/press-releases/virtual-power-plant-capacity-expands-13.7-year-over-year-to-reach-37.5-gw</x:v>
      </x:c>
      <x:c r="M124" s="6" t="str">
        <x:v>2025-09-18</x:v>
      </x:c>
    </x:row>
    <x:row r="125" ht="24" hidden="0" customHeight="1">
      <x:c r="A125" s="12" t="n">
        <x:v>37</x:v>
      </x:c>
      <x:c r="B125" s="6" t="str">
        <x:v>Virtual power plants and demand flexibility</x:v>
      </x:c>
      <x:c r="C125" s="6" t="str">
        <x:v>Residential share of North American VPP wholesale-market capacity</x:v>
      </x:c>
      <x:c r="D125" s="12" t="n">
        <x:v>2025</x:v>
      </x:c>
      <x:c r="E125" s="20" t="n">
        <x:v>10.2</x:v>
      </x:c>
      <x:c r="F125" s="6" t="str">
        <x:v>%</x:v>
      </x:c>
      <x:c r="G125" s="6" t="str">
        <x:v>observed</x:v>
      </x:c>
      <x:c r="H125" s="6" t="str"/>
      <x:c r="I125" s="6" t="str">
        <x:v>Wood Mackenzie study definitions; share of VPP capacity serving wholesale markets, not share of total grid load.</x:v>
      </x:c>
      <x:c r="J125" s="6" t="str">
        <x:v>Changes in surveyed coverage and market participation can affect the share. Show percentage-point change, not CAGR. Total surveyed VPP capacity in 2025 was 37.5 GW, up 13.7%.</x:v>
      </x:c>
      <x:c r="K125" s="6" t="str">
        <x:v>Wood Mackenzie</x:v>
      </x:c>
      <x:c r="L125" s="6" t="str">
        <x:v>https://www.woodmac.com/press-releases/virtual-power-plant-capacity-expands-13.7-year-over-year-to-reach-37.5-gw</x:v>
      </x:c>
      <x:c r="M125" s="6" t="str">
        <x:v>2025-09-18</x:v>
      </x:c>
    </x:row>
    <x:row r="126" ht="15" hidden="0" customHeight="1">
      <x:c r="A126" s="12" t="n">
        <x:v>37</x:v>
      </x:c>
      <x:c r="B126" s="6" t="str">
        <x:v>Virtual power plants and demand flexibility</x:v>
      </x:c>
      <x:c r="C126" s="6" t="str">
        <x:v>US VPP capacity pathway: lower bound</x:v>
      </x:c>
      <x:c r="D126" s="12" t="n">
        <x:v>2030</x:v>
      </x:c>
      <x:c r="E126" s="18" t="n">
        <x:v>80</x:v>
      </x:c>
      <x:c r="F126" s="6" t="str">
        <x:v>GW</x:v>
      </x:c>
      <x:c r="G126" s="6" t="str">
        <x:v>DOE conditional scale-up pathway</x:v>
      </x:c>
      <x:c r="H126" s="6" t="str"/>
      <x:c r="I126" s="6" t="str">
        <x:v>US VPP capacity under the broad DOE definition</x:v>
      </x:c>
      <x:c r="J126" s="6" t="str">
        <x:v>The full range is 80–160 GW. This scope is broader than the historical Wood Mackenzie North America study and should not be connected directly to that series.</x:v>
      </x:c>
      <x:c r="K126" s="6" t="str">
        <x:v>US Department of Energy</x:v>
      </x:c>
      <x:c r="L126" s="6" t="str">
        <x:v>https://www.energy.gov/edf/virtual-power-plants-projects</x:v>
      </x:c>
      <x:c r="M126" s="6" t="str"/>
    </x:row>
    <x:row r="127" ht="15" hidden="0" customHeight="1">
      <x:c r="A127" s="12" t="n">
        <x:v>37</x:v>
      </x:c>
      <x:c r="B127" s="6" t="str">
        <x:v>Virtual power plants and demand flexibility</x:v>
      </x:c>
      <x:c r="C127" s="6" t="str">
        <x:v>US VPP capacity pathway: upper bound</x:v>
      </x:c>
      <x:c r="D127" s="12" t="n">
        <x:v>2030</x:v>
      </x:c>
      <x:c r="E127" s="18" t="n">
        <x:v>160</x:v>
      </x:c>
      <x:c r="F127" s="6" t="str">
        <x:v>GW</x:v>
      </x:c>
      <x:c r="G127" s="6" t="str">
        <x:v>DOE conditional scale-up pathway</x:v>
      </x:c>
      <x:c r="H127" s="6" t="str"/>
      <x:c r="I127" s="6" t="str">
        <x:v>US VPP capacity under the broad DOE definition</x:v>
      </x:c>
      <x:c r="J127" s="6" t="str">
        <x:v>Upper bound of a potential 2030 range, not a committed-project forecast.</x:v>
      </x:c>
      <x:c r="K127" s="6" t="str">
        <x:v>US Department of Energy</x:v>
      </x:c>
      <x:c r="L127" s="6" t="str">
        <x:v>https://www.energy.gov/edf/virtual-power-plants-projects</x:v>
      </x:c>
      <x:c r="M127" s="6" t="str"/>
    </x:row>
    <x:row r="128" ht="24" hidden="0" customHeight="1">
      <x:c r="A128" s="12" t="n">
        <x:v>38</x:v>
      </x:c>
      <x:c r="B128" s="6" t="str">
        <x:v>Advanced transmission and grid-enhancing technologies</x:v>
      </x:c>
      <x:c r="C128" s="6" t="str">
        <x:v>Cumulative CTC Global ACCC conductor deployed</x:v>
      </x:c>
      <x:c r="D128" s="12" t="n">
        <x:v>2024</x:v>
      </x:c>
      <x:c r="E128" s="22" t="n">
        <x:v>175</x:v>
      </x:c>
      <x:c r="F128" s="6" t="str">
        <x:v>thousand km</x:v>
      </x:c>
      <x:c r="G128" s="6" t="str">
        <x:v>reported lower bound</x:v>
      </x:c>
      <x:c r="H128" s="6" t="str"/>
      <x:c r="I128" s="6" t="str">
        <x:v>One advanced-conductor supplier worldwide; a deployment proxy for one part of the grid-enhancement market.</x:v>
      </x:c>
      <x:c r="J128" s="6" t="str">
        <x:v>Reported value qualifier: ≥ (retain this when interpreting the number). These are cumulative vendor-reported lower bounds with different observation dates, not annual sales or an independent census. Conductor kilometres are not equivalent to route kilometres or added grid MW. Dynamic line ratings and power-flow controllers are excluded.</x:v>
      </x:c>
      <x:c r="K128" s="6" t="str">
        <x:v>CTC Global</x:v>
      </x:c>
      <x:c r="L128" s="6" t="str">
        <x:v>https://campaignlp.constantcontact.com/em/1110237241357/8029ecbb-5c34-4563-85c9-5e3fe119ff91</x:v>
      </x:c>
      <x:c r="M128" s="6" t="str"/>
    </x:row>
    <x:row r="129" ht="24" hidden="0" customHeight="1">
      <x:c r="A129" s="12" t="n">
        <x:v>38</x:v>
      </x:c>
      <x:c r="B129" s="6" t="str">
        <x:v>Advanced transmission and grid-enhancing technologies</x:v>
      </x:c>
      <x:c r="C129" s="6" t="str">
        <x:v>Cumulative CTC Global ACCC conductor deployed</x:v>
      </x:c>
      <x:c r="D129" s="12" t="n">
        <x:v>2025</x:v>
      </x:c>
      <x:c r="E129" s="22" t="n">
        <x:v>185</x:v>
      </x:c>
      <x:c r="F129" s="6" t="str">
        <x:v>thousand km</x:v>
      </x:c>
      <x:c r="G129" s="6" t="str">
        <x:v>reported lower bound</x:v>
      </x:c>
      <x:c r="H129" s="6" t="str"/>
      <x:c r="I129" s="6" t="str">
        <x:v>One advanced-conductor supplier worldwide; a deployment proxy for one part of the grid-enhancement market.</x:v>
      </x:c>
      <x:c r="J129" s="6" t="str">
        <x:v>Reported value qualifier: ≥ (retain this when interpreting the number). These are cumulative vendor-reported lower bounds with different observation dates, not annual sales or an independent census. Conductor kilometres are not equivalent to route kilometres or added grid MW. Dynamic line ratings and power-flow controllers are excluded.</x:v>
      </x:c>
      <x:c r="K129" s="6" t="str">
        <x:v>CTC Global</x:v>
      </x:c>
      <x:c r="L129" s="6" t="str">
        <x:v>https://ctcglobal.com/meeting-the-moment-how-ctc-globals-accc-conductor-helps-address-surging-power-demand-from-data-centers-electrification-and-industrial-growth/</x:v>
      </x:c>
      <x:c r="M129" s="6" t="str">
        <x:v>2025-07-15</x:v>
      </x:c>
    </x:row>
    <x:row r="130" ht="24" hidden="0" customHeight="1">
      <x:c r="A130" s="12" t="n">
        <x:v>39</x:v>
      </x:c>
      <x:c r="B130" s="6" t="str">
        <x:v>Smart and bidirectional EV charging</x:v>
      </x:c>
      <x:c r="C130" s="6" t="str">
        <x:v>Public EV charging points in China: addressable-base proxy</x:v>
      </x:c>
      <x:c r="D130" s="12" t="n">
        <x:v>2024</x:v>
      </x:c>
      <x:c r="E130" s="24" t="n">
        <x:v>3.4</x:v>
      </x:c>
      <x:c r="F130" s="6" t="str">
        <x:v>million points</x:v>
      </x:c>
      <x:c r="G130" s="6" t="str">
        <x:v>observed</x:v>
      </x:c>
      <x:c r="H130" s="6" t="str"/>
      <x:c r="I130" s="6" t="str">
        <x:v>China public light-duty charging network; includes ordinary charging and is not a V2G installation count.</x:v>
      </x:c>
      <x:c r="J130" s="6" t="str">
        <x:v>Reported value qualifier: ≈ (retain this when interpreting the number). The proxy measures the broader charging ecosystem. Public sites often differ from the home/workplace locations best suited to bidirectional service. Do not read the historical or future line as smart-charging penetration.</x:v>
      </x:c>
      <x:c r="K130" s="6" t="str">
        <x:v>IEA</x:v>
      </x:c>
      <x:c r="L130" s="6" t="str">
        <x:v>https://www.iea.org/reports/global-ev-outlook-2026/electric-vehicle-charging-chap-6-and-10</x:v>
      </x:c>
      <x:c r="M130" s="6" t="str"/>
    </x:row>
    <x:row r="131" ht="24" hidden="0" customHeight="1">
      <x:c r="A131" s="12" t="n">
        <x:v>39</x:v>
      </x:c>
      <x:c r="B131" s="6" t="str">
        <x:v>Smart and bidirectional EV charging</x:v>
      </x:c>
      <x:c r="C131" s="6" t="str">
        <x:v>Public EV charging points in China: addressable-base proxy</x:v>
      </x:c>
      <x:c r="D131" s="12" t="n">
        <x:v>2025</x:v>
      </x:c>
      <x:c r="E131" s="24" t="n">
        <x:v>4.7</x:v>
      </x:c>
      <x:c r="F131" s="6" t="str">
        <x:v>million points</x:v>
      </x:c>
      <x:c r="G131" s="6" t="str">
        <x:v>observed</x:v>
      </x:c>
      <x:c r="H131" s="6" t="str"/>
      <x:c r="I131" s="6" t="str">
        <x:v>China public light-duty charging network; includes ordinary charging and is not a V2G installation count.</x:v>
      </x:c>
      <x:c r="J131" s="6" t="str">
        <x:v>Reported value qualifier: ≈ (retain this when interpreting the number). The proxy measures the broader charging ecosystem. Public sites often differ from the home/workplace locations best suited to bidirectional service. Do not read the historical or future line as smart-charging penetration.</x:v>
      </x:c>
      <x:c r="K131" s="6" t="str">
        <x:v>IEA</x:v>
      </x:c>
      <x:c r="L131" s="6" t="str">
        <x:v>https://www.iea.org/reports/global-ev-outlook-2026/electric-vehicle-charging-chap-6-and-10</x:v>
      </x:c>
      <x:c r="M131" s="6" t="str"/>
    </x:row>
    <x:row r="132" ht="24" hidden="0" customHeight="1">
      <x:c r="A132" s="12" t="n">
        <x:v>39</x:v>
      </x:c>
      <x:c r="B132" s="6" t="str">
        <x:v>Smart and bidirectional EV charging</x:v>
      </x:c>
      <x:c r="C132" s="6" t="str">
        <x:v>Public EV charging points in China: addressable-base proxy</x:v>
      </x:c>
      <x:c r="D132" s="12" t="n">
        <x:v>2035</x:v>
      </x:c>
      <x:c r="E132" s="23" t="n">
        <x:v>18</x:v>
      </x:c>
      <x:c r="F132" s="6" t="str">
        <x:v>million points</x:v>
      </x:c>
      <x:c r="G132" s="6" t="str">
        <x:v>IEA CPS and STEPS scenario</x:v>
      </x:c>
      <x:c r="H132" s="6" t="str"/>
      <x:c r="I132" s="6" t="str">
        <x:v>China public light-duty charging network; includes ordinary charging and is not a V2G installation count.</x:v>
      </x:c>
      <x:c r="J132" s="6" t="str">
        <x:v>Reported value qualifier: ≈ (retain this when interpreting the number). The proxy measures the broader charging ecosystem. Public sites often differ from the home/workplace locations best suited to bidirectional service. Do not read the historical or future line as smart-charging penetration.</x:v>
      </x:c>
      <x:c r="K132" s="6" t="str">
        <x:v>IEA</x:v>
      </x:c>
      <x:c r="L132" s="6" t="str">
        <x:v>https://www.iea.org/reports/global-ev-outlook-2026/electric-vehicle-charging-chap-6-and-10</x:v>
      </x:c>
      <x:c r="M132" s="6" t="str"/>
    </x:row>
    <x:row r="133" ht="24" hidden="0" customHeight="1">
      <x:c r="A133" s="12" t="n">
        <x:v>40</x:v>
      </x:c>
      <x:c r="B133" s="6" t="str">
        <x:v>Battery recycling and materials recovery</x:v>
      </x:c>
      <x:c r="C133" s="6" t="str">
        <x:v>Global lithium-ion battery recycling capacity index</x:v>
      </x:c>
      <x:c r="D133" s="12" t="n">
        <x:v>2022</x:v>
      </x:c>
      <x:c r="E133" s="18" t="n">
        <x:v>100</x:v>
      </x:c>
      <x:c r="F133" s="6" t="str">
        <x:v>index (2022 = 100)</x:v>
      </x:c>
      <x:c r="G133" s="6" t="str">
        <x:v>derived reference index</x:v>
      </x:c>
      <x:c r="H133" s="6" t="str"/>
      <x:c r="I133" s="6" t="str">
        <x:v>Index derived only from IEA’s reported 50% increase in recycling capacity during 2023.</x:v>
      </x:c>
      <x:c r="J133" s="6" t="str">
        <x:v>The index preserves the published growth rate without inventing absolute tonnage. Capacity is not throughput, recovered output, revenue or utilisation. No comparable annual 2024–2026 global throughput series was established.</x:v>
      </x:c>
      <x:c r="K133" s="6" t="str">
        <x:v>IEA</x:v>
      </x:c>
      <x:c r="L133" s="6" t="str">
        <x:v>https://www.iea.org/news/policy-momentum-behind-critical-minerals-recycling-gathering-pace-but-greater-uptake-required</x:v>
      </x:c>
      <x:c r="M133" s="6" t="str">
        <x:v>2024-11-18</x:v>
      </x:c>
    </x:row>
    <x:row r="134" ht="24" hidden="0" customHeight="1">
      <x:c r="A134" s="12" t="n">
        <x:v>40</x:v>
      </x:c>
      <x:c r="B134" s="6" t="str">
        <x:v>Battery recycling and materials recovery</x:v>
      </x:c>
      <x:c r="C134" s="6" t="str">
        <x:v>Global lithium-ion battery recycling capacity index</x:v>
      </x:c>
      <x:c r="D134" s="12" t="n">
        <x:v>2023</x:v>
      </x:c>
      <x:c r="E134" s="18" t="n">
        <x:v>150</x:v>
      </x:c>
      <x:c r="F134" s="6" t="str">
        <x:v>index (2022 = 100)</x:v>
      </x:c>
      <x:c r="G134" s="6" t="str">
        <x:v>derived from reported growth</x:v>
      </x:c>
      <x:c r="H134" s="6" t="str"/>
      <x:c r="I134" s="6" t="str">
        <x:v>Index derived only from IEA’s reported 50% increase in recycling capacity during 2023.</x:v>
      </x:c>
      <x:c r="J134" s="6" t="str">
        <x:v>The index preserves the published growth rate without inventing absolute tonnage. Capacity is not throughput, recovered output, revenue or utilisation. No comparable annual 2024–2026 global throughput series was established.</x:v>
      </x:c>
      <x:c r="K134" s="6" t="str">
        <x:v>IEA</x:v>
      </x:c>
      <x:c r="L134" s="6" t="str">
        <x:v>https://www.iea.org/news/policy-momentum-behind-critical-minerals-recycling-gathering-pace-but-greater-uptake-required</x:v>
      </x:c>
      <x:c r="M134" s="6" t="str">
        <x:v>2024-11-18</x:v>
      </x:c>
    </x:row>
    <x:row r="135" ht="24" hidden="0" customHeight="1">
      <x:c r="A135" s="12" t="n">
        <x:v>40</x:v>
      </x:c>
      <x:c r="B135" s="6" t="str">
        <x:v>Battery recycling and materials recovery</x:v>
      </x:c>
      <x:c r="C135" s="6" t="str">
        <x:v>Announced capacity relative to available feedstock</x:v>
      </x:c>
      <x:c r="D135" s="12" t="n">
        <x:v>2030</x:v>
      </x:c>
      <x:c r="E135" s="18" t="n">
        <x:v>7</x:v>
      </x:c>
      <x:c r="F135" s="6" t="str">
        <x:v>times</x:v>
      </x:c>
      <x:c r="G135" s="6" t="str">
        <x:v>IEA conditional capacity/feedstock imbalance</x:v>
      </x:c>
      <x:c r="H135" s="6" t="str"/>
      <x:c r="I135" s="6" t="str">
        <x:v>Global battery recycling, IEA Announced Pledges Scenario</x:v>
      </x:c>
      <x:c r="J135" s="6" t="str">
        <x:v>Announced capacity could be seven times available material, highlighting utilisation risk. This is not a forecast of recovered output.</x:v>
      </x:c>
      <x:c r="K135" s="6" t="str">
        <x:v>IEA</x:v>
      </x:c>
      <x:c r="L135" s="6" t="str">
        <x:v>https://www.iea.org/reports/recycling-of-critical-minerals/executive-summary</x:v>
      </x:c>
      <x:c r="M135" s="6" t="str">
        <x:v>2024-11-18</x:v>
      </x:c>
    </x:row>
    <x:row r="136" ht="24" hidden="0" customHeight="1">
      <x:c r="A136" s="12" t="n">
        <x:v>41</x:v>
      </x:c>
      <x:c r="B136" s="6" t="str">
        <x:v>Low-emissions hydrogen and electrolyzers</x:v>
      </x:c>
      <x:c r="C136" s="6" t="str">
        <x:v>Announced 2030 low-emissions hydrogen production pipeline</x:v>
      </x:c>
      <x:c r="D136" s="12" t="n">
        <x:v>2024</x:v>
      </x:c>
      <x:c r="E136" s="18" t="n">
        <x:v>49</x:v>
      </x:c>
      <x:c r="F136" s="6" t="str">
        <x:v>Mt/year</x:v>
      </x:c>
      <x:c r="G136" s="6" t="str">
        <x:v>pipeline assessment</x:v>
      </x:c>
      <x:c r="H136" s="6" t="str"/>
      <x:c r="I136" s="6" t="str">
        <x:v>Global annual production proposed for 2030, as assessed in successive IEA reviews; a changing expectation, not actual output.</x:v>
      </x:c>
      <x:c r="J136" s="6" t="str">
        <x:v>The series shows revisions to projects intended for the same future year. It must not be displayed as realised production or extrapolated as a declining production curve. Actual low-emissions output rose 20% in 2025 to almost 1 Mt.</x:v>
      </x:c>
      <x:c r="K136" s="6" t="str">
        <x:v>IEA</x:v>
      </x:c>
      <x:c r="L136" s="6" t="str">
        <x:v>https://www.iea.org/reports/global-hydrogen-review-2025/executive-summary</x:v>
      </x:c>
      <x:c r="M136" s="6" t="str">
        <x:v>2025-09-12</x:v>
      </x:c>
    </x:row>
    <x:row r="137" ht="24" hidden="0" customHeight="1">
      <x:c r="A137" s="12" t="n">
        <x:v>41</x:v>
      </x:c>
      <x:c r="B137" s="6" t="str">
        <x:v>Low-emissions hydrogen and electrolyzers</x:v>
      </x:c>
      <x:c r="C137" s="6" t="str">
        <x:v>Announced 2030 low-emissions hydrogen production pipeline</x:v>
      </x:c>
      <x:c r="D137" s="12" t="n">
        <x:v>2025</x:v>
      </x:c>
      <x:c r="E137" s="18" t="n">
        <x:v>37</x:v>
      </x:c>
      <x:c r="F137" s="6" t="str">
        <x:v>Mt/year</x:v>
      </x:c>
      <x:c r="G137" s="6" t="str">
        <x:v>pipeline assessment</x:v>
      </x:c>
      <x:c r="H137" s="6" t="str"/>
      <x:c r="I137" s="6" t="str">
        <x:v>Global annual production proposed for 2030, as assessed in successive IEA reviews; a changing expectation, not actual output.</x:v>
      </x:c>
      <x:c r="J137" s="6" t="str">
        <x:v>The series shows revisions to projects intended for the same future year. It must not be displayed as realised production or extrapolated as a declining production curve. Actual low-emissions output rose 20% in 2025 to almost 1 Mt.</x:v>
      </x:c>
      <x:c r="K137" s="6" t="str">
        <x:v>IEA</x:v>
      </x:c>
      <x:c r="L137" s="6" t="str">
        <x:v>https://www.iea.org/reports/global-hydrogen-review-2025/executive-summary</x:v>
      </x:c>
      <x:c r="M137" s="6" t="str">
        <x:v>2025-09-12</x:v>
      </x:c>
    </x:row>
    <x:row r="138" ht="24" hidden="0" customHeight="1">
      <x:c r="A138" s="12" t="n">
        <x:v>41</x:v>
      </x:c>
      <x:c r="B138" s="6" t="str">
        <x:v>Low-emissions hydrogen and electrolyzers</x:v>
      </x:c>
      <x:c r="C138" s="6" t="str">
        <x:v>Announced 2030 low-emissions hydrogen production pipeline</x:v>
      </x:c>
      <x:c r="D138" s="12" t="n">
        <x:v>2026</x:v>
      </x:c>
      <x:c r="E138" s="18" t="n">
        <x:v>27</x:v>
      </x:c>
      <x:c r="F138" s="6" t="str">
        <x:v>Mt/year</x:v>
      </x:c>
      <x:c r="G138" s="6" t="str">
        <x:v>pipeline assessment</x:v>
      </x:c>
      <x:c r="H138" s="6" t="str">
        <x:v>2026 review</x:v>
      </x:c>
      <x:c r="I138" s="6" t="str">
        <x:v>Global annual production proposed for 2030, as assessed in successive IEA reviews; a changing expectation, not actual output.</x:v>
      </x:c>
      <x:c r="J138" s="6" t="str">
        <x:v>The series shows revisions to projects intended for the same future year. It must not be displayed as realised production or extrapolated as a declining production curve. Actual low-emissions output rose 20% in 2025 to almost 1 Mt.</x:v>
      </x:c>
      <x:c r="K138" s="6" t="str">
        <x:v>IEA</x:v>
      </x:c>
      <x:c r="L138" s="6" t="str">
        <x:v>https://www.iea.org/reports/global-hydrogen-review-2026/executive-summary</x:v>
      </x:c>
      <x:c r="M138" s="6" t="str"/>
    </x:row>
    <x:row r="139" ht="15" hidden="0" customHeight="1">
      <x:c r="A139" s="12" t="n">
        <x:v>41</x:v>
      </x:c>
      <x:c r="B139" s="6" t="str">
        <x:v>Low-emissions hydrogen and electrolyzers</x:v>
      </x:c>
      <x:c r="C139" s="6" t="str">
        <x:v>Low-emissions hydrogen from committed projects</x:v>
      </x:c>
      <x:c r="D139" s="12" t="n">
        <x:v>2030</x:v>
      </x:c>
      <x:c r="E139" s="20" t="n">
        <x:v>4.3</x:v>
      </x:c>
      <x:c r="F139" s="6" t="str">
        <x:v>Mt/year</x:v>
      </x:c>
      <x:c r="G139" s="6" t="str">
        <x:v>IEA project-based outlook</x:v>
      </x:c>
      <x:c r="H139" s="6" t="str"/>
      <x:c r="I139" s="6" t="str">
        <x:v>Global low-emissions hydrogen production from committed projects</x:v>
      </x:c>
      <x:c r="J139" s="6" t="str">
        <x:v>Commitment is stronger than announcement but still not achieved output; stronger-potential projects could increase the total to just above 6 Mt if decisions occur in time.</x:v>
      </x:c>
      <x:c r="K139" s="6" t="str">
        <x:v>IEA</x:v>
      </x:c>
      <x:c r="L139" s="6" t="str">
        <x:v>https://www.iea.org/reports/global-hydrogen-review-2026/production</x:v>
      </x:c>
      <x:c r="M139" s="6" t="str"/>
    </x:row>
    <x:row r="140" ht="24" hidden="0" customHeight="1">
      <x:c r="A140" s="12" t="n">
        <x:v>42</x:v>
      </x:c>
      <x:c r="B140" s="6" t="str">
        <x:v>Industrial carbon capture and storage</x:v>
      </x:c>
      <x:c r="C140" s="6" t="str">
        <x:v>Operating commercial CCS facilities</x:v>
      </x:c>
      <x:c r="D140" s="12" t="n">
        <x:v>2024</x:v>
      </x:c>
      <x:c r="E140" s="18" t="n">
        <x:v>50</x:v>
      </x:c>
      <x:c r="F140" s="6" t="str">
        <x:v>facilities</x:v>
      </x:c>
      <x:c r="G140" s="6" t="str">
        <x:v>observed</x:v>
      </x:c>
      <x:c r="H140" s="6" t="str"/>
      <x:c r="I140" s="6" t="str">
        <x:v>Global CCS Institute commercial facility universe; includes different industrial sectors and facility sizes.</x:v>
      </x:c>
      <x:c r="J140" s="6" t="str">
        <x:v>Facility counts do not measure tonnes captured, permanent storage or utilisation. The Institute’s broader development pipeline is not operating capacity, and its definitions differ from other CCUS databases. The 2025 report’s total 513 Mt/year pipeline must not be represented as actual capture.</x:v>
      </x:c>
      <x:c r="K140" s="6" t="str">
        <x:v>Global CCS Institute</x:v>
      </x:c>
      <x:c r="L140" s="6" t="str">
        <x:v>https://www.globalccsinstitute.com/carbon-capture-stays-the-course-despite-global-headwinds-with-54-rise-in-operational-projects/</x:v>
      </x:c>
      <x:c r="M140" s="6" t="str">
        <x:v>2025-10-09</x:v>
      </x:c>
    </x:row>
    <x:row r="141" ht="24" hidden="0" customHeight="1">
      <x:c r="A141" s="12" t="n">
        <x:v>42</x:v>
      </x:c>
      <x:c r="B141" s="6" t="str">
        <x:v>Industrial carbon capture and storage</x:v>
      </x:c>
      <x:c r="C141" s="6" t="str">
        <x:v>Operating commercial CCS facilities</x:v>
      </x:c>
      <x:c r="D141" s="12" t="n">
        <x:v>2025</x:v>
      </x:c>
      <x:c r="E141" s="18" t="n">
        <x:v>77</x:v>
      </x:c>
      <x:c r="F141" s="6" t="str">
        <x:v>facilities</x:v>
      </x:c>
      <x:c r="G141" s="6" t="str">
        <x:v>observed</x:v>
      </x:c>
      <x:c r="H141" s="6" t="str"/>
      <x:c r="I141" s="6" t="str">
        <x:v>Global CCS Institute commercial facility universe; includes different industrial sectors and facility sizes.</x:v>
      </x:c>
      <x:c r="J141" s="6" t="str">
        <x:v>Facility counts do not measure tonnes captured, permanent storage or utilisation. The Institute’s broader development pipeline is not operating capacity, and its definitions differ from other CCUS databases. The 2025 report’s total 513 Mt/year pipeline must not be represented as actual capture.</x:v>
      </x:c>
      <x:c r="K141" s="6" t="str">
        <x:v>Global CCS Institute</x:v>
      </x:c>
      <x:c r="L141" s="6" t="str">
        <x:v>https://www.globalccsinstitute.com/carbon-capture-stays-the-course-despite-global-headwinds-with-54-rise-in-operational-projects/</x:v>
      </x:c>
      <x:c r="M141" s="6" t="str">
        <x:v>2025-10-09</x:v>
      </x:c>
    </x:row>
    <x:row r="142" ht="24" hidden="0" customHeight="1">
      <x:c r="A142" s="12" t="n">
        <x:v>43</x:v>
      </x:c>
      <x:c r="B142" s="6" t="str">
        <x:v>Low-carbon cement and concrete</x:v>
      </x:c>
      <x:c r="C142" s="6" t="str">
        <x:v>Cumulative CarbonCure concrete produced</x:v>
      </x:c>
      <x:c r="D142" s="12" t="n">
        <x:v>2024</x:v>
      </x:c>
      <x:c r="E142" s="18" t="n">
        <x:v>50</x:v>
      </x:c>
      <x:c r="F142" s="6" t="str">
        <x:v>million cubic yards</x:v>
      </x:c>
      <x:c r="G142" s="6" t="str">
        <x:v>observed</x:v>
      </x:c>
      <x:c r="H142" s="6" t="str">
        <x:v>2024-03-06</x:v>
      </x:c>
      <x:c r="I142" s="6" t="str">
        <x:v>CarbonCure producer network worldwide; one mineralisation supplier, not all low-carbon concrete.</x:v>
      </x:c>
      <x:c r="J142" s="6" t="str">
        <x:v>Cumulative volume cannot be treated as annual output or global market share. CarbonCure’s CO₂-injection and cement-efficiency approach represents only one technology. Volume does not directly equal tonnes of emissions avoided, and the observation periods are not full calendar years.</x:v>
      </x:c>
      <x:c r="K142" s="6" t="str">
        <x:v>CarbonCure</x:v>
      </x:c>
      <x:c r="L142" s="6" t="str">
        <x:v>https://www.carboncure.com/news/carboncure-marks-50-million-cubic-yards-milestone/</x:v>
      </x:c>
      <x:c r="M142" s="6" t="str">
        <x:v>2024-03-06</x:v>
      </x:c>
    </x:row>
    <x:row r="143" ht="24" hidden="0" customHeight="1">
      <x:c r="A143" s="12" t="n">
        <x:v>43</x:v>
      </x:c>
      <x:c r="B143" s="6" t="str">
        <x:v>Low-carbon cement and concrete</x:v>
      </x:c>
      <x:c r="C143" s="6" t="str">
        <x:v>Cumulative CarbonCure concrete produced</x:v>
      </x:c>
      <x:c r="D143" s="12" t="n">
        <x:v>2025</x:v>
      </x:c>
      <x:c r="E143" s="27" t="n">
        <x:v>83.6</x:v>
      </x:c>
      <x:c r="F143" s="6" t="str">
        <x:v>million cubic yards</x:v>
      </x:c>
      <x:c r="G143" s="6" t="str">
        <x:v>reported lower bound</x:v>
      </x:c>
      <x:c r="H143" s="6" t="str">
        <x:v>2025-11-24</x:v>
      </x:c>
      <x:c r="I143" s="6" t="str">
        <x:v>CarbonCure producer network worldwide; one mineralisation supplier, not all low-carbon concrete.</x:v>
      </x:c>
      <x:c r="J143" s="6" t="str">
        <x:v>Reported value qualifier: ≥ (retain this when interpreting the number). Cumulative volume cannot be treated as annual output or global market share. CarbonCure’s CO₂-injection and cement-efficiency approach represents only one technology. Volume does not directly equal tonnes of emissions avoided, and the observation periods are not full calendar years.</x:v>
      </x:c>
      <x:c r="K143" s="6" t="str">
        <x:v>CarbonCure</x:v>
      </x:c>
      <x:c r="L143" s="6" t="str">
        <x:v>https://www.carboncure.com/news/carboncure-producers-reach-milestone-of-10-million-truckloads/</x:v>
      </x:c>
      <x:c r="M143" s="6" t="str">
        <x:v>2025-11-24</x:v>
      </x:c>
    </x:row>
    <x:row r="144" ht="24" hidden="0" customHeight="1">
      <x:c r="A144" s="12" t="n">
        <x:v>44</x:v>
      </x:c>
      <x:c r="B144" s="6" t="str">
        <x:v>Sustainable aviation fuels</x:v>
      </x:c>
      <x:c r="C144" s="6" t="str">
        <x:v>Global SAF production</x:v>
      </x:c>
      <x:c r="D144" s="12" t="n">
        <x:v>2023</x:v>
      </x:c>
      <x:c r="E144" s="20" t="n">
        <x:v>0.5</x:v>
      </x:c>
      <x:c r="F144" s="6" t="str">
        <x:v>million tonnes/year</x:v>
      </x:c>
      <x:c r="G144" s="6" t="str">
        <x:v>IATA annual estimate</x:v>
      </x:c>
      <x:c r="H144" s="6" t="str"/>
      <x:c r="I144" s="6" t="str">
        <x:v>IATA global sustainable aviation fuel production estimates; bio-based and synthetic pathways combined.</x:v>
      </x:c>
      <x:c r="J144" s="6" t="str">
        <x:v>Historical estimates can be revised. Production is not the same as the total jet-fuel share or lifecycle emissions avoided. The 2026 observation remains a forecast at the October cutoff.</x:v>
      </x:c>
      <x:c r="K144" s="6" t="str">
        <x:v>IATA</x:v>
      </x:c>
      <x:c r="L144" s="6" t="str">
        <x:v>https://www.iata.org/en/pressroom/2024-releases/2024-12-10-03/</x:v>
      </x:c>
      <x:c r="M144" s="6" t="str">
        <x:v>2024-12-10</x:v>
      </x:c>
    </x:row>
    <x:row r="145" ht="24" hidden="0" customHeight="1">
      <x:c r="A145" s="12" t="n">
        <x:v>44</x:v>
      </x:c>
      <x:c r="B145" s="6" t="str">
        <x:v>Sustainable aviation fuels</x:v>
      </x:c>
      <x:c r="C145" s="6" t="str">
        <x:v>Global SAF production</x:v>
      </x:c>
      <x:c r="D145" s="12" t="n">
        <x:v>2024</x:v>
      </x:c>
      <x:c r="E145" s="18" t="n">
        <x:v>1</x:v>
      </x:c>
      <x:c r="F145" s="6" t="str">
        <x:v>million tonnes/year</x:v>
      </x:c>
      <x:c r="G145" s="6" t="str">
        <x:v>IATA annual estimate</x:v>
      </x:c>
      <x:c r="H145" s="6" t="str"/>
      <x:c r="I145" s="6" t="str">
        <x:v>IATA global sustainable aviation fuel production estimates; bio-based and synthetic pathways combined.</x:v>
      </x:c>
      <x:c r="J145" s="6" t="str">
        <x:v>Historical estimates can be revised. Production is not the same as the total jet-fuel share or lifecycle emissions avoided. The 2026 observation remains a forecast at the October cutoff.</x:v>
      </x:c>
      <x:c r="K145" s="6" t="str">
        <x:v>IATA</x:v>
      </x:c>
      <x:c r="L145" s="6" t="str">
        <x:v>https://www.iata.org/en/pressroom/2024-releases/2024-12-10-03/</x:v>
      </x:c>
      <x:c r="M145" s="6" t="str">
        <x:v>2024-12-10</x:v>
      </x:c>
    </x:row>
    <x:row r="146" ht="24" hidden="0" customHeight="1">
      <x:c r="A146" s="12" t="n">
        <x:v>44</x:v>
      </x:c>
      <x:c r="B146" s="6" t="str">
        <x:v>Sustainable aviation fuels</x:v>
      </x:c>
      <x:c r="C146" s="6" t="str">
        <x:v>Global SAF production</x:v>
      </x:c>
      <x:c r="D146" s="12" t="n">
        <x:v>2025</x:v>
      </x:c>
      <x:c r="E146" s="20" t="n">
        <x:v>1.9</x:v>
      </x:c>
      <x:c r="F146" s="6" t="str">
        <x:v>million tonnes/year</x:v>
      </x:c>
      <x:c r="G146" s="6" t="str">
        <x:v>IATA annual estimate</x:v>
      </x:c>
      <x:c r="H146" s="6" t="str"/>
      <x:c r="I146" s="6" t="str">
        <x:v>IATA global sustainable aviation fuel production estimates; bio-based and synthetic pathways combined.</x:v>
      </x:c>
      <x:c r="J146" s="6" t="str">
        <x:v>Historical estimates can be revised. Production is not the same as the total jet-fuel share or lifecycle emissions avoided. The 2026 observation remains a forecast at the October cutoff.</x:v>
      </x:c>
      <x:c r="K146" s="6" t="str">
        <x:v>IATA</x:v>
      </x:c>
      <x:c r="L146" s="6" t="str">
        <x:v>https://www.iata.org/en/pressroom/2025-releases/2025-12-09-04</x:v>
      </x:c>
      <x:c r="M146" s="6" t="str">
        <x:v>2025-12-09</x:v>
      </x:c>
    </x:row>
    <x:row r="147" ht="24" hidden="0" customHeight="1">
      <x:c r="A147" s="12" t="n">
        <x:v>44</x:v>
      </x:c>
      <x:c r="B147" s="6" t="str">
        <x:v>Sustainable aviation fuels</x:v>
      </x:c>
      <x:c r="C147" s="6" t="str">
        <x:v>Global SAF production</x:v>
      </x:c>
      <x:c r="D147" s="12" t="n">
        <x:v>2026</x:v>
      </x:c>
      <x:c r="E147" s="20" t="n">
        <x:v>2.4</x:v>
      </x:c>
      <x:c r="F147" s="6" t="str">
        <x:v>million tonnes/year</x:v>
      </x:c>
      <x:c r="G147" s="6" t="str">
        <x:v>IATA forecast, not 2026 actual</x:v>
      </x:c>
      <x:c r="H147" s="6" t="str"/>
      <x:c r="I147" s="6" t="str">
        <x:v>IATA global sustainable aviation fuel production estimates; bio-based and synthetic pathways combined.</x:v>
      </x:c>
      <x:c r="J147" s="6" t="str">
        <x:v>Historical estimates can be revised. Production is not the same as the total jet-fuel share or lifecycle emissions avoided. The 2026 observation remains a forecast at the October cutoff.</x:v>
      </x:c>
      <x:c r="K147" s="6" t="str">
        <x:v>IATA</x:v>
      </x:c>
      <x:c r="L147" s="6" t="str">
        <x:v>https://www.iata.org/en/programs/sustainability/sustainable-aviation-fuel-saf/</x:v>
      </x:c>
      <x:c r="M147" s="6" t="str"/>
    </x:row>
    <x:row r="148" ht="24" hidden="0" customHeight="1">
      <x:c r="A148" s="12" t="n">
        <x:v>44</x:v>
      </x:c>
      <x:c r="B148" s="6" t="str">
        <x:v>Sustainable aviation fuels</x:v>
      </x:c>
      <x:c r="C148" s="6" t="str">
        <x:v>EU minimum SAF share</x:v>
      </x:c>
      <x:c r="D148" s="12" t="n">
        <x:v>2030</x:v>
      </x:c>
      <x:c r="E148" s="18" t="n">
        <x:v>6</x:v>
      </x:c>
      <x:c r="F148" s="6" t="str">
        <x:v>% of aviation fuel supplied</x:v>
      </x:c>
      <x:c r="G148" s="6" t="str">
        <x:v>Regulatory minimum, not a market forecast</x:v>
      </x:c>
      <x:c r="H148" s="6" t="str"/>
      <x:c r="I148" s="6" t="str">
        <x:v>Fuel suppliers at covered EU airports</x:v>
      </x:c>
      <x:c r="J148" s="6" t="str">
        <x:v>Annex I of Regulation (EU) 2023/2405; this is EU-specific and cannot be attached to the global production series.</x:v>
      </x:c>
      <x:c r="K148" s="6" t="str">
        <x:v>European Union</x:v>
      </x:c>
      <x:c r="L148" s="6" t="str">
        <x:v>https://eur-lex.europa.eu/eli/reg/2023/2405/oj/eng</x:v>
      </x:c>
      <x:c r="M148" s="6" t="str">
        <x:v>2023-10-18</x:v>
      </x:c>
    </x:row>
    <x:row r="149" ht="24" hidden="0" customHeight="1">
      <x:c r="A149" s="12" t="n">
        <x:v>44</x:v>
      </x:c>
      <x:c r="B149" s="6" t="str">
        <x:v>Sustainable aviation fuels</x:v>
      </x:c>
      <x:c r="C149" s="6" t="str">
        <x:v>EU minimum SAF share</x:v>
      </x:c>
      <x:c r="D149" s="12" t="n">
        <x:v>2035</x:v>
      </x:c>
      <x:c r="E149" s="18" t="n">
        <x:v>20</x:v>
      </x:c>
      <x:c r="F149" s="6" t="str">
        <x:v>% of aviation fuel supplied</x:v>
      </x:c>
      <x:c r="G149" s="6" t="str">
        <x:v>Regulatory minimum, not a market forecast</x:v>
      </x:c>
      <x:c r="H149" s="6" t="str"/>
      <x:c r="I149" s="6" t="str">
        <x:v>Fuel suppliers at covered EU airports</x:v>
      </x:c>
      <x:c r="J149" s="6" t="str">
        <x:v>A statutory requirement subject to future law and implementation, not a guarantee of global demand or profitable supply.</x:v>
      </x:c>
      <x:c r="K149" s="6" t="str">
        <x:v>European Union</x:v>
      </x:c>
      <x:c r="L149" s="6" t="str">
        <x:v>https://eur-lex.europa.eu/eli/reg/2023/2405/oj/eng</x:v>
      </x:c>
      <x:c r="M149" s="6" t="str">
        <x:v>2023-10-18</x:v>
      </x:c>
    </x:row>
    <x:row r="150" ht="24" hidden="0" customHeight="1">
      <x:c r="A150" s="12" t="n">
        <x:v>45</x:v>
      </x:c>
      <x:c r="B150" s="6" t="str">
        <x:v>Additive manufacturing for end-use production</x:v>
      </x:c>
      <x:c r="C150" s="6" t="str">
        <x:v>Global additive-manufacturing industry revenue</x:v>
      </x:c>
      <x:c r="D150" s="12" t="n">
        <x:v>2023</x:v>
      </x:c>
      <x:c r="E150" s="21" t="n">
        <x:v>20.035</x:v>
      </x:c>
      <x:c r="F150" s="6" t="str">
        <x:v>US$ billion/year</x:v>
      </x:c>
      <x:c r="G150" s="6" t="str">
        <x:v>industry estimate</x:v>
      </x:c>
      <x:c r="H150" s="6" t="str"/>
      <x:c r="I150" s="6" t="str">
        <x:v>Wohlers global AM market estimate, including equipment, services, materials and software; a broader-market proxy for end-use production.</x:v>
      </x:c>
      <x:c r="J150" s="6" t="str">
        <x:v>Nominal revenue is affected by prices, reporting coverage and product mix. It is not the value of end-use parts alone or a share of total manufacturing. No intermediate value is interpolated. Prefer the report’s stated 10.9% 2025 growth when discussing that single year.</x:v>
      </x:c>
      <x:c r="K150" s="6" t="str">
        <x:v>Wohlers Associates / ASTM International</x:v>
      </x:c>
      <x:c r="L150" s="6" t="str">
        <x:v>https://wohlersassociates.com/news/wohlers-report-2024-shows-metal-am-growth-in-new-report/</x:v>
      </x:c>
      <x:c r="M150" s="6" t="str">
        <x:v>2024-04-02</x:v>
      </x:c>
    </x:row>
    <x:row r="151" ht="24" hidden="0" customHeight="1">
      <x:c r="A151" s="12" t="n">
        <x:v>45</x:v>
      </x:c>
      <x:c r="B151" s="6" t="str">
        <x:v>Additive manufacturing for end-use production</x:v>
      </x:c>
      <x:c r="C151" s="6" t="str">
        <x:v>Global additive-manufacturing industry revenue</x:v>
      </x:c>
      <x:c r="D151" s="12" t="n">
        <x:v>2025</x:v>
      </x:c>
      <x:c r="E151" s="20" t="n">
        <x:v>24.2</x:v>
      </x:c>
      <x:c r="F151" s="6" t="str">
        <x:v>US$ billion/year</x:v>
      </x:c>
      <x:c r="G151" s="6" t="str">
        <x:v>industry estimate</x:v>
      </x:c>
      <x:c r="H151" s="6" t="str"/>
      <x:c r="I151" s="6" t="str">
        <x:v>Wohlers global AM market estimate, including equipment, services, materials and software; a broader-market proxy for end-use production.</x:v>
      </x:c>
      <x:c r="J151" s="6" t="str">
        <x:v>Nominal revenue is affected by prices, reporting coverage and product mix. It is not the value of end-use parts alone or a share of total manufacturing. No intermediate value is interpolated. Prefer the report’s stated 10.9% 2025 growth when discussing that single year.</x:v>
      </x:c>
      <x:c r="K151" s="6" t="str">
        <x:v>Wohlers Associates / ASTM International</x:v>
      </x:c>
      <x:c r="L151" s="6" t="str">
        <x:v>https://wohlersassociates.com/press-releases/new-wohlers-report-2026-values-additive-manufacturing-market-at-24-2b/</x:v>
      </x:c>
      <x:c r="M151" s="6" t="str">
        <x:v>2026-02-17</x:v>
      </x:c>
    </x:row>
    <x:row r="152" ht="24" hidden="0" customHeight="1">
      <x:c r="A152" s="12" t="n">
        <x:v>46</x:v>
      </x:c>
      <x:c r="B152" s="6" t="str">
        <x:v>Verifiable digital identity wallets</x:v>
      </x:c>
      <x:c r="C152" s="6" t="str">
        <x:v>Italy Documenti su IO uptake</x:v>
      </x:c>
      <x:c r="D152" s="12" t="n">
        <x:v>2025</x:v>
      </x:c>
      <x:c r="E152" s="27" t="n">
        <x:v>5.3</x:v>
      </x:c>
      <x:c r="F152" s="6" t="str">
        <x:v>million users / activations</x:v>
      </x:c>
      <x:c r="G152" s="6" t="str">
        <x:v>reported lower bound: unique users since launch</x:v>
      </x:c>
      <x:c r="H152" s="6" t="str">
        <x:v>2025-06-03</x:v>
      </x:c>
      <x:c r="I152" s="6" t="str">
        <x:v>Italy’s initial national digital-document service, a precursor within the IT-Wallet system.</x:v>
      </x:c>
      <x:c r="J152" s="6" t="str">
        <x:v>Reported value qualifier: ≥ (retain this when interpreting the number). The releases use different labels: unique active users since launch versus activations. Neither is a monthly-active-user count. The service initially supports specific national documents and is not a measure of complete cross-border EU wallet adoption. No CAGR is appropriate.</x:v>
      </x:c>
      <x:c r="K152" s="6" t="str">
        <x:v>Italian Department for Digital Transformation</x:v>
      </x:c>
      <x:c r="L152" s="6" t="str">
        <x:v>https://innovazione.gov.it/notizie/articoli/it-wallet-patente-tessera-sanitaria-e-carta-europea-della-disabilita-ora-disponibili-anche-offline/</x:v>
      </x:c>
      <x:c r="M152" s="6" t="str">
        <x:v>2025-06-04</x:v>
      </x:c>
    </x:row>
    <x:row r="153" ht="24" hidden="0" customHeight="1">
      <x:c r="A153" s="12" t="n">
        <x:v>46</x:v>
      </x:c>
      <x:c r="B153" s="6" t="str">
        <x:v>Verifiable digital identity wallets</x:v>
      </x:c>
      <x:c r="C153" s="6" t="str">
        <x:v>Italy Documenti su IO uptake</x:v>
      </x:c>
      <x:c r="D153" s="12" t="n">
        <x:v>2026</x:v>
      </x:c>
      <x:c r="E153" s="22" t="n">
        <x:v>10</x:v>
      </x:c>
      <x:c r="F153" s="6" t="str">
        <x:v>million users / activations</x:v>
      </x:c>
      <x:c r="G153" s="6" t="str">
        <x:v>reported lower bound: activations</x:v>
      </x:c>
      <x:c r="H153" s="6" t="str">
        <x:v>2026-02-17</x:v>
      </x:c>
      <x:c r="I153" s="6" t="str">
        <x:v>Italy’s initial national digital-document service, a precursor within the IT-Wallet system.</x:v>
      </x:c>
      <x:c r="J153" s="6" t="str">
        <x:v>Reported value qualifier: ≥ (retain this when interpreting the number). The releases use different labels: unique active users since launch versus activations. Neither is a monthly-active-user count. The service initially supports specific national documents and is not a measure of complete cross-border EU wallet adoption. No CAGR is appropriate.</x:v>
      </x:c>
      <x:c r="K153" s="6" t="str">
        <x:v>Italian Department for Digital Transformation</x:v>
      </x:c>
      <x:c r="L153" s="6" t="str">
        <x:v>https://innovazione.gov.it/notizie/articoli/it-wallet-supera-quota-10-milioni-di-attivazioni-su-app-io-17-3-milioni-di-documenti-gia-caricati/</x:v>
      </x:c>
      <x:c r="M153" s="6" t="str">
        <x:v>2026-02-17</x:v>
      </x:c>
    </x:row>
    <x:row r="154" ht="24" hidden="0" customHeight="1">
      <x:c r="A154" s="12" t="n">
        <x:v>47</x:v>
      </x:c>
      <x:c r="B154" s="6" t="str">
        <x:v>Tokenized real-world assets</x:v>
      </x:c>
      <x:c r="C154" s="6" t="str">
        <x:v>Tokenized RWA market capitalization, excluding stablecoins</x:v>
      </x:c>
      <x:c r="D154" s="12" t="n">
        <x:v>2025</x:v>
      </x:c>
      <x:c r="E154" s="26" t="n">
        <x:v>5.42</x:v>
      </x:c>
      <x:c r="F154" s="6" t="str">
        <x:v>US$ billion</x:v>
      </x:c>
      <x:c r="G154" s="6" t="str">
        <x:v>market-data estimate</x:v>
      </x:c>
      <x:c r="H154" s="6" t="str">
        <x:v>2025-01-01</x:v>
      </x:c>
      <x:c r="I154" s="6" t="str">
        <x:v>CoinGecko’s covered tokenized Treasury, commodity, stock and ETF universe.</x:v>
      </x:c>
      <x:c r="J154" s="6" t="str">
        <x:v>A 15-month point-in-time comparison, not full-year growth. Coverage differs from RWA.xyz and bank forecasts. Asset prices, new listings and issuance affect the total. Tokenized derivatives trading volume is excluded and is not interchangeable with backed asset value.</x:v>
      </x:c>
      <x:c r="K154" s="6" t="str">
        <x:v>CoinGecko</x:v>
      </x:c>
      <x:c r="L154" s="6" t="str">
        <x:v>https://www.coingecko.com/research/publications/rwa-report-2026</x:v>
      </x:c>
      <x:c r="M154" s="6" t="str">
        <x:v>2026-05-13</x:v>
      </x:c>
    </x:row>
    <x:row r="155" ht="24" hidden="0" customHeight="1">
      <x:c r="A155" s="12" t="n">
        <x:v>47</x:v>
      </x:c>
      <x:c r="B155" s="6" t="str">
        <x:v>Tokenized real-world assets</x:v>
      </x:c>
      <x:c r="C155" s="6" t="str">
        <x:v>Tokenized RWA market capitalization, excluding stablecoins</x:v>
      </x:c>
      <x:c r="D155" s="12" t="n">
        <x:v>2026</x:v>
      </x:c>
      <x:c r="E155" s="26" t="n">
        <x:v>19.32</x:v>
      </x:c>
      <x:c r="F155" s="6" t="str">
        <x:v>US$ billion</x:v>
      </x:c>
      <x:c r="G155" s="6" t="str">
        <x:v>market-data estimate</x:v>
      </x:c>
      <x:c r="H155" s="6" t="str">
        <x:v>2026-03-31</x:v>
      </x:c>
      <x:c r="I155" s="6" t="str">
        <x:v>CoinGecko’s covered tokenized Treasury, commodity, stock and ETF universe.</x:v>
      </x:c>
      <x:c r="J155" s="6" t="str">
        <x:v>A 15-month point-in-time comparison, not full-year growth. Coverage differs from RWA.xyz and bank forecasts. Asset prices, new listings and issuance affect the total. Tokenized derivatives trading volume is excluded and is not interchangeable with backed asset value.</x:v>
      </x:c>
      <x:c r="K155" s="6" t="str">
        <x:v>CoinGecko</x:v>
      </x:c>
      <x:c r="L155" s="6" t="str">
        <x:v>https://www.coingecko.com/research/publications/rwa-report-2026</x:v>
      </x:c>
      <x:c r="M155" s="6" t="str">
        <x:v>2026-05-13</x:v>
      </x:c>
    </x:row>
    <x:row r="156" ht="15" hidden="0" customHeight="1">
      <x:c r="A156" s="12" t="n">
        <x:v>47</x:v>
      </x:c>
      <x:c r="B156" s="6" t="str">
        <x:v>Tokenized real-world assets</x:v>
      </x:c>
      <x:c r="C156" s="6" t="str">
        <x:v>Tokenized financial assets: Citi base case</x:v>
      </x:c>
      <x:c r="D156" s="12" t="n">
        <x:v>2030</x:v>
      </x:c>
      <x:c r="E156" s="20" t="n">
        <x:v>5.5</x:v>
      </x:c>
      <x:c r="F156" s="6" t="str">
        <x:v>US$ trillion</x:v>
      </x:c>
      <x:c r="G156" s="6" t="str">
        <x:v>External bank forecast</x:v>
      </x:c>
      <x:c r="H156" s="6" t="str"/>
      <x:c r="I156" s="6" t="str">
        <x:v>Broad tokenized financial-asset universe in Citi’s June 2026 research</x:v>
      </x:c>
      <x:c r="J156" s="6" t="str">
        <x:v>Citi’s scenarios span $2.7 trillion to $8.2 trillion. Definitions differ from CoinGecko’s measured history, so the estimate is not connected to that series or converted into a growth rate.</x:v>
      </x:c>
      <x:c r="K156" s="6" t="str">
        <x:v>Citi Institute</x:v>
      </x:c>
      <x:c r="L156" s="6" t="str">
        <x:v>https://www.citigroup.com/global/insights/tokenization-2030</x:v>
      </x:c>
      <x:c r="M156" s="6" t="str">
        <x:v>2026-06-01</x:v>
      </x:c>
    </x:row>
    <x:row r="157" ht="15" hidden="0" customHeight="1">
      <x:c r="A157" s="12" t="n">
        <x:v>47</x:v>
      </x:c>
      <x:c r="B157" s="6" t="str">
        <x:v>Tokenized real-world assets</x:v>
      </x:c>
      <x:c r="C157" s="6" t="str">
        <x:v>Tokenized financial assets: McKinsey estimate</x:v>
      </x:c>
      <x:c r="D157" s="12" t="n">
        <x:v>2030</x:v>
      </x:c>
      <x:c r="E157" s="18" t="n">
        <x:v>2</x:v>
      </x:c>
      <x:c r="F157" s="6" t="str">
        <x:v>US$ trillion</x:v>
      </x:c>
      <x:c r="G157" s="6" t="str">
        <x:v>Older external research forecast</x:v>
      </x:c>
      <x:c r="H157" s="6" t="str"/>
      <x:c r="I157" s="6" t="str">
        <x:v>Tokenized assets excluding cryptocurrencies and stablecoins in McKinsey’s June 2024 research</x:v>
      </x:c>
      <x:c r="J157" s="6" t="str">
        <x:v>About $2 trillion; different vintage and coverage from Citi. The disagreement illustrates substantial uncertainty rather than a precise consensus.</x:v>
      </x:c>
      <x:c r="K157" s="6" t="str">
        <x:v>McKinsey</x:v>
      </x:c>
      <x:c r="L157" s="6" t="str">
        <x:v>https://www.mckinsey.com/industries/financial-services/our-insights/from-ripples-to-waves-the-transformational-power-of-tokenizing-assets</x:v>
      </x:c>
      <x:c r="M157" s="6" t="str">
        <x:v>2024-06-20</x:v>
      </x:c>
    </x:row>
    <x:row r="158" ht="24" hidden="0" customHeight="1">
      <x:c r="A158" s="12" t="n">
        <x:v>48</x:v>
      </x:c>
      <x:c r="B158" s="6" t="str">
        <x:v>Regulated stablecoin payment rails</x:v>
      </x:c>
      <x:c r="C158" s="6" t="str">
        <x:v>USDC in circulation</x:v>
      </x:c>
      <x:c r="D158" s="12" t="n">
        <x:v>2022</x:v>
      </x:c>
      <x:c r="E158" s="21" t="n">
        <x:v>44.554</x:v>
      </x:c>
      <x:c r="F158" s="6" t="str">
        <x:v>US$ billion</x:v>
      </x:c>
      <x:c r="G158" s="6" t="str">
        <x:v>observed</x:v>
      </x:c>
      <x:c r="H158" s="6" t="str">
        <x:v>2022-12-31</x:v>
      </x:c>
      <x:c r="I158" s="6" t="str">
        <x:v>Circle-issued USDC outstanding; one issuer and all uses, not payment volume.</x:v>
      </x:c>
      <x:c r="J158" s="6" t="str">
        <x:v>2022–2025 are year-end stocks; the 2026 point is June 30. Do not label it full-year 2026 or compare mismatched periods as annual growth. Supply is not real-economy payment throughput. Onchain volume includes trading, transfers and potentially repeated movement of the same funds.</x:v>
      </x:c>
      <x:c r="K158" s="6" t="str">
        <x:v>Circle / SEC</x:v>
      </x:c>
      <x:c r="L158" s="6" t="str">
        <x:v>https://www.sec.gov/Archives/edgar/data/1876042/000119312525181916/d839239d424b4.htm</x:v>
      </x:c>
      <x:c r="M158" s="6" t="str">
        <x:v>2025-08-15</x:v>
      </x:c>
    </x:row>
    <x:row r="159" ht="24" hidden="0" customHeight="1">
      <x:c r="A159" s="12" t="n">
        <x:v>48</x:v>
      </x:c>
      <x:c r="B159" s="6" t="str">
        <x:v>Regulated stablecoin payment rails</x:v>
      </x:c>
      <x:c r="C159" s="6" t="str">
        <x:v>USDC in circulation</x:v>
      </x:c>
      <x:c r="D159" s="12" t="n">
        <x:v>2023</x:v>
      </x:c>
      <x:c r="E159" s="21" t="n">
        <x:v>24.412</x:v>
      </x:c>
      <x:c r="F159" s="6" t="str">
        <x:v>US$ billion</x:v>
      </x:c>
      <x:c r="G159" s="6" t="str">
        <x:v>observed</x:v>
      </x:c>
      <x:c r="H159" s="6" t="str">
        <x:v>2023-12-31</x:v>
      </x:c>
      <x:c r="I159" s="6" t="str">
        <x:v>Circle-issued USDC outstanding; one issuer and all uses, not payment volume.</x:v>
      </x:c>
      <x:c r="J159" s="6" t="str">
        <x:v>2022–2025 are year-end stocks; the 2026 point is June 30. Do not label it full-year 2026 or compare mismatched periods as annual growth. Supply is not real-economy payment throughput. Onchain volume includes trading, transfers and potentially repeated movement of the same funds.</x:v>
      </x:c>
      <x:c r="K159" s="6" t="str">
        <x:v>Circle / SEC</x:v>
      </x:c>
      <x:c r="L159" s="6" t="str">
        <x:v>https://www.sec.gov/Archives/edgar/data/1876042/000119312525181916/d839239d424b4.htm</x:v>
      </x:c>
      <x:c r="M159" s="6" t="str">
        <x:v>2025-08-15</x:v>
      </x:c>
    </x:row>
    <x:row r="160" ht="24" hidden="0" customHeight="1">
      <x:c r="A160" s="12" t="n">
        <x:v>48</x:v>
      </x:c>
      <x:c r="B160" s="6" t="str">
        <x:v>Regulated stablecoin payment rails</x:v>
      </x:c>
      <x:c r="C160" s="6" t="str">
        <x:v>USDC in circulation</x:v>
      </x:c>
      <x:c r="D160" s="12" t="n">
        <x:v>2024</x:v>
      </x:c>
      <x:c r="E160" s="21" t="n">
        <x:v>43.857</x:v>
      </x:c>
      <x:c r="F160" s="6" t="str">
        <x:v>US$ billion</x:v>
      </x:c>
      <x:c r="G160" s="6" t="str">
        <x:v>observed</x:v>
      </x:c>
      <x:c r="H160" s="6" t="str">
        <x:v>2024-12-31</x:v>
      </x:c>
      <x:c r="I160" s="6" t="str">
        <x:v>Circle-issued USDC outstanding; one issuer and all uses, not payment volume.</x:v>
      </x:c>
      <x:c r="J160" s="6" t="str">
        <x:v>2022–2025 are year-end stocks; the 2026 point is June 30. Do not label it full-year 2026 or compare mismatched periods as annual growth. Supply is not real-economy payment throughput. Onchain volume includes trading, transfers and potentially repeated movement of the same funds.</x:v>
      </x:c>
      <x:c r="K160" s="6" t="str">
        <x:v>Circle / SEC</x:v>
      </x:c>
      <x:c r="L160" s="6" t="str">
        <x:v>https://www.sec.gov/Archives/edgar/data/1876042/000187604226000062/crcl-20251231.htm</x:v>
      </x:c>
      <x:c r="M160" s="6" t="str"/>
    </x:row>
    <x:row r="161" ht="24" hidden="0" customHeight="1">
      <x:c r="A161" s="12" t="n">
        <x:v>48</x:v>
      </x:c>
      <x:c r="B161" s="6" t="str">
        <x:v>Regulated stablecoin payment rails</x:v>
      </x:c>
      <x:c r="C161" s="6" t="str">
        <x:v>USDC in circulation</x:v>
      </x:c>
      <x:c r="D161" s="12" t="n">
        <x:v>2025</x:v>
      </x:c>
      <x:c r="E161" s="21" t="n">
        <x:v>75.266</x:v>
      </x:c>
      <x:c r="F161" s="6" t="str">
        <x:v>US$ billion</x:v>
      </x:c>
      <x:c r="G161" s="6" t="str">
        <x:v>observed</x:v>
      </x:c>
      <x:c r="H161" s="6" t="str">
        <x:v>2025-12-31</x:v>
      </x:c>
      <x:c r="I161" s="6" t="str">
        <x:v>Circle-issued USDC outstanding; one issuer and all uses, not payment volume.</x:v>
      </x:c>
      <x:c r="J161" s="6" t="str">
        <x:v>2022–2025 are year-end stocks; the 2026 point is June 30. Do not label it full-year 2026 or compare mismatched periods as annual growth. Supply is not real-economy payment throughput. Onchain volume includes trading, transfers and potentially repeated movement of the same funds.</x:v>
      </x:c>
      <x:c r="K161" s="6" t="str">
        <x:v>Circle / SEC</x:v>
      </x:c>
      <x:c r="L161" s="6" t="str">
        <x:v>https://www.sec.gov/Archives/edgar/data/1876042/000187604226000062/crcl-20251231.htm</x:v>
      </x:c>
      <x:c r="M161" s="6" t="str"/>
    </x:row>
    <x:row r="162" ht="24" hidden="0" customHeight="1">
      <x:c r="A162" s="12" t="n">
        <x:v>48</x:v>
      </x:c>
      <x:c r="B162" s="6" t="str">
        <x:v>Regulated stablecoin payment rails</x:v>
      </x:c>
      <x:c r="C162" s="6" t="str">
        <x:v>USDC in circulation</x:v>
      </x:c>
      <x:c r="D162" s="12" t="n">
        <x:v>2026</x:v>
      </x:c>
      <x:c r="E162" s="20" t="n">
        <x:v>73.3</x:v>
      </x:c>
      <x:c r="F162" s="6" t="str">
        <x:v>US$ billion</x:v>
      </x:c>
      <x:c r="G162" s="6" t="str">
        <x:v>observed quarter-end stock</x:v>
      </x:c>
      <x:c r="H162" s="6" t="str">
        <x:v>2026-06-30</x:v>
      </x:c>
      <x:c r="I162" s="6" t="str">
        <x:v>Circle-issued USDC outstanding; one issuer and all uses, not payment volume.</x:v>
      </x:c>
      <x:c r="J162" s="6" t="str">
        <x:v>2022–2025 are year-end stocks; the 2026 point is June 30. Do not label it full-year 2026 or compare mismatched periods as annual growth. Supply is not real-economy payment throughput. Onchain volume includes trading, transfers and potentially repeated movement of the same funds.</x:v>
      </x:c>
      <x:c r="K162" s="6" t="str">
        <x:v>Circle</x:v>
      </x:c>
      <x:c r="L162" s="6" t="str">
        <x:v>https://www.circle.com/pressroom/circle-reports-second-quarter-2026-results</x:v>
      </x:c>
      <x:c r="M162" s="6" t="str">
        <x:v>2026-08-05</x:v>
      </x:c>
    </x:row>
    <x:row r="163" ht="15" hidden="0" customHeight="1">
      <x:c r="A163" s="12" t="n">
        <x:v>48</x:v>
      </x:c>
      <x:c r="B163" s="6" t="str">
        <x:v>Regulated stablecoin payment rails</x:v>
      </x:c>
      <x:c r="C163" s="6" t="str">
        <x:v>Global stablecoin issuance: Citi base case</x:v>
      </x:c>
      <x:c r="D163" s="12" t="n">
        <x:v>2030</x:v>
      </x:c>
      <x:c r="E163" s="20" t="n">
        <x:v>1.9</x:v>
      </x:c>
      <x:c r="F163" s="6" t="str">
        <x:v>US$ trillion</x:v>
      </x:c>
      <x:c r="G163" s="6" t="str">
        <x:v>External bank forecast</x:v>
      </x:c>
      <x:c r="H163" s="6" t="str"/>
      <x:c r="I163" s="6" t="str">
        <x:v>All global stablecoin issuance in Citi’s September 2025 forecast</x:v>
      </x:c>
      <x:c r="J163" s="6" t="str">
        <x:v>Broader than USDC and not restricted to regulated payment use. Issuance is a stock of tokens, not annual payment throughput.</x:v>
      </x:c>
      <x:c r="K163" s="6" t="str">
        <x:v>Citi Institute</x:v>
      </x:c>
      <x:c r="L163" s="6" t="str">
        <x:v>https://www.citigroup.com/global/insights/stablecoins-2030</x:v>
      </x:c>
      <x:c r="M163" s="6" t="str">
        <x:v>2025-09-25</x:v>
      </x:c>
    </x:row>
    <x:row r="164" ht="15" hidden="0" customHeight="1">
      <x:c r="A164" s="12" t="n">
        <x:v>48</x:v>
      </x:c>
      <x:c r="B164" s="6" t="str">
        <x:v>Regulated stablecoin payment rails</x:v>
      </x:c>
      <x:c r="C164" s="6" t="str">
        <x:v>Global stablecoin issuance: Citi bull case</x:v>
      </x:c>
      <x:c r="D164" s="12" t="n">
        <x:v>2030</x:v>
      </x:c>
      <x:c r="E164" s="18" t="n">
        <x:v>4</x:v>
      </x:c>
      <x:c r="F164" s="6" t="str">
        <x:v>US$ trillion</x:v>
      </x:c>
      <x:c r="G164" s="6" t="str">
        <x:v>External upside scenario</x:v>
      </x:c>
      <x:c r="H164" s="6" t="str"/>
      <x:c r="I164" s="6" t="str">
        <x:v>All global stablecoin issuance in Citi’s September 2025 forecast</x:v>
      </x:c>
      <x:c r="J164" s="6" t="str">
        <x:v>An optimistic scenario, not the base case and not a valuation forecast for Circle or any token.</x:v>
      </x:c>
      <x:c r="K164" s="6" t="str">
        <x:v>Citi Institute</x:v>
      </x:c>
      <x:c r="L164" s="6" t="str">
        <x:v>https://www.citigroup.com/global/insights/stablecoins-2030</x:v>
      </x:c>
      <x:c r="M164" s="6" t="str">
        <x:v>2025-09-25</x:v>
      </x:c>
    </x:row>
    <x:row r="165" ht="24" hidden="0" customHeight="1">
      <x:c r="A165" s="12" t="n">
        <x:v>49</x:v>
      </x:c>
      <x:c r="B165" s="6" t="str">
        <x:v>Earth-observation analytics</x:v>
      </x:c>
      <x:c r="C165" s="6" t="str">
        <x:v>Planet Labs annual revenue: company demand proxy</x:v>
      </x:c>
      <x:c r="D165" s="12" t="n">
        <x:v>2021</x:v>
      </x:c>
      <x:c r="E165" s="21" t="n">
        <x:v>113.168</x:v>
      </x:c>
      <x:c r="F165" s="6" t="str">
        <x:v>US$ million/fiscal year</x:v>
      </x:c>
      <x:c r="G165" s="6" t="str">
        <x:v>observed</x:v>
      </x:c>
      <x:c r="H165" s="6" t="str"/>
      <x:c r="I165" s="6" t="str">
        <x:v>Planet consolidated revenue, including imagery, analytics and satellite services; fiscal years end January 31.</x:v>
      </x:c>
      <x:c r="J165" s="6" t="str">
        <x:v>One company, nominal revenue and a changing product mix; not global analytics revenue or adoption. FY2026 is a completed fiscal year ending January 2026. Government and satellite-service contracts may affect growth independently of commercial analytics adoption.</x:v>
      </x:c>
      <x:c r="K165" s="6" t="str">
        <x:v>Planet / SEC</x:v>
      </x:c>
      <x:c r="L165" s="6" t="str">
        <x:v>https://www.sec.gov/Archives/edgar/data/1836833/000183683322000008/exhibit991.htm</x:v>
      </x:c>
      <x:c r="M165" s="6" t="str">
        <x:v>2022-03-31</x:v>
      </x:c>
    </x:row>
    <x:row r="166" ht="24" hidden="0" customHeight="1">
      <x:c r="A166" s="12" t="n">
        <x:v>49</x:v>
      </x:c>
      <x:c r="B166" s="6" t="str">
        <x:v>Earth-observation analytics</x:v>
      </x:c>
      <x:c r="C166" s="6" t="str">
        <x:v>Planet Labs annual revenue: company demand proxy</x:v>
      </x:c>
      <x:c r="D166" s="12" t="n">
        <x:v>2022</x:v>
      </x:c>
      <x:c r="E166" s="21" t="n">
        <x:v>131.209</x:v>
      </x:c>
      <x:c r="F166" s="6" t="str">
        <x:v>US$ million/fiscal year</x:v>
      </x:c>
      <x:c r="G166" s="6" t="str">
        <x:v>observed</x:v>
      </x:c>
      <x:c r="H166" s="6" t="str"/>
      <x:c r="I166" s="6" t="str">
        <x:v>Planet consolidated revenue, including imagery, analytics and satellite services; fiscal years end January 31.</x:v>
      </x:c>
      <x:c r="J166" s="6" t="str">
        <x:v>One company, nominal revenue and a changing product mix; not global analytics revenue or adoption. FY2026 is a completed fiscal year ending January 2026. Government and satellite-service contracts may affect growth independently of commercial analytics adoption.</x:v>
      </x:c>
      <x:c r="K166" s="6" t="str">
        <x:v>Planet / SEC</x:v>
      </x:c>
      <x:c r="L166" s="6" t="str">
        <x:v>https://www.sec.gov/Archives/edgar/data/1836833/000183683322000008/exhibit991.htm</x:v>
      </x:c>
      <x:c r="M166" s="6" t="str">
        <x:v>2022-03-31</x:v>
      </x:c>
    </x:row>
    <x:row r="167" ht="24" hidden="0" customHeight="1">
      <x:c r="A167" s="12" t="n">
        <x:v>49</x:v>
      </x:c>
      <x:c r="B167" s="6" t="str">
        <x:v>Earth-observation analytics</x:v>
      </x:c>
      <x:c r="C167" s="6" t="str">
        <x:v>Planet Labs annual revenue: company demand proxy</x:v>
      </x:c>
      <x:c r="D167" s="12" t="n">
        <x:v>2023</x:v>
      </x:c>
      <x:c r="E167" s="20" t="n">
        <x:v>191.3</x:v>
      </x:c>
      <x:c r="F167" s="6" t="str">
        <x:v>US$ million/fiscal year</x:v>
      </x:c>
      <x:c r="G167" s="6" t="str">
        <x:v>observed</x:v>
      </x:c>
      <x:c r="H167" s="6" t="str"/>
      <x:c r="I167" s="6" t="str">
        <x:v>Planet consolidated revenue, including imagery, analytics and satellite services; fiscal years end January 31.</x:v>
      </x:c>
      <x:c r="J167" s="6" t="str">
        <x:v>One company, nominal revenue and a changing product mix; not global analytics revenue or adoption. FY2026 is a completed fiscal year ending January 2026. Government and satellite-service contracts may affect growth independently of commercial analytics adoption.</x:v>
      </x:c>
      <x:c r="K167" s="6" t="str">
        <x:v>Planet / SEC</x:v>
      </x:c>
      <x:c r="L167" s="6" t="str">
        <x:v>https://www.sec.gov/Archives/edgar/data/1836833/000183683324000056/pl-20240529.htm</x:v>
      </x:c>
      <x:c r="M167" s="6" t="str">
        <x:v>2024-05-29</x:v>
      </x:c>
    </x:row>
    <x:row r="168" ht="24" hidden="0" customHeight="1">
      <x:c r="A168" s="12" t="n">
        <x:v>49</x:v>
      </x:c>
      <x:c r="B168" s="6" t="str">
        <x:v>Earth-observation analytics</x:v>
      </x:c>
      <x:c r="C168" s="6" t="str">
        <x:v>Planet Labs annual revenue: company demand proxy</x:v>
      </x:c>
      <x:c r="D168" s="12" t="n">
        <x:v>2024</x:v>
      </x:c>
      <x:c r="E168" s="20" t="n">
        <x:v>220.7</x:v>
      </x:c>
      <x:c r="F168" s="6" t="str">
        <x:v>US$ million/fiscal year</x:v>
      </x:c>
      <x:c r="G168" s="6" t="str">
        <x:v>observed</x:v>
      </x:c>
      <x:c r="H168" s="6" t="str"/>
      <x:c r="I168" s="6" t="str">
        <x:v>Planet consolidated revenue, including imagery, analytics and satellite services; fiscal years end January 31.</x:v>
      </x:c>
      <x:c r="J168" s="6" t="str">
        <x:v>One company, nominal revenue and a changing product mix; not global analytics revenue or adoption. FY2026 is a completed fiscal year ending January 2026. Government and satellite-service contracts may affect growth independently of commercial analytics adoption.</x:v>
      </x:c>
      <x:c r="K168" s="6" t="str">
        <x:v>Planet / SEC</x:v>
      </x:c>
      <x:c r="L168" s="6" t="str">
        <x:v>https://www.sec.gov/Archives/edgar/data/1836833/000183683324000056/pl-20240529.htm</x:v>
      </x:c>
      <x:c r="M168" s="6" t="str">
        <x:v>2024-05-29</x:v>
      </x:c>
    </x:row>
    <x:row r="169" ht="24" hidden="0" customHeight="1">
      <x:c r="A169" s="12" t="n">
        <x:v>49</x:v>
      </x:c>
      <x:c r="B169" s="6" t="str">
        <x:v>Earth-observation analytics</x:v>
      </x:c>
      <x:c r="C169" s="6" t="str">
        <x:v>Planet Labs annual revenue: company demand proxy</x:v>
      </x:c>
      <x:c r="D169" s="12" t="n">
        <x:v>2025</x:v>
      </x:c>
      <x:c r="E169" s="21" t="n">
        <x:v>244.352</x:v>
      </x:c>
      <x:c r="F169" s="6" t="str">
        <x:v>US$ million/fiscal year</x:v>
      </x:c>
      <x:c r="G169" s="6" t="str">
        <x:v>observed</x:v>
      </x:c>
      <x:c r="H169" s="6" t="str"/>
      <x:c r="I169" s="6" t="str">
        <x:v>Planet consolidated revenue, including imagery, analytics and satellite services; fiscal years end January 31.</x:v>
      </x:c>
      <x:c r="J169" s="6" t="str">
        <x:v>One company, nominal revenue and a changing product mix; not global analytics revenue or adoption. FY2026 is a completed fiscal year ending January 2026. Government and satellite-service contracts may affect growth independently of commercial analytics adoption.</x:v>
      </x:c>
      <x:c r="K169" s="6" t="str">
        <x:v>Planet</x:v>
      </x:c>
      <x:c r="L169" s="6" t="str">
        <x:v>https://s29.q4cdn.com/903184914/files/doc_earnings/2026/q4/earnings-result/PL-Q4-26-Press-Release.pdf</x:v>
      </x:c>
      <x:c r="M169" s="6" t="str">
        <x:v>2026-03-19</x:v>
      </x:c>
    </x:row>
    <x:row r="170" ht="24" hidden="0" customHeight="1">
      <x:c r="A170" s="12" t="n">
        <x:v>49</x:v>
      </x:c>
      <x:c r="B170" s="6" t="str">
        <x:v>Earth-observation analytics</x:v>
      </x:c>
      <x:c r="C170" s="6" t="str">
        <x:v>Planet Labs annual revenue: company demand proxy</x:v>
      </x:c>
      <x:c r="D170" s="12" t="n">
        <x:v>2026</x:v>
      </x:c>
      <x:c r="E170" s="21" t="n">
        <x:v>307.727</x:v>
      </x:c>
      <x:c r="F170" s="6" t="str">
        <x:v>US$ million/fiscal year</x:v>
      </x:c>
      <x:c r="G170" s="6" t="str">
        <x:v>observed</x:v>
      </x:c>
      <x:c r="H170" s="6" t="str">
        <x:v>2026-01-31</x:v>
      </x:c>
      <x:c r="I170" s="6" t="str">
        <x:v>Planet consolidated revenue, including imagery, analytics and satellite services; fiscal years end January 31.</x:v>
      </x:c>
      <x:c r="J170" s="6" t="str">
        <x:v>One company, nominal revenue and a changing product mix; not global analytics revenue or adoption. FY2026 is a completed fiscal year ending January 2026. Government and satellite-service contracts may affect growth independently of commercial analytics adoption.</x:v>
      </x:c>
      <x:c r="K170" s="6" t="str">
        <x:v>Planet</x:v>
      </x:c>
      <x:c r="L170" s="6" t="str">
        <x:v>https://s29.q4cdn.com/903184914/files/doc_earnings/2026/q4/earnings-result/PL-Q4-26-Press-Release.pdf</x:v>
      </x:c>
      <x:c r="M170" s="6" t="str">
        <x:v>2026-03-19</x:v>
      </x:c>
    </x:row>
    <x:row r="171" ht="24" hidden="0" customHeight="1">
      <x:c r="A171" s="12" t="n">
        <x:v>49</x:v>
      </x:c>
      <x:c r="B171" s="6" t="str">
        <x:v>Earth-observation analytics</x:v>
      </x:c>
      <x:c r="C171" s="6" t="str">
        <x:v>Planet FY2027 revenue guidance: lower bound</x:v>
      </x:c>
      <x:c r="D171" s="12" t="n">
        <x:v>2027</x:v>
      </x:c>
      <x:c r="E171" s="18" t="n">
        <x:v>430</x:v>
      </x:c>
      <x:c r="F171" s="6" t="str">
        <x:v>US$ million</x:v>
      </x:c>
      <x:c r="G171" s="6" t="str">
        <x:v>Company guidance as of 3 September 2026</x:v>
      </x:c>
      <x:c r="H171" s="6" t="str"/>
      <x:c r="I171" s="6" t="str">
        <x:v>Planet consolidated revenue, fiscal year ending 31 January 2027</x:v>
      </x:c>
      <x:c r="J171" s="6" t="str">
        <x:v>Full guidance range $430–441 million. It is company-specific, includes satellite services, and is not global analytics-market growth.</x:v>
      </x:c>
      <x:c r="K171" s="6" t="str">
        <x:v>Planet</x:v>
      </x:c>
      <x:c r="L171" s="6" t="str">
        <x:v>https://investors.planet.com/financials/quarterly-results/</x:v>
      </x:c>
      <x:c r="M171" s="6" t="str">
        <x:v>2026-09-03</x:v>
      </x:c>
    </x:row>
    <x:row r="172" ht="24" hidden="0" customHeight="1">
      <x:c r="A172" s="12" t="n">
        <x:v>49</x:v>
      </x:c>
      <x:c r="B172" s="6" t="str">
        <x:v>Earth-observation analytics</x:v>
      </x:c>
      <x:c r="C172" s="6" t="str">
        <x:v>Planet FY2027 revenue guidance: upper bound</x:v>
      </x:c>
      <x:c r="D172" s="12" t="n">
        <x:v>2027</x:v>
      </x:c>
      <x:c r="E172" s="18" t="n">
        <x:v>441</x:v>
      </x:c>
      <x:c r="F172" s="6" t="str">
        <x:v>US$ million</x:v>
      </x:c>
      <x:c r="G172" s="6" t="str">
        <x:v>Company guidance as of 3 September 2026</x:v>
      </x:c>
      <x:c r="H172" s="6" t="str"/>
      <x:c r="I172" s="6" t="str">
        <x:v>Planet consolidated revenue, fiscal year ending 31 January 2027</x:v>
      </x:c>
      <x:c r="J172" s="6" t="str">
        <x:v>Upper bound of the same guidance range, not a second independent forecast.</x:v>
      </x:c>
      <x:c r="K172" s="6" t="str">
        <x:v>Planet</x:v>
      </x:c>
      <x:c r="L172" s="6" t="str">
        <x:v>https://investors.planet.com/financials/quarterly-results/</x:v>
      </x:c>
      <x:c r="M172" s="6" t="str">
        <x:v>2026-09-03</x:v>
      </x:c>
    </x:row>
    <x:row r="173" ht="24" hidden="0" customHeight="1">
      <x:c r="A173" s="12" t="n">
        <x:v>50</x:v>
      </x:c>
      <x:c r="B173" s="6" t="str">
        <x:v>Advanced desalination and water reuse</x:v>
      </x:c>
      <x:c r="C173" s="6" t="str">
        <x:v>Orange County GWRS design treatment capacity</x:v>
      </x:c>
      <x:c r="D173" s="12" t="n">
        <x:v>2021</x:v>
      </x:c>
      <x:c r="E173" s="18" t="n">
        <x:v>100</x:v>
      </x:c>
      <x:c r="F173" s="6" t="str">
        <x:v>million US gallons/day</x:v>
      </x:c>
      <x:c r="G173" s="6" t="str">
        <x:v>existing design capacity from operator timeline</x:v>
      </x:c>
      <x:c r="H173" s="6" t="str"/>
      <x:c r="I173" s="6" t="str">
        <x:v>One advanced potable-reuse system in California; site-level deployment proxy.</x:v>
      </x:c>
      <x:c r="J173" s="6" t="str">
        <x:v>This is nameplate capacity at one facility, not its daily realised output or the size of the global reuse/desalination market. The 2021 value reflects the 100 MGD expansion completed in 2015, which remained in place until the 2023 expansion. It does not imply annual measured production.</x:v>
      </x:c>
      <x:c r="K173" s="6" t="str">
        <x:v>Orange County Water District</x:v>
      </x:c>
      <x:c r="L173" s="6" t="str">
        <x:v>https://www.ocwd.com/gwrs/frequently-asked-questions/</x:v>
      </x:c>
      <x:c r="M173" s="6" t="str"/>
    </x:row>
    <x:row r="174" ht="24" hidden="0" customHeight="1">
      <x:c r="A174" s="12" t="n">
        <x:v>50</x:v>
      </x:c>
      <x:c r="B174" s="6" t="str">
        <x:v>Advanced desalination and water reuse</x:v>
      </x:c>
      <x:c r="C174" s="6" t="str">
        <x:v>Orange County GWRS design treatment capacity</x:v>
      </x:c>
      <x:c r="D174" s="12" t="n">
        <x:v>2023</x:v>
      </x:c>
      <x:c r="E174" s="18" t="n">
        <x:v>130</x:v>
      </x:c>
      <x:c r="F174" s="6" t="str">
        <x:v>million US gallons/day</x:v>
      </x:c>
      <x:c r="G174" s="6" t="str">
        <x:v>expanded design capacity</x:v>
      </x:c>
      <x:c r="H174" s="6" t="str"/>
      <x:c r="I174" s="6" t="str">
        <x:v>One advanced potable-reuse system in California; site-level deployment proxy.</x:v>
      </x:c>
      <x:c r="J174" s="6" t="str">
        <x:v>This is nameplate capacity at one facility, not its daily realised output or the size of the global reuse/desalination market. The 2021 value reflects the 100 MGD expansion completed in 2015, which remained in place until the 2023 expansion. It does not imply annual measured production.</x:v>
      </x:c>
      <x:c r="K174" s="6" t="str">
        <x:v>Orange County Water District</x:v>
      </x:c>
      <x:c r="L174" s="6" t="str">
        <x:v>https://www.ocwd.com/gwrs/frequently-asked-questions/</x:v>
      </x:c>
      <x:c r="M174" s="6" t="str"/>
    </x:row>
    <x:row r="175" ht="24" hidden="0" customHeight="1">
      <x:c r="A175" s="12" t="n">
        <x:v>50</x:v>
      </x:c>
      <x:c r="B175" s="6" t="str">
        <x:v>Advanced desalination and water reuse</x:v>
      </x:c>
      <x:c r="C175" s="6" t="str">
        <x:v>Orange County GWRS design treatment capacity</x:v>
      </x:c>
      <x:c r="D175" s="12" t="n">
        <x:v>2026</x:v>
      </x:c>
      <x:c r="E175" s="18" t="n">
        <x:v>130</x:v>
      </x:c>
      <x:c r="F175" s="6" t="str">
        <x:v>million US gallons/day</x:v>
      </x:c>
      <x:c r="G175" s="6" t="str">
        <x:v>current design capacity</x:v>
      </x:c>
      <x:c r="H175" s="6" t="str">
        <x:v>2026-10-17</x:v>
      </x:c>
      <x:c r="I175" s="6" t="str">
        <x:v>One advanced potable-reuse system in California; site-level deployment proxy.</x:v>
      </x:c>
      <x:c r="J175" s="6" t="str">
        <x:v>This is nameplate capacity at one facility, not its daily realised output or the size of the global reuse/desalination market. The 2021 value reflects the 100 MGD expansion completed in 2015, which remained in place until the 2023 expansion. It does not imply annual measured production.</x:v>
      </x:c>
      <x:c r="K175" s="6" t="str">
        <x:v>Orange County Water District</x:v>
      </x:c>
      <x:c r="L175" s="6" t="str">
        <x:v>https://www.ocwd.com/gwrs/</x:v>
      </x:c>
      <x:c r="M175" s="6" t="str"/>
    </x:row>
    <x:row r="176" ht="24" hidden="0" customHeight="1">
      <x:c r="A176" s="12" t="n">
        <x:v>50</x:v>
      </x:c>
      <x:c r="B176" s="6" t="str">
        <x:v>Advanced desalination and water reuse</x:v>
      </x:c>
      <x:c r="C176" s="6" t="str">
        <x:v>Industrial and potable reuse growth potential</x:v>
      </x:c>
      <x:c r="D176" s="12" t="n">
        <x:v>2040</x:v>
      </x:c>
      <x:c r="E176" s="18" t="n">
        <x:v>8</x:v>
      </x:c>
      <x:c r="F176" s="6" t="str">
        <x:v>times current capacity</x:v>
      </x:c>
      <x:c r="G176" s="6" t="str">
        <x:v>Conditional potential beyond the 2035 atlas horizon</x:v>
      </x:c>
      <x:c r="H176" s="6" t="str"/>
      <x:c r="I176" s="6" t="str">
        <x:v>World Bank industrial and potable water-reuse opportunity</x:v>
      </x:c>
      <x:c r="J176" s="6" t="str">
        <x:v>Eightfold expansion by 2040 is potential requiring investment and supportive policy; it is not an expected 2035 market size or comparable to the single GWRS facility series.</x:v>
      </x:c>
      <x:c r="K176" s="6" t="str">
        <x:v>World Bank</x:v>
      </x:c>
      <x:c r="L176" s="6" t="str">
        <x:v>https://documents1.worldbank.org/curated/en/099052025124041274/pdf/P506854-7d49fde0-2526-4bcc-8a85-2a7d1d294ee4.pdf</x:v>
      </x:c>
      <x:c r="M176" s="6" t="str"/>
    </x:row>
  </x:sheetData>
  <x:pageMargins left="0.7" right="0.7" top="0.75" bottom="0.75" header="0.3" footer="0.3"/>
  <x:tableParts count="1">
    <x:tablePart xmlns:r="http://schemas.openxmlformats.org/officeDocument/2006/relationships" r:id="R2a8b79d3004f475e"/>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2" hidden="0" customWidth="1"/>
    <x:col min="3" max="3" width="25" hidden="0" customWidth="1"/>
    <x:col min="4" max="4" width="34" hidden="0" customWidth="1"/>
    <x:col min="5" max="5" width="36" hidden="0" customWidth="1"/>
    <x:col min="6" max="6" width="29" hidden="0" customWidth="1"/>
    <x:col min="7" max="7" width="100" hidden="0" customWidth="1"/>
    <x:col min="8" max="8" width="85" hidden="0" customWidth="1"/>
    <x:col min="9" max="9" width="105" hidden="0" customWidth="1"/>
  </x:cols>
  <x:sheetData>
    <x:row r="1" ht="15" hidden="0" customHeight="1">
      <x:c r="A1" s="2"/>
      <x:c r="B1" s="2"/>
      <x:c r="C1" s="2"/>
      <x:c r="D1" s="2"/>
      <x:c r="E1" s="2"/>
      <x:c r="F1" s="2"/>
      <x:c r="G1" s="2"/>
      <x:c r="H1" s="2"/>
      <x:c r="I1" s="2"/>
    </x:row>
    <x:row r="2" ht="28" hidden="0" customHeight="1">
      <x:c r="A2" s="3" t="str">
        <x:v>Leading companies and economic exposure</x:v>
      </x:c>
      <x:c r="B2" s="2"/>
      <x:c r="C2" s="2"/>
      <x:c r="D2" s="2"/>
      <x:c r="E2" s="2"/>
      <x:c r="F2" s="2"/>
      <x:c r="G2" s="2"/>
      <x:c r="H2" s="2"/>
      <x:c r="I2" s="2"/>
    </x:row>
    <x:row r="3" ht="25" hidden="0" customHeight="1">
      <x:c r="A3" s="4" t="str">
        <x:v>Curated examples, not an exhaustive registry. Pending deals are distinguished from completed ownership changes. Exposure is not a forecast of investment return.</x:v>
      </x:c>
      <x:c r="B3" s="2"/>
      <x:c r="C3" s="2"/>
      <x:c r="D3" s="2"/>
      <x:c r="E3" s="2"/>
      <x:c r="F3" s="2"/>
      <x:c r="G3" s="2"/>
      <x:c r="H3" s="2"/>
      <x:c r="I3" s="2"/>
    </x:row>
    <x:row r="4" ht="15" hidden="0" customHeight="1">
      <x:c r="A4" s="2"/>
      <x:c r="B4" s="2"/>
      <x:c r="C4" s="2"/>
      <x:c r="D4" s="2"/>
      <x:c r="E4" s="2"/>
      <x:c r="F4" s="2"/>
      <x:c r="G4" s="2"/>
      <x:c r="H4" s="2"/>
      <x:c r="I4" s="2"/>
    </x:row>
    <x:row r="5" ht="36" hidden="0" customHeight="1">
      <x:c r="A5" s="11" t="str">
        <x:v>ID</x:v>
      </x:c>
      <x:c r="B5" s="11" t="str">
        <x:v>Technology</x:v>
      </x:c>
      <x:c r="C5" s="11" t="str">
        <x:v>Sector</x:v>
      </x:c>
      <x:c r="D5" s="11" t="str">
        <x:v>Company</x:v>
      </x:c>
      <x:c r="E5" s="11" t="str">
        <x:v>Ownership / listing status</x:v>
      </x:c>
      <x:c r="F5" s="11" t="str">
        <x:v>Ticker / listed parent</x:v>
      </x:c>
      <x:c r="G5" s="11" t="str">
        <x:v>Role and route to benefit</x:v>
      </x:c>
      <x:c r="H5" s="11" t="str">
        <x:v>Official URL</x:v>
      </x:c>
      <x:c r="I5" s="11" t="str">
        <x:v>Supporting evidence URLs</x:v>
      </x:c>
    </x:row>
    <x:row r="6" ht="15" hidden="0" customHeight="1">
      <x:c r="A6" s="12" t="n">
        <x:v>1</x:v>
      </x:c>
      <x:c r="B6" s="6" t="str">
        <x:v>AI agents and workflow automation</x:v>
      </x:c>
      <x:c r="C6" s="6" t="str">
        <x:v>Intelligence</x:v>
      </x:c>
      <x:c r="D6" s="6" t="str">
        <x:v>Microsoft</x:v>
      </x:c>
      <x:c r="E6" s="6" t="str">
        <x:v>Public</x:v>
      </x:c>
      <x:c r="F6" s="6" t="str">
        <x:v>NASDAQ:MSFT</x:v>
      </x:c>
      <x:c r="G6" s="6" t="str">
        <x:v>Copilot Studio, Microsoft 365 and Azure agent services.</x:v>
      </x:c>
      <x:c r="H6" s="6" t="str">
        <x:v>https://www.microsoft.com/investor/reports/ar25/</x:v>
      </x:c>
      <x:c r="I6" s="6" t="str">
        <x:v>https://www.microsoft.com/investor/reports/ar25/</x:v>
      </x:c>
    </x:row>
    <x:row r="7" ht="15" hidden="0" customHeight="1">
      <x:c r="A7" s="12" t="n">
        <x:v>1</x:v>
      </x:c>
      <x:c r="B7" s="6" t="str">
        <x:v>AI agents and workflow automation</x:v>
      </x:c>
      <x:c r="C7" s="6" t="str">
        <x:v>Intelligence</x:v>
      </x:c>
      <x:c r="D7" s="6" t="str">
        <x:v>Alphabet</x:v>
      </x:c>
      <x:c r="E7" s="6" t="str">
        <x:v>Public</x:v>
      </x:c>
      <x:c r="F7" s="6" t="str">
        <x:v>NASDAQ:GOOGL</x:v>
      </x:c>
      <x:c r="G7" s="6" t="str">
        <x:v>Gemini, Google Cloud and Workspace agent distribution.</x:v>
      </x:c>
      <x:c r="H7" s="6" t="str">
        <x:v>https://abc.xyz/investor/</x:v>
      </x:c>
      <x:c r="I7" s="6" t="str">
        <x:v>https://abc.xyz/investor/</x:v>
      </x:c>
    </x:row>
    <x:row r="8" ht="15" hidden="0" customHeight="1">
      <x:c r="A8" s="12" t="n">
        <x:v>1</x:v>
      </x:c>
      <x:c r="B8" s="6" t="str">
        <x:v>AI agents and workflow automation</x:v>
      </x:c>
      <x:c r="C8" s="6" t="str">
        <x:v>Intelligence</x:v>
      </x:c>
      <x:c r="D8" s="6" t="str">
        <x:v>Amazon</x:v>
      </x:c>
      <x:c r="E8" s="6" t="str">
        <x:v>Public</x:v>
      </x:c>
      <x:c r="F8" s="6" t="str">
        <x:v>NASDAQ:AMZN</x:v>
      </x:c>
      <x:c r="G8" s="6" t="str">
        <x:v>AWS agent infrastructure and enterprise automation services.</x:v>
      </x:c>
      <x:c r="H8" s="6" t="str">
        <x:v>https://ir.aboutamazon.com/</x:v>
      </x:c>
      <x:c r="I8" s="6" t="str">
        <x:v>https://ir.aboutamazon.com/</x:v>
      </x:c>
    </x:row>
    <x:row r="9" ht="15" hidden="0" customHeight="1">
      <x:c r="A9" s="12" t="n">
        <x:v>1</x:v>
      </x:c>
      <x:c r="B9" s="6" t="str">
        <x:v>AI agents and workflow automation</x:v>
      </x:c>
      <x:c r="C9" s="6" t="str">
        <x:v>Intelligence</x:v>
      </x:c>
      <x:c r="D9" s="6" t="str">
        <x:v>Salesforce</x:v>
      </x:c>
      <x:c r="E9" s="6" t="str">
        <x:v>Public</x:v>
      </x:c>
      <x:c r="F9" s="6" t="str">
        <x:v>NYSE:CRM</x:v>
      </x:c>
      <x:c r="G9" s="6" t="str">
        <x:v>Agentforce and CRM workflow execution.</x:v>
      </x:c>
      <x:c r="H9" s="6" t="str">
        <x:v>https://www.salesforce.com/</x:v>
      </x:c>
      <x:c r="I9" s="6" t="str">
        <x:v>https://www.salesforce.com/</x:v>
      </x:c>
    </x:row>
    <x:row r="10" ht="15" hidden="0" customHeight="1">
      <x:c r="A10" s="12" t="n">
        <x:v>1</x:v>
      </x:c>
      <x:c r="B10" s="6" t="str">
        <x:v>AI agents and workflow automation</x:v>
      </x:c>
      <x:c r="C10" s="6" t="str">
        <x:v>Intelligence</x:v>
      </x:c>
      <x:c r="D10" s="6" t="str">
        <x:v>ServiceNow</x:v>
      </x:c>
      <x:c r="E10" s="6" t="str">
        <x:v>Public</x:v>
      </x:c>
      <x:c r="F10" s="6" t="str">
        <x:v>NYSE:NOW</x:v>
      </x:c>
      <x:c r="G10" s="6" t="str">
        <x:v>Agents embedded in IT and business service workflows.</x:v>
      </x:c>
      <x:c r="H10" s="6" t="str">
        <x:v>https://www.servicenow.com/</x:v>
      </x:c>
      <x:c r="I10" s="6" t="str">
        <x:v>https://www.servicenow.com/</x:v>
      </x:c>
    </x:row>
    <x:row r="11" ht="15" hidden="0" customHeight="1">
      <x:c r="A11" s="12" t="n">
        <x:v>1</x:v>
      </x:c>
      <x:c r="B11" s="6" t="str">
        <x:v>AI agents and workflow automation</x:v>
      </x:c>
      <x:c r="C11" s="6" t="str">
        <x:v>Intelligence</x:v>
      </x:c>
      <x:c r="D11" s="6" t="str">
        <x:v>UiPath</x:v>
      </x:c>
      <x:c r="E11" s="6" t="str">
        <x:v>Public</x:v>
      </x:c>
      <x:c r="F11" s="6" t="str">
        <x:v>NYSE:PATH</x:v>
      </x:c>
      <x:c r="G11" s="6" t="str">
        <x:v>Combines process automation with agent orchestration.</x:v>
      </x:c>
      <x:c r="H11" s="6" t="str">
        <x:v>https://www.uipath.com/</x:v>
      </x:c>
      <x:c r="I11" s="6" t="str">
        <x:v>https://www.uipath.com/</x:v>
      </x:c>
    </x:row>
    <x:row r="12" ht="15" hidden="0" customHeight="1">
      <x:c r="A12" s="12" t="n">
        <x:v>1</x:v>
      </x:c>
      <x:c r="B12" s="6" t="str">
        <x:v>AI agents and workflow automation</x:v>
      </x:c>
      <x:c r="C12" s="6" t="str">
        <x:v>Intelligence</x:v>
      </x:c>
      <x:c r="D12" s="6" t="str">
        <x:v>IBM</x:v>
      </x:c>
      <x:c r="E12" s="6" t="str">
        <x:v>Public</x:v>
      </x:c>
      <x:c r="F12" s="6" t="str">
        <x:v>NYSE:IBM</x:v>
      </x:c>
      <x:c r="G12" s="6" t="str">
        <x:v>Enterprise AI orchestration, governance and consulting.</x:v>
      </x:c>
      <x:c r="H12" s="6" t="str">
        <x:v>https://www.ibm.com/</x:v>
      </x:c>
      <x:c r="I12" s="6" t="str">
        <x:v>https://www.ibm.com/</x:v>
      </x:c>
    </x:row>
    <x:row r="13" ht="15" hidden="0" customHeight="1">
      <x:c r="A13" s="12" t="n">
        <x:v>1</x:v>
      </x:c>
      <x:c r="B13" s="6" t="str">
        <x:v>AI agents and workflow automation</x:v>
      </x:c>
      <x:c r="C13" s="6" t="str">
        <x:v>Intelligence</x:v>
      </x:c>
      <x:c r="D13" s="6" t="str">
        <x:v>SAP</x:v>
      </x:c>
      <x:c r="E13" s="6" t="str">
        <x:v>Public</x:v>
      </x:c>
      <x:c r="F13" s="6" t="str">
        <x:v>NYSE:SAP</x:v>
      </x:c>
      <x:c r="G13" s="6" t="str">
        <x:v>Business-system data and workflow distribution.</x:v>
      </x:c>
      <x:c r="H13" s="6" t="str">
        <x:v>https://www.sap.com/</x:v>
      </x:c>
      <x:c r="I13" s="6" t="str">
        <x:v>https://www.sap.com/</x:v>
      </x:c>
    </x:row>
    <x:row r="14" ht="15" hidden="0" customHeight="1">
      <x:c r="A14" s="12" t="n">
        <x:v>1</x:v>
      </x:c>
      <x:c r="B14" s="6" t="str">
        <x:v>AI agents and workflow automation</x:v>
      </x:c>
      <x:c r="C14" s="6" t="str">
        <x:v>Intelligence</x:v>
      </x:c>
      <x:c r="D14" s="6" t="str">
        <x:v>OpenAI</x:v>
      </x:c>
      <x:c r="E14" s="6" t="str">
        <x:v>Private</x:v>
      </x:c>
      <x:c r="F14" s="6" t="str"/>
      <x:c r="G14" s="6" t="str">
        <x:v>Private model and agent platform supplier.</x:v>
      </x:c>
      <x:c r="H14" s="6" t="str">
        <x:v>https://openai.com/index/scaling-ai-for-everyone/</x:v>
      </x:c>
      <x:c r="I14" s="6" t="str">
        <x:v>https://openai.com/index/scaling-ai-for-everyone/</x:v>
      </x:c>
    </x:row>
    <x:row r="15" ht="15" hidden="0" customHeight="1">
      <x:c r="A15" s="12" t="n">
        <x:v>1</x:v>
      </x:c>
      <x:c r="B15" s="6" t="str">
        <x:v>AI agents and workflow automation</x:v>
      </x:c>
      <x:c r="C15" s="6" t="str">
        <x:v>Intelligence</x:v>
      </x:c>
      <x:c r="D15" s="6" t="str">
        <x:v>Anthropic</x:v>
      </x:c>
      <x:c r="E15" s="6" t="str">
        <x:v>Private</x:v>
      </x:c>
      <x:c r="F15" s="6" t="str"/>
      <x:c r="G15" s="6" t="str">
        <x:v>Private Claude and tool-use supplier; IPO preparation is not a completed listing.</x:v>
      </x:c>
      <x:c r="H15" s="6" t="str">
        <x:v>https://www.anthropic.com/news/series-h</x:v>
      </x:c>
      <x:c r="I15" s="6" t="str">
        <x:v>https://www.anthropic.com/news/series-h</x:v>
      </x:c>
    </x:row>
    <x:row r="16" ht="15" hidden="0" customHeight="1">
      <x:c r="A16" s="12" t="n">
        <x:v>1</x:v>
      </x:c>
      <x:c r="B16" s="6" t="str">
        <x:v>AI agents and workflow automation</x:v>
      </x:c>
      <x:c r="C16" s="6" t="str">
        <x:v>Intelligence</x:v>
      </x:c>
      <x:c r="D16" s="6" t="str">
        <x:v>Glean</x:v>
      </x:c>
      <x:c r="E16" s="6" t="str">
        <x:v>Private</x:v>
      </x:c>
      <x:c r="F16" s="6" t="str"/>
      <x:c r="G16" s="6" t="str">
        <x:v>Private enterprise context and agent platform.</x:v>
      </x:c>
      <x:c r="H16" s="6" t="str">
        <x:v>https://www.glean.com/press/glean-surpasses-300m-arr-unrivaled-enterprise-context-fuels-ai-adoption</x:v>
      </x:c>
      <x:c r="I16" s="6" t="str">
        <x:v>https://www.glean.com/press/glean-surpasses-300m-arr-unrivaled-enterprise-context-fuels-ai-adoption</x:v>
      </x:c>
    </x:row>
    <x:row r="17" ht="15" hidden="0" customHeight="1">
      <x:c r="A17" s="12" t="n">
        <x:v>2</x:v>
      </x:c>
      <x:c r="B17" s="6" t="str">
        <x:v>Multimodal AI copilots</x:v>
      </x:c>
      <x:c r="C17" s="6" t="str">
        <x:v>Intelligence</x:v>
      </x:c>
      <x:c r="D17" s="6" t="str">
        <x:v>Microsoft</x:v>
      </x:c>
      <x:c r="E17" s="6" t="str">
        <x:v>Public</x:v>
      </x:c>
      <x:c r="F17" s="6" t="str">
        <x:v>NASDAQ:MSFT</x:v>
      </x:c>
      <x:c r="G17" s="6" t="str">
        <x:v>Office and workplace copilot distribution.</x:v>
      </x:c>
      <x:c r="H17" s="6" t="str">
        <x:v>https://www.microsoft.com/investor/reports/ar25/</x:v>
      </x:c>
      <x:c r="I17" s="6" t="str">
        <x:v>https://www.microsoft.com/investor/reports/ar25/</x:v>
      </x:c>
    </x:row>
    <x:row r="18" ht="15" hidden="0" customHeight="1">
      <x:c r="A18" s="12" t="n">
        <x:v>2</x:v>
      </x:c>
      <x:c r="B18" s="6" t="str">
        <x:v>Multimodal AI copilots</x:v>
      </x:c>
      <x:c r="C18" s="6" t="str">
        <x:v>Intelligence</x:v>
      </x:c>
      <x:c r="D18" s="6" t="str">
        <x:v>Alphabet</x:v>
      </x:c>
      <x:c r="E18" s="6" t="str">
        <x:v>Public</x:v>
      </x:c>
      <x:c r="F18" s="6" t="str">
        <x:v>NASDAQ:GOOGL</x:v>
      </x:c>
      <x:c r="G18" s="6" t="str">
        <x:v>Gemini, Android, Workspace and cloud model services.</x:v>
      </x:c>
      <x:c r="H18" s="6" t="str">
        <x:v>https://abc.xyz/investor/</x:v>
      </x:c>
      <x:c r="I18" s="6" t="str">
        <x:v>https://abc.xyz/investor/</x:v>
      </x:c>
    </x:row>
    <x:row r="19" ht="15" hidden="0" customHeight="1">
      <x:c r="A19" s="12" t="n">
        <x:v>2</x:v>
      </x:c>
      <x:c r="B19" s="6" t="str">
        <x:v>Multimodal AI copilots</x:v>
      </x:c>
      <x:c r="C19" s="6" t="str">
        <x:v>Intelligence</x:v>
      </x:c>
      <x:c r="D19" s="6" t="str">
        <x:v>Apple</x:v>
      </x:c>
      <x:c r="E19" s="6" t="str">
        <x:v>Public</x:v>
      </x:c>
      <x:c r="F19" s="6" t="str">
        <x:v>NASDAQ:AAPL</x:v>
      </x:c>
      <x:c r="G19" s="6" t="str">
        <x:v>Device interface and on-device/cloud AI integration.</x:v>
      </x:c>
      <x:c r="H19" s="6" t="str">
        <x:v>https://investor.apple.com/</x:v>
      </x:c>
      <x:c r="I19" s="6" t="str">
        <x:v>https://investor.apple.com/</x:v>
      </x:c>
    </x:row>
    <x:row r="20" ht="15" hidden="0" customHeight="1">
      <x:c r="A20" s="12" t="n">
        <x:v>2</x:v>
      </x:c>
      <x:c r="B20" s="6" t="str">
        <x:v>Multimodal AI copilots</x:v>
      </x:c>
      <x:c r="C20" s="6" t="str">
        <x:v>Intelligence</x:v>
      </x:c>
      <x:c r="D20" s="6" t="str">
        <x:v>Amazon</x:v>
      </x:c>
      <x:c r="E20" s="6" t="str">
        <x:v>Public</x:v>
      </x:c>
      <x:c r="F20" s="6" t="str">
        <x:v>NASDAQ:AMZN</x:v>
      </x:c>
      <x:c r="G20" s="6" t="str">
        <x:v>Consumer and enterprise assistant distribution plus AWS.</x:v>
      </x:c>
      <x:c r="H20" s="6" t="str">
        <x:v>https://ir.aboutamazon.com/</x:v>
      </x:c>
      <x:c r="I20" s="6" t="str">
        <x:v>https://ir.aboutamazon.com/</x:v>
      </x:c>
    </x:row>
    <x:row r="21" ht="15" hidden="0" customHeight="1">
      <x:c r="A21" s="12" t="n">
        <x:v>2</x:v>
      </x:c>
      <x:c r="B21" s="6" t="str">
        <x:v>Multimodal AI copilots</x:v>
      </x:c>
      <x:c r="C21" s="6" t="str">
        <x:v>Intelligence</x:v>
      </x:c>
      <x:c r="D21" s="6" t="str">
        <x:v>Meta Platforms</x:v>
      </x:c>
      <x:c r="E21" s="6" t="str">
        <x:v>Public</x:v>
      </x:c>
      <x:c r="F21" s="6" t="str">
        <x:v>NASDAQ:META</x:v>
      </x:c>
      <x:c r="G21" s="6" t="str">
        <x:v>AI assistants, messaging and camera-equipped wearables.</x:v>
      </x:c>
      <x:c r="H21" s="6" t="str">
        <x:v>https://investor.atmeta.com/</x:v>
      </x:c>
      <x:c r="I21" s="6" t="str">
        <x:v>https://investor.atmeta.com/</x:v>
      </x:c>
    </x:row>
    <x:row r="22" ht="15" hidden="0" customHeight="1">
      <x:c r="A22" s="12" t="n">
        <x:v>2</x:v>
      </x:c>
      <x:c r="B22" s="6" t="str">
        <x:v>Multimodal AI copilots</x:v>
      </x:c>
      <x:c r="C22" s="6" t="str">
        <x:v>Intelligence</x:v>
      </x:c>
      <x:c r="D22" s="6" t="str">
        <x:v>Adobe</x:v>
      </x:c>
      <x:c r="E22" s="6" t="str">
        <x:v>Public</x:v>
      </x:c>
      <x:c r="F22" s="6" t="str">
        <x:v>NASDAQ:ADBE</x:v>
      </x:c>
      <x:c r="G22" s="6" t="str">
        <x:v>Creative copilots combining text, images and documents.</x:v>
      </x:c>
      <x:c r="H22" s="6" t="str">
        <x:v>https://www.adobe.com/</x:v>
      </x:c>
      <x:c r="I22" s="6" t="str">
        <x:v>https://www.adobe.com/</x:v>
      </x:c>
    </x:row>
    <x:row r="23" ht="15" hidden="0" customHeight="1">
      <x:c r="A23" s="12" t="n">
        <x:v>2</x:v>
      </x:c>
      <x:c r="B23" s="6" t="str">
        <x:v>Multimodal AI copilots</x:v>
      </x:c>
      <x:c r="C23" s="6" t="str">
        <x:v>Intelligence</x:v>
      </x:c>
      <x:c r="D23" s="6" t="str">
        <x:v>Salesforce</x:v>
      </x:c>
      <x:c r="E23" s="6" t="str">
        <x:v>Public</x:v>
      </x:c>
      <x:c r="F23" s="6" t="str">
        <x:v>NYSE:CRM</x:v>
      </x:c>
      <x:c r="G23" s="6" t="str">
        <x:v>Customer-facing and employee assistance in CRM.</x:v>
      </x:c>
      <x:c r="H23" s="6" t="str">
        <x:v>https://www.salesforce.com/</x:v>
      </x:c>
      <x:c r="I23" s="6" t="str">
        <x:v>https://www.salesforce.com/</x:v>
      </x:c>
    </x:row>
    <x:row r="24" ht="15" hidden="0" customHeight="1">
      <x:c r="A24" s="12" t="n">
        <x:v>2</x:v>
      </x:c>
      <x:c r="B24" s="6" t="str">
        <x:v>Multimodal AI copilots</x:v>
      </x:c>
      <x:c r="C24" s="6" t="str">
        <x:v>Intelligence</x:v>
      </x:c>
      <x:c r="D24" s="6" t="str">
        <x:v>NVIDIA</x:v>
      </x:c>
      <x:c r="E24" s="6" t="str">
        <x:v>Public</x:v>
      </x:c>
      <x:c r="F24" s="6" t="str">
        <x:v>NASDAQ:NVDA</x:v>
      </x:c>
      <x:c r="G24" s="6" t="str">
        <x:v>Compute and inference software underlying multimodal models; indirect exposure.</x:v>
      </x:c>
      <x:c r="H24" s="6" t="str">
        <x:v>https://investor.nvidia.com/</x:v>
      </x:c>
      <x:c r="I24" s="6" t="str">
        <x:v>https://investor.nvidia.com/</x:v>
      </x:c>
    </x:row>
    <x:row r="25" ht="15" hidden="0" customHeight="1">
      <x:c r="A25" s="12" t="n">
        <x:v>2</x:v>
      </x:c>
      <x:c r="B25" s="6" t="str">
        <x:v>Multimodal AI copilots</x:v>
      </x:c>
      <x:c r="C25" s="6" t="str">
        <x:v>Intelligence</x:v>
      </x:c>
      <x:c r="D25" s="6" t="str">
        <x:v>OpenAI</x:v>
      </x:c>
      <x:c r="E25" s="6" t="str">
        <x:v>Private</x:v>
      </x:c>
      <x:c r="F25" s="6" t="str"/>
      <x:c r="G25" s="6" t="str">
        <x:v>Private ChatGPT and multimodal API supplier.</x:v>
      </x:c>
      <x:c r="H25" s="6" t="str">
        <x:v>https://openai.com/index/scaling-ai-for-everyone/</x:v>
      </x:c>
      <x:c r="I25" s="6" t="str">
        <x:v>https://openai.com/index/scaling-ai-for-everyone/</x:v>
      </x:c>
    </x:row>
    <x:row r="26" ht="15" hidden="0" customHeight="1">
      <x:c r="A26" s="12" t="n">
        <x:v>2</x:v>
      </x:c>
      <x:c r="B26" s="6" t="str">
        <x:v>Multimodal AI copilots</x:v>
      </x:c>
      <x:c r="C26" s="6" t="str">
        <x:v>Intelligence</x:v>
      </x:c>
      <x:c r="D26" s="6" t="str">
        <x:v>Anthropic</x:v>
      </x:c>
      <x:c r="E26" s="6" t="str">
        <x:v>Private</x:v>
      </x:c>
      <x:c r="F26" s="6" t="str"/>
      <x:c r="G26" s="6" t="str">
        <x:v>Private Claude models and enterprise assistants; IPO pending rather than listed.</x:v>
      </x:c>
      <x:c r="H26" s="6" t="str">
        <x:v>https://www.anthropic.com/news/series-h</x:v>
      </x:c>
      <x:c r="I26" s="6" t="str">
        <x:v>https://www.anthropic.com/news/series-h</x:v>
      </x:c>
    </x:row>
    <x:row r="27" ht="15" hidden="0" customHeight="1">
      <x:c r="A27" s="12" t="n">
        <x:v>3</x:v>
      </x:c>
      <x:c r="B27" s="6" t="str">
        <x:v>Edge and on-device AI</x:v>
      </x:c>
      <x:c r="C27" s="6" t="str">
        <x:v>Intelligence</x:v>
      </x:c>
      <x:c r="D27" s="6" t="str">
        <x:v>Qualcomm</x:v>
      </x:c>
      <x:c r="E27" s="6" t="str">
        <x:v>Public</x:v>
      </x:c>
      <x:c r="F27" s="6" t="str">
        <x:v>NASDAQ:QCOM</x:v>
      </x:c>
      <x:c r="G27" s="6" t="str">
        <x:v>Snapdragon smartphone and PC processors with AI acceleration.</x:v>
      </x:c>
      <x:c r="H27" s="6" t="str">
        <x:v>https://investor.qualcomm.com/</x:v>
      </x:c>
      <x:c r="I27" s="6" t="str">
        <x:v>https://investor.qualcomm.com/</x:v>
      </x:c>
    </x:row>
    <x:row r="28" ht="15" hidden="0" customHeight="1">
      <x:c r="A28" s="12" t="n">
        <x:v>3</x:v>
      </x:c>
      <x:c r="B28" s="6" t="str">
        <x:v>Edge and on-device AI</x:v>
      </x:c>
      <x:c r="C28" s="6" t="str">
        <x:v>Intelligence</x:v>
      </x:c>
      <x:c r="D28" s="6" t="str">
        <x:v>Apple</x:v>
      </x:c>
      <x:c r="E28" s="6" t="str">
        <x:v>Public</x:v>
      </x:c>
      <x:c r="F28" s="6" t="str">
        <x:v>NASDAQ:AAPL</x:v>
      </x:c>
      <x:c r="G28" s="6" t="str">
        <x:v>Integrated hardware, operating systems and local-model distribution.</x:v>
      </x:c>
      <x:c r="H28" s="6" t="str">
        <x:v>https://investor.apple.com/</x:v>
      </x:c>
      <x:c r="I28" s="6" t="str">
        <x:v>https://investor.apple.com/</x:v>
      </x:c>
    </x:row>
    <x:row r="29" ht="15" hidden="0" customHeight="1">
      <x:c r="A29" s="12" t="n">
        <x:v>3</x:v>
      </x:c>
      <x:c r="B29" s="6" t="str">
        <x:v>Edge and on-device AI</x:v>
      </x:c>
      <x:c r="C29" s="6" t="str">
        <x:v>Intelligence</x:v>
      </x:c>
      <x:c r="D29" s="6" t="str">
        <x:v>AMD</x:v>
      </x:c>
      <x:c r="E29" s="6" t="str">
        <x:v>Public</x:v>
      </x:c>
      <x:c r="F29" s="6" t="str">
        <x:v>NASDAQ:AMD</x:v>
      </x:c>
      <x:c r="G29" s="6" t="str">
        <x:v>Ryzen AI processors and embedded compute.</x:v>
      </x:c>
      <x:c r="H29" s="6" t="str">
        <x:v>https://ir.amd.com/</x:v>
      </x:c>
      <x:c r="I29" s="6" t="str">
        <x:v>https://ir.amd.com/</x:v>
      </x:c>
    </x:row>
    <x:row r="30" ht="15" hidden="0" customHeight="1">
      <x:c r="A30" s="12" t="n">
        <x:v>3</x:v>
      </x:c>
      <x:c r="B30" s="6" t="str">
        <x:v>Edge and on-device AI</x:v>
      </x:c>
      <x:c r="C30" s="6" t="str">
        <x:v>Intelligence</x:v>
      </x:c>
      <x:c r="D30" s="6" t="str">
        <x:v>Intel</x:v>
      </x:c>
      <x:c r="E30" s="6" t="str">
        <x:v>Public</x:v>
      </x:c>
      <x:c r="F30" s="6" t="str">
        <x:v>NASDAQ:INTC</x:v>
      </x:c>
      <x:c r="G30" s="6" t="str">
        <x:v>Core Ultra processors and edge platforms.</x:v>
      </x:c>
      <x:c r="H30" s="6" t="str">
        <x:v>https://www.intc.com/</x:v>
      </x:c>
      <x:c r="I30" s="6" t="str">
        <x:v>https://www.intc.com/</x:v>
      </x:c>
    </x:row>
    <x:row r="31" ht="15" hidden="0" customHeight="1">
      <x:c r="A31" s="12" t="n">
        <x:v>3</x:v>
      </x:c>
      <x:c r="B31" s="6" t="str">
        <x:v>Edge and on-device AI</x:v>
      </x:c>
      <x:c r="C31" s="6" t="str">
        <x:v>Intelligence</x:v>
      </x:c>
      <x:c r="D31" s="6" t="str">
        <x:v>MediaTek</x:v>
      </x:c>
      <x:c r="E31" s="6" t="str">
        <x:v>Public</x:v>
      </x:c>
      <x:c r="F31" s="6" t="str">
        <x:v>TWSE:2454</x:v>
      </x:c>
      <x:c r="G31" s="6" t="str">
        <x:v>Mobile and embedded AI system-on-chips.</x:v>
      </x:c>
      <x:c r="H31" s="6" t="str">
        <x:v>https://www.mediatek.com/</x:v>
      </x:c>
      <x:c r="I31" s="6" t="str">
        <x:v>https://www.mediatek.com/</x:v>
      </x:c>
    </x:row>
    <x:row r="32" ht="15" hidden="0" customHeight="1">
      <x:c r="A32" s="12" t="n">
        <x:v>3</x:v>
      </x:c>
      <x:c r="B32" s="6" t="str">
        <x:v>Edge and on-device AI</x:v>
      </x:c>
      <x:c r="C32" s="6" t="str">
        <x:v>Intelligence</x:v>
      </x:c>
      <x:c r="D32" s="6" t="str">
        <x:v>Arm</x:v>
      </x:c>
      <x:c r="E32" s="6" t="str">
        <x:v>Public</x:v>
      </x:c>
      <x:c r="F32" s="6" t="str">
        <x:v>NASDAQ:ARM</x:v>
      </x:c>
      <x:c r="G32" s="6" t="str">
        <x:v>Processor architecture and ecosystem IP; indirect design exposure.</x:v>
      </x:c>
      <x:c r="H32" s="6" t="str">
        <x:v>https://investors.arm.com/</x:v>
      </x:c>
      <x:c r="I32" s="6" t="str">
        <x:v>https://investors.arm.com/</x:v>
      </x:c>
    </x:row>
    <x:row r="33" ht="15" hidden="0" customHeight="1">
      <x:c r="A33" s="12" t="n">
        <x:v>3</x:v>
      </x:c>
      <x:c r="B33" s="6" t="str">
        <x:v>Edge and on-device AI</x:v>
      </x:c>
      <x:c r="C33" s="6" t="str">
        <x:v>Intelligence</x:v>
      </x:c>
      <x:c r="D33" s="6" t="str">
        <x:v>NXP</x:v>
      </x:c>
      <x:c r="E33" s="6" t="str">
        <x:v>Public</x:v>
      </x:c>
      <x:c r="F33" s="6" t="str">
        <x:v>NASDAQ:NXPI</x:v>
      </x:c>
      <x:c r="G33" s="6" t="str">
        <x:v>Industrial and automotive edge processing.</x:v>
      </x:c>
      <x:c r="H33" s="6" t="str">
        <x:v>https://www.nxp.com/</x:v>
      </x:c>
      <x:c r="I33" s="6" t="str">
        <x:v>https://www.nxp.com/</x:v>
      </x:c>
    </x:row>
    <x:row r="34" ht="15" hidden="0" customHeight="1">
      <x:c r="A34" s="12" t="n">
        <x:v>3</x:v>
      </x:c>
      <x:c r="B34" s="6" t="str">
        <x:v>Edge and on-device AI</x:v>
      </x:c>
      <x:c r="C34" s="6" t="str">
        <x:v>Intelligence</x:v>
      </x:c>
      <x:c r="D34" s="6" t="str">
        <x:v>Microchip Technology</x:v>
      </x:c>
      <x:c r="E34" s="6" t="str">
        <x:v>Public</x:v>
      </x:c>
      <x:c r="F34" s="6" t="str">
        <x:v>NASDAQ:MCHP</x:v>
      </x:c>
      <x:c r="G34" s="6" t="str">
        <x:v>Embedded products plus Hailo, acquired September 2026.</x:v>
      </x:c>
      <x:c r="H34" s="6" t="str">
        <x:v>https://ir.microchip.com/news-events/press-releases/detail/1415/microchip-technology-completes-acquisition-of-hailo</x:v>
      </x:c>
      <x:c r="I34" s="6" t="str">
        <x:v>https://ir.microchip.com/news-events/press-releases/detail/1415/microchip-technology-completes-acquisition-of-hailo</x:v>
      </x:c>
    </x:row>
    <x:row r="35" ht="24" hidden="0" customHeight="1">
      <x:c r="A35" s="12" t="n">
        <x:v>3</x:v>
      </x:c>
      <x:c r="B35" s="6" t="str">
        <x:v>Edge and on-device AI</x:v>
      </x:c>
      <x:c r="C35" s="6" t="str">
        <x:v>Intelligence</x:v>
      </x:c>
      <x:c r="D35" s="6" t="str">
        <x:v>SiMa.ai</x:v>
      </x:c>
      <x:c r="E35" s="6" t="str">
        <x:v>Private</x:v>
      </x:c>
      <x:c r="F35" s="6" t="str"/>
      <x:c r="G35" s="6" t="str">
        <x:v>Private physical-AI edge processors and software.</x:v>
      </x:c>
      <x:c r="H35" s="6" t="str">
        <x:v>https://sima.ai/press-release/sima-ai-reaches-1-45b-valuation-with-500-million-in-total-funding-to-scale-physical-ai-in-humanoids-automotive-and-drones/</x:v>
      </x:c>
      <x:c r="I35" s="6" t="str">
        <x:v>https://sima.ai/press-release/sima-ai-reaches-1-45b-valuation-with-500-million-in-total-funding-to-scale-physical-ai-in-humanoids-automotive-and-drones/</x:v>
      </x:c>
    </x:row>
    <x:row r="36" ht="15" hidden="0" customHeight="1">
      <x:c r="A36" s="12" t="n">
        <x:v>3</x:v>
      </x:c>
      <x:c r="B36" s="6" t="str">
        <x:v>Edge and on-device AI</x:v>
      </x:c>
      <x:c r="C36" s="6" t="str">
        <x:v>Intelligence</x:v>
      </x:c>
      <x:c r="D36" s="6" t="str">
        <x:v>Baya Systems</x:v>
      </x:c>
      <x:c r="E36" s="6" t="str">
        <x:v>Private</x:v>
      </x:c>
      <x:c r="F36" s="6" t="str"/>
      <x:c r="G36" s="6" t="str">
        <x:v>Private interconnect IP enabling advanced AI systems; indirect supplier exposure.</x:v>
      </x:c>
      <x:c r="H36" s="6" t="str">
        <x:v>https://bayasystems.com/press-releases/baya-systems-raises-36m-propel-ai-chiplet-innovation/</x:v>
      </x:c>
      <x:c r="I36" s="6" t="str">
        <x:v>https://bayasystems.com/press-releases/baya-systems-raises-36m-propel-ai-chiplet-innovation/</x:v>
      </x:c>
    </x:row>
    <x:row r="37" ht="15" hidden="0" customHeight="1">
      <x:c r="A37" s="12" t="n">
        <x:v>4</x:v>
      </x:c>
      <x:c r="B37" s="6" t="str">
        <x:v>AI-native software development</x:v>
      </x:c>
      <x:c r="C37" s="6" t="str">
        <x:v>Intelligence</x:v>
      </x:c>
      <x:c r="D37" s="6" t="str">
        <x:v>Microsoft</x:v>
      </x:c>
      <x:c r="E37" s="6" t="str">
        <x:v>Public</x:v>
      </x:c>
      <x:c r="F37" s="6" t="str">
        <x:v>NASDAQ:MSFT</x:v>
      </x:c>
      <x:c r="G37" s="6" t="str">
        <x:v>GitHub Copilot and developer-platform distribution.</x:v>
      </x:c>
      <x:c r="H37" s="6" t="str">
        <x:v>https://www.microsoft.com/investor/reports/ar25/</x:v>
      </x:c>
      <x:c r="I37" s="6" t="str">
        <x:v>https://www.microsoft.com/investor/reports/ar25/</x:v>
      </x:c>
    </x:row>
    <x:row r="38" ht="15" hidden="0" customHeight="1">
      <x:c r="A38" s="12" t="n">
        <x:v>4</x:v>
      </x:c>
      <x:c r="B38" s="6" t="str">
        <x:v>AI-native software development</x:v>
      </x:c>
      <x:c r="C38" s="6" t="str">
        <x:v>Intelligence</x:v>
      </x:c>
      <x:c r="D38" s="6" t="str">
        <x:v>Alphabet</x:v>
      </x:c>
      <x:c r="E38" s="6" t="str">
        <x:v>Public</x:v>
      </x:c>
      <x:c r="F38" s="6" t="str">
        <x:v>NASDAQ:GOOGL</x:v>
      </x:c>
      <x:c r="G38" s="6" t="str">
        <x:v>Gemini development tools and cloud infrastructure.</x:v>
      </x:c>
      <x:c r="H38" s="6" t="str">
        <x:v>https://abc.xyz/investor/</x:v>
      </x:c>
      <x:c r="I38" s="6" t="str">
        <x:v>https://abc.xyz/investor/</x:v>
      </x:c>
    </x:row>
    <x:row r="39" ht="15" hidden="0" customHeight="1">
      <x:c r="A39" s="12" t="n">
        <x:v>4</x:v>
      </x:c>
      <x:c r="B39" s="6" t="str">
        <x:v>AI-native software development</x:v>
      </x:c>
      <x:c r="C39" s="6" t="str">
        <x:v>Intelligence</x:v>
      </x:c>
      <x:c r="D39" s="6" t="str">
        <x:v>Amazon</x:v>
      </x:c>
      <x:c r="E39" s="6" t="str">
        <x:v>Public</x:v>
      </x:c>
      <x:c r="F39" s="6" t="str">
        <x:v>NASDAQ:AMZN</x:v>
      </x:c>
      <x:c r="G39" s="6" t="str">
        <x:v>AWS developer assistants and application-migration services.</x:v>
      </x:c>
      <x:c r="H39" s="6" t="str">
        <x:v>https://ir.aboutamazon.com/</x:v>
      </x:c>
      <x:c r="I39" s="6" t="str">
        <x:v>https://ir.aboutamazon.com/</x:v>
      </x:c>
    </x:row>
    <x:row r="40" ht="15" hidden="0" customHeight="1">
      <x:c r="A40" s="12" t="n">
        <x:v>4</x:v>
      </x:c>
      <x:c r="B40" s="6" t="str">
        <x:v>AI-native software development</x:v>
      </x:c>
      <x:c r="C40" s="6" t="str">
        <x:v>Intelligence</x:v>
      </x:c>
      <x:c r="D40" s="6" t="str">
        <x:v>IBM</x:v>
      </x:c>
      <x:c r="E40" s="6" t="str">
        <x:v>Public</x:v>
      </x:c>
      <x:c r="F40" s="6" t="str">
        <x:v>NYSE:IBM</x:v>
      </x:c>
      <x:c r="G40" s="6" t="str">
        <x:v>Enterprise code assistants and modernization.</x:v>
      </x:c>
      <x:c r="H40" s="6" t="str">
        <x:v>https://www.ibm.com/</x:v>
      </x:c>
      <x:c r="I40" s="6" t="str">
        <x:v>https://www.ibm.com/</x:v>
      </x:c>
    </x:row>
    <x:row r="41" ht="15" hidden="0" customHeight="1">
      <x:c r="A41" s="12" t="n">
        <x:v>4</x:v>
      </x:c>
      <x:c r="B41" s="6" t="str">
        <x:v>AI-native software development</x:v>
      </x:c>
      <x:c r="C41" s="6" t="str">
        <x:v>Intelligence</x:v>
      </x:c>
      <x:c r="D41" s="6" t="str">
        <x:v>GitLab</x:v>
      </x:c>
      <x:c r="E41" s="6" t="str">
        <x:v>Public</x:v>
      </x:c>
      <x:c r="F41" s="6" t="str">
        <x:v>NASDAQ:GTLB</x:v>
      </x:c>
      <x:c r="G41" s="6" t="str">
        <x:v>AI integrated with software delivery and security workflows.</x:v>
      </x:c>
      <x:c r="H41" s="6" t="str">
        <x:v>https://about.gitlab.com/</x:v>
      </x:c>
      <x:c r="I41" s="6" t="str">
        <x:v>https://about.gitlab.com/</x:v>
      </x:c>
    </x:row>
    <x:row r="42" ht="15" hidden="0" customHeight="1">
      <x:c r="A42" s="12" t="n">
        <x:v>4</x:v>
      </x:c>
      <x:c r="B42" s="6" t="str">
        <x:v>AI-native software development</x:v>
      </x:c>
      <x:c r="C42" s="6" t="str">
        <x:v>Intelligence</x:v>
      </x:c>
      <x:c r="D42" s="6" t="str">
        <x:v>SpaceX</x:v>
      </x:c>
      <x:c r="E42" s="6" t="str">
        <x:v>Public</x:v>
      </x:c>
      <x:c r="F42" s="6" t="str">
        <x:v>NASDAQ:SPCX</x:v>
      </x:c>
      <x:c r="G42" s="6" t="str">
        <x:v>Owns Cursor after the August 2026 transaction; software exposure through a diversified public parent.</x:v>
      </x:c>
      <x:c r="H42" s="6" t="str">
        <x:v>https://ir.spacex.com/faqs-and-contact/</x:v>
      </x:c>
      <x:c r="I42" s="6" t="str">
        <x:v>https://ir.spacex.com/faqs-and-contact/</x:v>
      </x:c>
    </x:row>
    <x:row r="43" ht="15" hidden="0" customHeight="1">
      <x:c r="A43" s="12" t="n">
        <x:v>4</x:v>
      </x:c>
      <x:c r="B43" s="6" t="str">
        <x:v>AI-native software development</x:v>
      </x:c>
      <x:c r="C43" s="6" t="str">
        <x:v>Intelligence</x:v>
      </x:c>
      <x:c r="D43" s="6" t="str">
        <x:v>OpenAI</x:v>
      </x:c>
      <x:c r="E43" s="6" t="str">
        <x:v>Private</x:v>
      </x:c>
      <x:c r="F43" s="6" t="str"/>
      <x:c r="G43" s="6" t="str">
        <x:v>Private Codex and coding-model services.</x:v>
      </x:c>
      <x:c r="H43" s="6" t="str">
        <x:v>https://openai.com/index/scaling-ai-for-everyone/</x:v>
      </x:c>
      <x:c r="I43" s="6" t="str">
        <x:v>https://openai.com/index/scaling-ai-for-everyone/</x:v>
      </x:c>
    </x:row>
    <x:row r="44" ht="15" hidden="0" customHeight="1">
      <x:c r="A44" s="12" t="n">
        <x:v>4</x:v>
      </x:c>
      <x:c r="B44" s="6" t="str">
        <x:v>AI-native software development</x:v>
      </x:c>
      <x:c r="C44" s="6" t="str">
        <x:v>Intelligence</x:v>
      </x:c>
      <x:c r="D44" s="6" t="str">
        <x:v>Anthropic</x:v>
      </x:c>
      <x:c r="E44" s="6" t="str">
        <x:v>Private</x:v>
      </x:c>
      <x:c r="F44" s="6" t="str"/>
      <x:c r="G44" s="6" t="str">
        <x:v>Private Claude Code supplier; IPO preparation remains pending.</x:v>
      </x:c>
      <x:c r="H44" s="6" t="str">
        <x:v>https://www.anthropic.com/news/series-h</x:v>
      </x:c>
      <x:c r="I44" s="6" t="str">
        <x:v>https://www.anthropic.com/news/series-h</x:v>
      </x:c>
    </x:row>
    <x:row r="45" ht="15" hidden="0" customHeight="1">
      <x:c r="A45" s="12" t="n">
        <x:v>4</x:v>
      </x:c>
      <x:c r="B45" s="6" t="str">
        <x:v>AI-native software development</x:v>
      </x:c>
      <x:c r="C45" s="6" t="str">
        <x:v>Intelligence</x:v>
      </x:c>
      <x:c r="D45" s="6" t="str">
        <x:v>JetBrains</x:v>
      </x:c>
      <x:c r="E45" s="6" t="str">
        <x:v>Private</x:v>
      </x:c>
      <x:c r="F45" s="6" t="str"/>
      <x:c r="G45" s="6" t="str">
        <x:v>Private IDE and AI-development tool company.</x:v>
      </x:c>
      <x:c r="H45" s="6" t="str">
        <x:v>https://www.jetbrains.com/</x:v>
      </x:c>
      <x:c r="I45" s="6" t="str">
        <x:v>https://www.jetbrains.com/</x:v>
      </x:c>
    </x:row>
    <x:row r="46" ht="15" hidden="0" customHeight="1">
      <x:c r="A46" s="12" t="n">
        <x:v>4</x:v>
      </x:c>
      <x:c r="B46" s="6" t="str">
        <x:v>AI-native software development</x:v>
      </x:c>
      <x:c r="C46" s="6" t="str">
        <x:v>Intelligence</x:v>
      </x:c>
      <x:c r="D46" s="6" t="str">
        <x:v>Replit</x:v>
      </x:c>
      <x:c r="E46" s="6" t="str">
        <x:v>Private</x:v>
      </x:c>
      <x:c r="F46" s="6" t="str"/>
      <x:c r="G46" s="6" t="str">
        <x:v>Private agent-driven application development platform.</x:v>
      </x:c>
      <x:c r="H46" s="6" t="str">
        <x:v>https://replit.com/</x:v>
      </x:c>
      <x:c r="I46" s="6" t="str">
        <x:v>https://replit.com/</x:v>
      </x:c>
    </x:row>
    <x:row r="47" ht="15" hidden="0" customHeight="1">
      <x:c r="A47" s="12" t="n">
        <x:v>4</x:v>
      </x:c>
      <x:c r="B47" s="6" t="str">
        <x:v>AI-native software development</x:v>
      </x:c>
      <x:c r="C47" s="6" t="str">
        <x:v>Intelligence</x:v>
      </x:c>
      <x:c r="D47" s="6" t="str">
        <x:v>Cognition</x:v>
      </x:c>
      <x:c r="E47" s="6" t="str">
        <x:v>Private</x:v>
      </x:c>
      <x:c r="F47" s="6" t="str"/>
      <x:c r="G47" s="6" t="str">
        <x:v>Private software-agent company and Windsurf owner.</x:v>
      </x:c>
      <x:c r="H47" s="6" t="str">
        <x:v>https://cognition.com/</x:v>
      </x:c>
      <x:c r="I47" s="6" t="str">
        <x:v>https://cognition.com/</x:v>
      </x:c>
    </x:row>
    <x:row r="48" ht="15" hidden="0" customHeight="1">
      <x:c r="A48" s="12" t="n">
        <x:v>5</x:v>
      </x:c>
      <x:c r="B48" s="6" t="str">
        <x:v>AI search and enterprise knowledge retrieval</x:v>
      </x:c>
      <x:c r="C48" s="6" t="str">
        <x:v>Intelligence</x:v>
      </x:c>
      <x:c r="D48" s="6" t="str">
        <x:v>Microsoft</x:v>
      </x:c>
      <x:c r="E48" s="6" t="str">
        <x:v>Public</x:v>
      </x:c>
      <x:c r="F48" s="6" t="str">
        <x:v>NASDAQ:MSFT</x:v>
      </x:c>
      <x:c r="G48" s="6" t="str">
        <x:v>Microsoft 365, Azure AI Search and enterprise distribution.</x:v>
      </x:c>
      <x:c r="H48" s="6" t="str">
        <x:v>https://www.microsoft.com/investor/reports/ar25/</x:v>
      </x:c>
      <x:c r="I48" s="6" t="str">
        <x:v>https://www.microsoft.com/investor/reports/ar25/</x:v>
      </x:c>
    </x:row>
    <x:row r="49" ht="15" hidden="0" customHeight="1">
      <x:c r="A49" s="12" t="n">
        <x:v>5</x:v>
      </x:c>
      <x:c r="B49" s="6" t="str">
        <x:v>AI search and enterprise knowledge retrieval</x:v>
      </x:c>
      <x:c r="C49" s="6" t="str">
        <x:v>Intelligence</x:v>
      </x:c>
      <x:c r="D49" s="6" t="str">
        <x:v>Alphabet</x:v>
      </x:c>
      <x:c r="E49" s="6" t="str">
        <x:v>Public</x:v>
      </x:c>
      <x:c r="F49" s="6" t="str">
        <x:v>NASDAQ:GOOGL</x:v>
      </x:c>
      <x:c r="G49" s="6" t="str">
        <x:v>Google search, Workspace and Vertex AI retrieval.</x:v>
      </x:c>
      <x:c r="H49" s="6" t="str">
        <x:v>https://abc.xyz/investor/</x:v>
      </x:c>
      <x:c r="I49" s="6" t="str">
        <x:v>https://abc.xyz/investor/</x:v>
      </x:c>
    </x:row>
    <x:row r="50" ht="15" hidden="0" customHeight="1">
      <x:c r="A50" s="12" t="n">
        <x:v>5</x:v>
      </x:c>
      <x:c r="B50" s="6" t="str">
        <x:v>AI search and enterprise knowledge retrieval</x:v>
      </x:c>
      <x:c r="C50" s="6" t="str">
        <x:v>Intelligence</x:v>
      </x:c>
      <x:c r="D50" s="6" t="str">
        <x:v>Amazon</x:v>
      </x:c>
      <x:c r="E50" s="6" t="str">
        <x:v>Public</x:v>
      </x:c>
      <x:c r="F50" s="6" t="str">
        <x:v>NASDAQ:AMZN</x:v>
      </x:c>
      <x:c r="G50" s="6" t="str">
        <x:v>AWS search, knowledge-base and enterprise assistant services.</x:v>
      </x:c>
      <x:c r="H50" s="6" t="str">
        <x:v>https://ir.aboutamazon.com/</x:v>
      </x:c>
      <x:c r="I50" s="6" t="str">
        <x:v>https://ir.aboutamazon.com/</x:v>
      </x:c>
    </x:row>
    <x:row r="51" ht="15" hidden="0" customHeight="1">
      <x:c r="A51" s="12" t="n">
        <x:v>5</x:v>
      </x:c>
      <x:c r="B51" s="6" t="str">
        <x:v>AI search and enterprise knowledge retrieval</x:v>
      </x:c>
      <x:c r="C51" s="6" t="str">
        <x:v>Intelligence</x:v>
      </x:c>
      <x:c r="D51" s="6" t="str">
        <x:v>Elastic</x:v>
      </x:c>
      <x:c r="E51" s="6" t="str">
        <x:v>Public</x:v>
      </x:c>
      <x:c r="F51" s="6" t="str">
        <x:v>NYSE:ESTC</x:v>
      </x:c>
      <x:c r="G51" s="6" t="str">
        <x:v>Search and vector retrieval infrastructure.</x:v>
      </x:c>
      <x:c r="H51" s="6" t="str">
        <x:v>https://www.elastic.co/</x:v>
      </x:c>
      <x:c r="I51" s="6" t="str">
        <x:v>https://www.elastic.co/</x:v>
      </x:c>
    </x:row>
    <x:row r="52" ht="15" hidden="0" customHeight="1">
      <x:c r="A52" s="12" t="n">
        <x:v>5</x:v>
      </x:c>
      <x:c r="B52" s="6" t="str">
        <x:v>AI search and enterprise knowledge retrieval</x:v>
      </x:c>
      <x:c r="C52" s="6" t="str">
        <x:v>Intelligence</x:v>
      </x:c>
      <x:c r="D52" s="6" t="str">
        <x:v>Snowflake</x:v>
      </x:c>
      <x:c r="E52" s="6" t="str">
        <x:v>Public</x:v>
      </x:c>
      <x:c r="F52" s="6" t="str">
        <x:v>NYSE:SNOW</x:v>
      </x:c>
      <x:c r="G52" s="6" t="str">
        <x:v>Data-platform search and AI access to enterprise data.</x:v>
      </x:c>
      <x:c r="H52" s="6" t="str">
        <x:v>https://www.snowflake.com/</x:v>
      </x:c>
      <x:c r="I52" s="6" t="str">
        <x:v>https://www.snowflake.com/</x:v>
      </x:c>
    </x:row>
    <x:row r="53" ht="15" hidden="0" customHeight="1">
      <x:c r="A53" s="12" t="n">
        <x:v>5</x:v>
      </x:c>
      <x:c r="B53" s="6" t="str">
        <x:v>AI search and enterprise knowledge retrieval</x:v>
      </x:c>
      <x:c r="C53" s="6" t="str">
        <x:v>Intelligence</x:v>
      </x:c>
      <x:c r="D53" s="6" t="str">
        <x:v>Oracle</x:v>
      </x:c>
      <x:c r="E53" s="6" t="str">
        <x:v>Public</x:v>
      </x:c>
      <x:c r="F53" s="6" t="str">
        <x:v>NYSE:ORCL</x:v>
      </x:c>
      <x:c r="G53" s="6" t="str">
        <x:v>Database and application data retrieval.</x:v>
      </x:c>
      <x:c r="H53" s="6" t="str">
        <x:v>https://www.oracle.com/</x:v>
      </x:c>
      <x:c r="I53" s="6" t="str">
        <x:v>https://www.oracle.com/</x:v>
      </x:c>
    </x:row>
    <x:row r="54" ht="15" hidden="0" customHeight="1">
      <x:c r="A54" s="12" t="n">
        <x:v>5</x:v>
      </x:c>
      <x:c r="B54" s="6" t="str">
        <x:v>AI search and enterprise knowledge retrieval</x:v>
      </x:c>
      <x:c r="C54" s="6" t="str">
        <x:v>Intelligence</x:v>
      </x:c>
      <x:c r="D54" s="6" t="str">
        <x:v>Cloudflare</x:v>
      </x:c>
      <x:c r="E54" s="6" t="str">
        <x:v>Public</x:v>
      </x:c>
      <x:c r="F54" s="6" t="str">
        <x:v>NYSE:NET</x:v>
      </x:c>
      <x:c r="G54" s="6" t="str">
        <x:v>Infrastructure for AI applications and search/retrieval services; indirect platform exposure.</x:v>
      </x:c>
      <x:c r="H54" s="6" t="str">
        <x:v>https://blog.cloudflare.com/post-quantum-roadmap/</x:v>
      </x:c>
      <x:c r="I54" s="6" t="str">
        <x:v>https://blog.cloudflare.com/post-quantum-roadmap/</x:v>
      </x:c>
    </x:row>
    <x:row r="55" ht="15" hidden="0" customHeight="1">
      <x:c r="A55" s="12" t="n">
        <x:v>5</x:v>
      </x:c>
      <x:c r="B55" s="6" t="str">
        <x:v>AI search and enterprise knowledge retrieval</x:v>
      </x:c>
      <x:c r="C55" s="6" t="str">
        <x:v>Intelligence</x:v>
      </x:c>
      <x:c r="D55" s="6" t="str">
        <x:v>Glean</x:v>
      </x:c>
      <x:c r="E55" s="6" t="str">
        <x:v>Private</x:v>
      </x:c>
      <x:c r="F55" s="6" t="str"/>
      <x:c r="G55" s="6" t="str">
        <x:v>Private enterprise search, knowledge context and agent platform.</x:v>
      </x:c>
      <x:c r="H55" s="6" t="str">
        <x:v>https://www.glean.com/press/glean-surpasses-300m-arr-unrivaled-enterprise-context-fuels-ai-adoption</x:v>
      </x:c>
      <x:c r="I55" s="6" t="str">
        <x:v>https://www.glean.com/press/glean-surpasses-300m-arr-unrivaled-enterprise-context-fuels-ai-adoption</x:v>
      </x:c>
    </x:row>
    <x:row r="56" ht="15" hidden="0" customHeight="1">
      <x:c r="A56" s="12" t="n">
        <x:v>5</x:v>
      </x:c>
      <x:c r="B56" s="6" t="str">
        <x:v>AI search and enterprise knowledge retrieval</x:v>
      </x:c>
      <x:c r="C56" s="6" t="str">
        <x:v>Intelligence</x:v>
      </x:c>
      <x:c r="D56" s="6" t="str">
        <x:v>Perplexity</x:v>
      </x:c>
      <x:c r="E56" s="6" t="str">
        <x:v>Private</x:v>
      </x:c>
      <x:c r="F56" s="6" t="str"/>
      <x:c r="G56" s="6" t="str">
        <x:v>Private conversational answer and search platform.</x:v>
      </x:c>
      <x:c r="H56" s="6" t="str">
        <x:v>https://www.perplexity.ai/</x:v>
      </x:c>
      <x:c r="I56" s="6" t="str">
        <x:v>https://www.perplexity.ai/</x:v>
      </x:c>
    </x:row>
    <x:row r="57" ht="15" hidden="0" customHeight="1">
      <x:c r="A57" s="12" t="n">
        <x:v>5</x:v>
      </x:c>
      <x:c r="B57" s="6" t="str">
        <x:v>AI search and enterprise knowledge retrieval</x:v>
      </x:c>
      <x:c r="C57" s="6" t="str">
        <x:v>Intelligence</x:v>
      </x:c>
      <x:c r="D57" s="6" t="str">
        <x:v>Pinecone</x:v>
      </x:c>
      <x:c r="E57" s="6" t="str">
        <x:v>Private</x:v>
      </x:c>
      <x:c r="F57" s="6" t="str"/>
      <x:c r="G57" s="6" t="str">
        <x:v>Private vector and knowledge-retrieval infrastructure.</x:v>
      </x:c>
      <x:c r="H57" s="6" t="str">
        <x:v>https://www.pinecone.io/</x:v>
      </x:c>
      <x:c r="I57" s="6" t="str">
        <x:v>https://www.pinecone.io/</x:v>
      </x:c>
    </x:row>
    <x:row r="58" ht="15" hidden="0" customHeight="1">
      <x:c r="A58" s="12" t="n">
        <x:v>5</x:v>
      </x:c>
      <x:c r="B58" s="6" t="str">
        <x:v>AI search and enterprise knowledge retrieval</x:v>
      </x:c>
      <x:c r="C58" s="6" t="str">
        <x:v>Intelligence</x:v>
      </x:c>
      <x:c r="D58" s="6" t="str">
        <x:v>Weaviate</x:v>
      </x:c>
      <x:c r="E58" s="6" t="str">
        <x:v>Private</x:v>
      </x:c>
      <x:c r="F58" s="6" t="str"/>
      <x:c r="G58" s="6" t="str">
        <x:v>Private AI/vector database supplier.</x:v>
      </x:c>
      <x:c r="H58" s="6" t="str">
        <x:v>https://weaviate.io/</x:v>
      </x:c>
      <x:c r="I58" s="6" t="str">
        <x:v>https://weaviate.io/</x:v>
      </x:c>
    </x:row>
    <x:row r="59" ht="15" hidden="0" customHeight="1">
      <x:c r="A59" s="12" t="n">
        <x:v>6</x:v>
      </x:c>
      <x:c r="B59" s="6" t="str">
        <x:v>AI accelerators and heterogeneous computing</x:v>
      </x:c>
      <x:c r="C59" s="6" t="str">
        <x:v>Compute &amp; trust</x:v>
      </x:c>
      <x:c r="D59" s="6" t="str">
        <x:v>NVIDIA</x:v>
      </x:c>
      <x:c r="E59" s="6" t="str">
        <x:v>Public</x:v>
      </x:c>
      <x:c r="F59" s="6" t="str">
        <x:v>NASDAQ:NVDA</x:v>
      </x:c>
      <x:c r="G59" s="6" t="str">
        <x:v>GPUs, accelerated-computing software and AI networking.</x:v>
      </x:c>
      <x:c r="H59" s="6" t="str">
        <x:v>https://investor.nvidia.com/</x:v>
      </x:c>
      <x:c r="I59" s="6" t="str">
        <x:v>https://investor.nvidia.com/</x:v>
      </x:c>
    </x:row>
    <x:row r="60" ht="15" hidden="0" customHeight="1">
      <x:c r="A60" s="12" t="n">
        <x:v>6</x:v>
      </x:c>
      <x:c r="B60" s="6" t="str">
        <x:v>AI accelerators and heterogeneous computing</x:v>
      </x:c>
      <x:c r="C60" s="6" t="str">
        <x:v>Compute &amp; trust</x:v>
      </x:c>
      <x:c r="D60" s="6" t="str">
        <x:v>AMD</x:v>
      </x:c>
      <x:c r="E60" s="6" t="str">
        <x:v>Public</x:v>
      </x:c>
      <x:c r="F60" s="6" t="str">
        <x:v>NASDAQ:AMD</x:v>
      </x:c>
      <x:c r="G60" s="6" t="str">
        <x:v>Data-center GPUs, CPUs and heterogeneous compute.</x:v>
      </x:c>
      <x:c r="H60" s="6" t="str">
        <x:v>https://ir.amd.com/</x:v>
      </x:c>
      <x:c r="I60" s="6" t="str">
        <x:v>https://ir.amd.com/</x:v>
      </x:c>
    </x:row>
    <x:row r="61" ht="15" hidden="0" customHeight="1">
      <x:c r="A61" s="12" t="n">
        <x:v>6</x:v>
      </x:c>
      <x:c r="B61" s="6" t="str">
        <x:v>AI accelerators and heterogeneous computing</x:v>
      </x:c>
      <x:c r="C61" s="6" t="str">
        <x:v>Compute &amp; trust</x:v>
      </x:c>
      <x:c r="D61" s="6" t="str">
        <x:v>Broadcom</x:v>
      </x:c>
      <x:c r="E61" s="6" t="str">
        <x:v>Public</x:v>
      </x:c>
      <x:c r="F61" s="6" t="str">
        <x:v>NASDAQ:AVGO</x:v>
      </x:c>
      <x:c r="G61" s="6" t="str">
        <x:v>Custom accelerators and switching silicon.</x:v>
      </x:c>
      <x:c r="H61" s="6" t="str">
        <x:v>https://investors.broadcom.com/</x:v>
      </x:c>
      <x:c r="I61" s="6" t="str">
        <x:v>https://investors.broadcom.com/</x:v>
      </x:c>
    </x:row>
    <x:row r="62" ht="15" hidden="0" customHeight="1">
      <x:c r="A62" s="12" t="n">
        <x:v>6</x:v>
      </x:c>
      <x:c r="B62" s="6" t="str">
        <x:v>AI accelerators and heterogeneous computing</x:v>
      </x:c>
      <x:c r="C62" s="6" t="str">
        <x:v>Compute &amp; trust</x:v>
      </x:c>
      <x:c r="D62" s="6" t="str">
        <x:v>Marvell</x:v>
      </x:c>
      <x:c r="E62" s="6" t="str">
        <x:v>Public</x:v>
      </x:c>
      <x:c r="F62" s="6" t="str">
        <x:v>NASDAQ:MRVL</x:v>
      </x:c>
      <x:c r="G62" s="6" t="str">
        <x:v>Custom silicon and high-speed data infrastructure.</x:v>
      </x:c>
      <x:c r="H62" s="6" t="str">
        <x:v>https://investor.marvell.com/</x:v>
      </x:c>
      <x:c r="I62" s="6" t="str">
        <x:v>https://investor.marvell.com/</x:v>
      </x:c>
    </x:row>
    <x:row r="63" ht="15" hidden="0" customHeight="1">
      <x:c r="A63" s="12" t="n">
        <x:v>6</x:v>
      </x:c>
      <x:c r="B63" s="6" t="str">
        <x:v>AI accelerators and heterogeneous computing</x:v>
      </x:c>
      <x:c r="C63" s="6" t="str">
        <x:v>Compute &amp; trust</x:v>
      </x:c>
      <x:c r="D63" s="6" t="str">
        <x:v>Intel</x:v>
      </x:c>
      <x:c r="E63" s="6" t="str">
        <x:v>Public</x:v>
      </x:c>
      <x:c r="F63" s="6" t="str">
        <x:v>NASDAQ:INTC</x:v>
      </x:c>
      <x:c r="G63" s="6" t="str">
        <x:v>CPUs, accelerators and foundry/packaging services.</x:v>
      </x:c>
      <x:c r="H63" s="6" t="str">
        <x:v>https://www.intc.com/</x:v>
      </x:c>
      <x:c r="I63" s="6" t="str">
        <x:v>https://www.intc.com/</x:v>
      </x:c>
    </x:row>
    <x:row r="64" ht="15" hidden="0" customHeight="1">
      <x:c r="A64" s="12" t="n">
        <x:v>6</x:v>
      </x:c>
      <x:c r="B64" s="6" t="str">
        <x:v>AI accelerators and heterogeneous computing</x:v>
      </x:c>
      <x:c r="C64" s="6" t="str">
        <x:v>Compute &amp; trust</x:v>
      </x:c>
      <x:c r="D64" s="6" t="str">
        <x:v>Alphabet</x:v>
      </x:c>
      <x:c r="E64" s="6" t="str">
        <x:v>Public</x:v>
      </x:c>
      <x:c r="F64" s="6" t="str">
        <x:v>NASDAQ:GOOGL</x:v>
      </x:c>
      <x:c r="G64" s="6" t="str">
        <x:v>TPU infrastructure and Google Cloud distribution.</x:v>
      </x:c>
      <x:c r="H64" s="6" t="str">
        <x:v>https://abc.xyz/investor/</x:v>
      </x:c>
      <x:c r="I64" s="6" t="str">
        <x:v>https://abc.xyz/investor/</x:v>
      </x:c>
    </x:row>
    <x:row r="65" ht="15" hidden="0" customHeight="1">
      <x:c r="A65" s="12" t="n">
        <x:v>6</x:v>
      </x:c>
      <x:c r="B65" s="6" t="str">
        <x:v>AI accelerators and heterogeneous computing</x:v>
      </x:c>
      <x:c r="C65" s="6" t="str">
        <x:v>Compute &amp; trust</x:v>
      </x:c>
      <x:c r="D65" s="6" t="str">
        <x:v>Amazon</x:v>
      </x:c>
      <x:c r="E65" s="6" t="str">
        <x:v>Public</x:v>
      </x:c>
      <x:c r="F65" s="6" t="str">
        <x:v>NASDAQ:AMZN</x:v>
      </x:c>
      <x:c r="G65" s="6" t="str">
        <x:v>Trainium/Inferentia and AWS; diversified parent exposure.</x:v>
      </x:c>
      <x:c r="H65" s="6" t="str">
        <x:v>https://ir.aboutamazon.com/</x:v>
      </x:c>
      <x:c r="I65" s="6" t="str">
        <x:v>https://ir.aboutamazon.com/</x:v>
      </x:c>
    </x:row>
    <x:row r="66" ht="15" hidden="0" customHeight="1">
      <x:c r="A66" s="12" t="n">
        <x:v>6</x:v>
      </x:c>
      <x:c r="B66" s="6" t="str">
        <x:v>AI accelerators and heterogeneous computing</x:v>
      </x:c>
      <x:c r="C66" s="6" t="str">
        <x:v>Compute &amp; trust</x:v>
      </x:c>
      <x:c r="D66" s="6" t="str">
        <x:v>Cerebras</x:v>
      </x:c>
      <x:c r="E66" s="6" t="str">
        <x:v>Public</x:v>
      </x:c>
      <x:c r="F66" s="6" t="str">
        <x:v>NASDAQ:CBRS</x:v>
      </x:c>
      <x:c r="G66" s="6" t="str">
        <x:v>Wafer-scale compute; public NASDAQ:CBRS since May 2026.</x:v>
      </x:c>
      <x:c r="H66" s="6" t="str">
        <x:v>https://www.cerebras.ai/press-release/cerebras-systems-announces-closing-of-initial-public-offering</x:v>
      </x:c>
      <x:c r="I66" s="6" t="str">
        <x:v>https://www.cerebras.ai/press-release/cerebras-systems-announces-closing-of-initial-public-offering</x:v>
      </x:c>
    </x:row>
    <x:row r="67" ht="24" hidden="0" customHeight="1">
      <x:c r="A67" s="12" t="n">
        <x:v>6</x:v>
      </x:c>
      <x:c r="B67" s="6" t="str">
        <x:v>AI accelerators and heterogeneous computing</x:v>
      </x:c>
      <x:c r="C67" s="6" t="str">
        <x:v>Compute &amp; trust</x:v>
      </x:c>
      <x:c r="D67" s="6" t="str">
        <x:v>SiMa.ai</x:v>
      </x:c>
      <x:c r="E67" s="6" t="str">
        <x:v>Private</x:v>
      </x:c>
      <x:c r="F67" s="6" t="str"/>
      <x:c r="G67" s="6" t="str">
        <x:v>Private specialized physical-AI compute and software.</x:v>
      </x:c>
      <x:c r="H67" s="6" t="str">
        <x:v>https://sima.ai/press-release/sima-ai-reaches-1-45b-valuation-with-500-million-in-total-funding-to-scale-physical-ai-in-humanoids-automotive-and-drones/</x:v>
      </x:c>
      <x:c r="I67" s="6" t="str">
        <x:v>https://sima.ai/press-release/sima-ai-reaches-1-45b-valuation-with-500-million-in-total-funding-to-scale-physical-ai-in-humanoids-automotive-and-drones/</x:v>
      </x:c>
    </x:row>
    <x:row r="68" ht="15" hidden="0" customHeight="1">
      <x:c r="A68" s="12" t="n">
        <x:v>6</x:v>
      </x:c>
      <x:c r="B68" s="6" t="str">
        <x:v>AI accelerators and heterogeneous computing</x:v>
      </x:c>
      <x:c r="C68" s="6" t="str">
        <x:v>Compute &amp; trust</x:v>
      </x:c>
      <x:c r="D68" s="6" t="str">
        <x:v>d-Matrix</x:v>
      </x:c>
      <x:c r="E68" s="6" t="str">
        <x:v>Private</x:v>
      </x:c>
      <x:c r="F68" s="6" t="str"/>
      <x:c r="G68" s="6" t="str">
        <x:v>Private inference-focused accelerator systems.</x:v>
      </x:c>
      <x:c r="H68" s="6" t="str">
        <x:v>https://www.d-matrix.ai/</x:v>
      </x:c>
      <x:c r="I68" s="6" t="str">
        <x:v>https://www.d-matrix.ai/</x:v>
      </x:c>
    </x:row>
    <x:row r="69" ht="15" hidden="0" customHeight="1">
      <x:c r="A69" s="12" t="n">
        <x:v>7</x:v>
      </x:c>
      <x:c r="B69" s="6" t="str">
        <x:v>Chiplets and advanced semiconductor packaging</x:v>
      </x:c>
      <x:c r="C69" s="6" t="str">
        <x:v>Compute &amp; trust</x:v>
      </x:c>
      <x:c r="D69" s="6" t="str">
        <x:v>TSMC</x:v>
      </x:c>
      <x:c r="E69" s="6" t="str">
        <x:v>Public</x:v>
      </x:c>
      <x:c r="F69" s="6" t="str">
        <x:v>NYSE:TSM</x:v>
      </x:c>
      <x:c r="G69" s="6" t="str">
        <x:v>CoWoS/SoIC and foundry integration for advanced packages.</x:v>
      </x:c>
      <x:c r="H69" s="6" t="str">
        <x:v>https://investor.tsmc.com/</x:v>
      </x:c>
      <x:c r="I69" s="6" t="str">
        <x:v>https://investor.tsmc.com/</x:v>
      </x:c>
    </x:row>
    <x:row r="70" ht="15" hidden="0" customHeight="1">
      <x:c r="A70" s="12" t="n">
        <x:v>7</x:v>
      </x:c>
      <x:c r="B70" s="6" t="str">
        <x:v>Chiplets and advanced semiconductor packaging</x:v>
      </x:c>
      <x:c r="C70" s="6" t="str">
        <x:v>Compute &amp; trust</x:v>
      </x:c>
      <x:c r="D70" s="6" t="str">
        <x:v>ASE Technology</x:v>
      </x:c>
      <x:c r="E70" s="6" t="str">
        <x:v>Public</x:v>
      </x:c>
      <x:c r="F70" s="6" t="str">
        <x:v>NYSE:ASX</x:v>
      </x:c>
      <x:c r="G70" s="6" t="str">
        <x:v>Outsourced semiconductor assembly, packaging and test.</x:v>
      </x:c>
      <x:c r="H70" s="6" t="str">
        <x:v>https://www.aseglobal.com/</x:v>
      </x:c>
      <x:c r="I70" s="6" t="str">
        <x:v>https://www.aseglobal.com/</x:v>
      </x:c>
    </x:row>
    <x:row r="71" ht="15" hidden="0" customHeight="1">
      <x:c r="A71" s="12" t="n">
        <x:v>7</x:v>
      </x:c>
      <x:c r="B71" s="6" t="str">
        <x:v>Chiplets and advanced semiconductor packaging</x:v>
      </x:c>
      <x:c r="C71" s="6" t="str">
        <x:v>Compute &amp; trust</x:v>
      </x:c>
      <x:c r="D71" s="6" t="str">
        <x:v>Amkor</x:v>
      </x:c>
      <x:c r="E71" s="6" t="str">
        <x:v>Public</x:v>
      </x:c>
      <x:c r="F71" s="6" t="str">
        <x:v>NASDAQ:AMKR</x:v>
      </x:c>
      <x:c r="G71" s="6" t="str">
        <x:v>Advanced packaging and testing capacity.</x:v>
      </x:c>
      <x:c r="H71" s="6" t="str">
        <x:v>https://ir.amkor.com/</x:v>
      </x:c>
      <x:c r="I71" s="6" t="str">
        <x:v>https://ir.amkor.com/</x:v>
      </x:c>
    </x:row>
    <x:row r="72" ht="15" hidden="0" customHeight="1">
      <x:c r="A72" s="12" t="n">
        <x:v>7</x:v>
      </x:c>
      <x:c r="B72" s="6" t="str">
        <x:v>Chiplets and advanced semiconductor packaging</x:v>
      </x:c>
      <x:c r="C72" s="6" t="str">
        <x:v>Compute &amp; trust</x:v>
      </x:c>
      <x:c r="D72" s="6" t="str">
        <x:v>AMD</x:v>
      </x:c>
      <x:c r="E72" s="6" t="str">
        <x:v>Public</x:v>
      </x:c>
      <x:c r="F72" s="6" t="str">
        <x:v>NASDAQ:AMD</x:v>
      </x:c>
      <x:c r="G72" s="6" t="str">
        <x:v>Chiplet-based processors and system architecture.</x:v>
      </x:c>
      <x:c r="H72" s="6" t="str">
        <x:v>https://ir.amd.com/</x:v>
      </x:c>
      <x:c r="I72" s="6" t="str">
        <x:v>https://ir.amd.com/</x:v>
      </x:c>
    </x:row>
    <x:row r="73" ht="15" hidden="0" customHeight="1">
      <x:c r="A73" s="12" t="n">
        <x:v>7</x:v>
      </x:c>
      <x:c r="B73" s="6" t="str">
        <x:v>Chiplets and advanced semiconductor packaging</x:v>
      </x:c>
      <x:c r="C73" s="6" t="str">
        <x:v>Compute &amp; trust</x:v>
      </x:c>
      <x:c r="D73" s="6" t="str">
        <x:v>Intel</x:v>
      </x:c>
      <x:c r="E73" s="6" t="str">
        <x:v>Public</x:v>
      </x:c>
      <x:c r="F73" s="6" t="str">
        <x:v>NASDAQ:INTC</x:v>
      </x:c>
      <x:c r="G73" s="6" t="str">
        <x:v>Multi-die products and advanced packaging services.</x:v>
      </x:c>
      <x:c r="H73" s="6" t="str">
        <x:v>https://www.intc.com/</x:v>
      </x:c>
      <x:c r="I73" s="6" t="str">
        <x:v>https://www.intc.com/</x:v>
      </x:c>
    </x:row>
    <x:row r="74" ht="15" hidden="0" customHeight="1">
      <x:c r="A74" s="12" t="n">
        <x:v>7</x:v>
      </x:c>
      <x:c r="B74" s="6" t="str">
        <x:v>Chiplets and advanced semiconductor packaging</x:v>
      </x:c>
      <x:c r="C74" s="6" t="str">
        <x:v>Compute &amp; trust</x:v>
      </x:c>
      <x:c r="D74" s="6" t="str">
        <x:v>Samsung Electronics</x:v>
      </x:c>
      <x:c r="E74" s="6" t="str">
        <x:v>Public</x:v>
      </x:c>
      <x:c r="F74" s="6" t="str">
        <x:v>KRX:005930</x:v>
      </x:c>
      <x:c r="G74" s="6" t="str">
        <x:v>Foundry, memory and advanced packaging.</x:v>
      </x:c>
      <x:c r="H74" s="6" t="str">
        <x:v>https://www.samsung.com/global/ir/</x:v>
      </x:c>
      <x:c r="I74" s="6" t="str">
        <x:v>https://www.samsung.com/global/ir/</x:v>
      </x:c>
    </x:row>
    <x:row r="75" ht="15" hidden="0" customHeight="1">
      <x:c r="A75" s="12" t="n">
        <x:v>7</x:v>
      </x:c>
      <x:c r="B75" s="6" t="str">
        <x:v>Chiplets and advanced semiconductor packaging</x:v>
      </x:c>
      <x:c r="C75" s="6" t="str">
        <x:v>Compute &amp; trust</x:v>
      </x:c>
      <x:c r="D75" s="6" t="str">
        <x:v>Synopsys</x:v>
      </x:c>
      <x:c r="E75" s="6" t="str">
        <x:v>Public</x:v>
      </x:c>
      <x:c r="F75" s="6" t="str">
        <x:v>NASDAQ:SNPS</x:v>
      </x:c>
      <x:c r="G75" s="6" t="str">
        <x:v>Design IP, verification and implementation tools.</x:v>
      </x:c>
      <x:c r="H75" s="6" t="str">
        <x:v>https://investor.synopsys.com/</x:v>
      </x:c>
      <x:c r="I75" s="6" t="str">
        <x:v>https://investor.synopsys.com/</x:v>
      </x:c>
    </x:row>
    <x:row r="76" ht="15" hidden="0" customHeight="1">
      <x:c r="A76" s="12" t="n">
        <x:v>7</x:v>
      </x:c>
      <x:c r="B76" s="6" t="str">
        <x:v>Chiplets and advanced semiconductor packaging</x:v>
      </x:c>
      <x:c r="C76" s="6" t="str">
        <x:v>Compute &amp; trust</x:v>
      </x:c>
      <x:c r="D76" s="6" t="str">
        <x:v>Cadence</x:v>
      </x:c>
      <x:c r="E76" s="6" t="str">
        <x:v>Public</x:v>
      </x:c>
      <x:c r="F76" s="6" t="str">
        <x:v>NASDAQ:CDNS</x:v>
      </x:c>
      <x:c r="G76" s="6" t="str">
        <x:v>Multi-die system design and analysis tools.</x:v>
      </x:c>
      <x:c r="H76" s="6" t="str">
        <x:v>https://investor.cadence.com/</x:v>
      </x:c>
      <x:c r="I76" s="6" t="str">
        <x:v>https://investor.cadence.com/</x:v>
      </x:c>
    </x:row>
    <x:row r="77" ht="15" hidden="0" customHeight="1">
      <x:c r="A77" s="12" t="n">
        <x:v>7</x:v>
      </x:c>
      <x:c r="B77" s="6" t="str">
        <x:v>Chiplets and advanced semiconductor packaging</x:v>
      </x:c>
      <x:c r="C77" s="6" t="str">
        <x:v>Compute &amp; trust</x:v>
      </x:c>
      <x:c r="D77" s="6" t="str">
        <x:v>Eliyan</x:v>
      </x:c>
      <x:c r="E77" s="6" t="str">
        <x:v>Private</x:v>
      </x:c>
      <x:c r="F77" s="6" t="str"/>
      <x:c r="G77" s="6" t="str">
        <x:v>Private die-to-die interconnect technology.</x:v>
      </x:c>
      <x:c r="H77" s="6" t="str">
        <x:v>https://eliyan.com/news/eliyan-achieves-unicorn-status-with-145-million-series-c/</x:v>
      </x:c>
      <x:c r="I77" s="6" t="str">
        <x:v>https://eliyan.com/news/eliyan-achieves-unicorn-status-with-145-million-series-c/</x:v>
      </x:c>
    </x:row>
    <x:row r="78" ht="15" hidden="0" customHeight="1">
      <x:c r="A78" s="12" t="n">
        <x:v>7</x:v>
      </x:c>
      <x:c r="B78" s="6" t="str">
        <x:v>Chiplets and advanced semiconductor packaging</x:v>
      </x:c>
      <x:c r="C78" s="6" t="str">
        <x:v>Compute &amp; trust</x:v>
      </x:c>
      <x:c r="D78" s="6" t="str">
        <x:v>Baya Systems</x:v>
      </x:c>
      <x:c r="E78" s="6" t="str">
        <x:v>Private</x:v>
      </x:c>
      <x:c r="F78" s="6" t="str"/>
      <x:c r="G78" s="6" t="str">
        <x:v>Private scalable interconnect and chiplet-system IP.</x:v>
      </x:c>
      <x:c r="H78" s="6" t="str">
        <x:v>https://bayasystems.com/press-releases/baya-systems-raises-36m-propel-ai-chiplet-innovation/</x:v>
      </x:c>
      <x:c r="I78" s="6" t="str">
        <x:v>https://bayasystems.com/press-releases/baya-systems-raises-36m-propel-ai-chiplet-innovation/</x:v>
      </x:c>
    </x:row>
    <x:row r="79" ht="15" hidden="0" customHeight="1">
      <x:c r="A79" s="12" t="n">
        <x:v>7</x:v>
      </x:c>
      <x:c r="B79" s="6" t="str">
        <x:v>Chiplets and advanced semiconductor packaging</x:v>
      </x:c>
      <x:c r="C79" s="6" t="str">
        <x:v>Compute &amp; trust</x:v>
      </x:c>
      <x:c r="D79" s="6" t="str">
        <x:v>Ayar Labs</x:v>
      </x:c>
      <x:c r="E79" s="6" t="str">
        <x:v>Private</x:v>
      </x:c>
      <x:c r="F79" s="6" t="str"/>
      <x:c r="G79" s="6" t="str">
        <x:v>Private optical interconnect technology for advanced systems.</x:v>
      </x:c>
      <x:c r="H79" s="6" t="str">
        <x:v>https://ayarlabs.com/news/ayar-labs-expands-2026-funding-to-650-million/</x:v>
      </x:c>
      <x:c r="I79" s="6" t="str">
        <x:v>https://ayarlabs.com/news/ayar-labs-expands-2026-funding-to-650-million/</x:v>
      </x:c>
    </x:row>
    <x:row r="80" ht="15" hidden="0" customHeight="1">
      <x:c r="A80" s="12" t="n">
        <x:v>8</x:v>
      </x:c>
      <x:c r="B80" s="6" t="str">
        <x:v>Silicon photonics and optical interconnects</x:v>
      </x:c>
      <x:c r="C80" s="6" t="str">
        <x:v>Compute &amp; trust</x:v>
      </x:c>
      <x:c r="D80" s="6" t="str">
        <x:v>Broadcom</x:v>
      </x:c>
      <x:c r="E80" s="6" t="str">
        <x:v>Public</x:v>
      </x:c>
      <x:c r="F80" s="6" t="str">
        <x:v>NASDAQ:AVGO</x:v>
      </x:c>
      <x:c r="G80" s="6" t="str">
        <x:v>Switching silicon and co-packaged optical networking.</x:v>
      </x:c>
      <x:c r="H80" s="6" t="str">
        <x:v>https://investors.broadcom.com/</x:v>
      </x:c>
      <x:c r="I80" s="6" t="str">
        <x:v>https://investors.broadcom.com/</x:v>
      </x:c>
    </x:row>
    <x:row r="81" ht="15" hidden="0" customHeight="1">
      <x:c r="A81" s="12" t="n">
        <x:v>8</x:v>
      </x:c>
      <x:c r="B81" s="6" t="str">
        <x:v>Silicon photonics and optical interconnects</x:v>
      </x:c>
      <x:c r="C81" s="6" t="str">
        <x:v>Compute &amp; trust</x:v>
      </x:c>
      <x:c r="D81" s="6" t="str">
        <x:v>Marvell</x:v>
      </x:c>
      <x:c r="E81" s="6" t="str">
        <x:v>Public</x:v>
      </x:c>
      <x:c r="F81" s="6" t="str">
        <x:v>NASDAQ:MRVL</x:v>
      </x:c>
      <x:c r="G81" s="6" t="str">
        <x:v>Optical DSPs, custom silicon and data infrastructure.</x:v>
      </x:c>
      <x:c r="H81" s="6" t="str">
        <x:v>https://investor.marvell.com/</x:v>
      </x:c>
      <x:c r="I81" s="6" t="str">
        <x:v>https://investor.marvell.com/</x:v>
      </x:c>
    </x:row>
    <x:row r="82" ht="15" hidden="0" customHeight="1">
      <x:c r="A82" s="12" t="n">
        <x:v>8</x:v>
      </x:c>
      <x:c r="B82" s="6" t="str">
        <x:v>Silicon photonics and optical interconnects</x:v>
      </x:c>
      <x:c r="C82" s="6" t="str">
        <x:v>Compute &amp; trust</x:v>
      </x:c>
      <x:c r="D82" s="6" t="str">
        <x:v>Coherent</x:v>
      </x:c>
      <x:c r="E82" s="6" t="str">
        <x:v>Public</x:v>
      </x:c>
      <x:c r="F82" s="6" t="str">
        <x:v>NYSE:COHR</x:v>
      </x:c>
      <x:c r="G82" s="6" t="str">
        <x:v>Lasers, optical components and transceivers.</x:v>
      </x:c>
      <x:c r="H82" s="6" t="str">
        <x:v>https://ir.coherent.com/</x:v>
      </x:c>
      <x:c r="I82" s="6" t="str">
        <x:v>https://ir.coherent.com/</x:v>
      </x:c>
    </x:row>
    <x:row r="83" ht="15" hidden="0" customHeight="1">
      <x:c r="A83" s="12" t="n">
        <x:v>8</x:v>
      </x:c>
      <x:c r="B83" s="6" t="str">
        <x:v>Silicon photonics and optical interconnects</x:v>
      </x:c>
      <x:c r="C83" s="6" t="str">
        <x:v>Compute &amp; trust</x:v>
      </x:c>
      <x:c r="D83" s="6" t="str">
        <x:v>Lumentum</x:v>
      </x:c>
      <x:c r="E83" s="6" t="str">
        <x:v>Public</x:v>
      </x:c>
      <x:c r="F83" s="6" t="str">
        <x:v>NASDAQ:LITE</x:v>
      </x:c>
      <x:c r="G83" s="6" t="str">
        <x:v>Optical components and laser supply.</x:v>
      </x:c>
      <x:c r="H83" s="6" t="str">
        <x:v>https://investor.lumentum.com/</x:v>
      </x:c>
      <x:c r="I83" s="6" t="str">
        <x:v>https://investor.lumentum.com/</x:v>
      </x:c>
    </x:row>
    <x:row r="84" ht="15" hidden="0" customHeight="1">
      <x:c r="A84" s="12" t="n">
        <x:v>8</x:v>
      </x:c>
      <x:c r="B84" s="6" t="str">
        <x:v>Silicon photonics and optical interconnects</x:v>
      </x:c>
      <x:c r="C84" s="6" t="str">
        <x:v>Compute &amp; trust</x:v>
      </x:c>
      <x:c r="D84" s="6" t="str">
        <x:v>Intel</x:v>
      </x:c>
      <x:c r="E84" s="6" t="str">
        <x:v>Public</x:v>
      </x:c>
      <x:c r="F84" s="6" t="str">
        <x:v>NASDAQ:INTC</x:v>
      </x:c>
      <x:c r="G84" s="6" t="str">
        <x:v>Silicon photonics and integrated computing research/products.</x:v>
      </x:c>
      <x:c r="H84" s="6" t="str">
        <x:v>https://www.intc.com/</x:v>
      </x:c>
      <x:c r="I84" s="6" t="str">
        <x:v>https://www.intc.com/</x:v>
      </x:c>
    </x:row>
    <x:row r="85" ht="15" hidden="0" customHeight="1">
      <x:c r="A85" s="12" t="n">
        <x:v>8</x:v>
      </x:c>
      <x:c r="B85" s="6" t="str">
        <x:v>Silicon photonics and optical interconnects</x:v>
      </x:c>
      <x:c r="C85" s="6" t="str">
        <x:v>Compute &amp; trust</x:v>
      </x:c>
      <x:c r="D85" s="6" t="str">
        <x:v>Cisco</x:v>
      </x:c>
      <x:c r="E85" s="6" t="str">
        <x:v>Public</x:v>
      </x:c>
      <x:c r="F85" s="6" t="str">
        <x:v>NASDAQ:CSCO</x:v>
      </x:c>
      <x:c r="G85" s="6" t="str">
        <x:v>Optical networking systems and high-speed connectivity.</x:v>
      </x:c>
      <x:c r="H85" s="6" t="str">
        <x:v>https://investor.cisco.com/</x:v>
      </x:c>
      <x:c r="I85" s="6" t="str">
        <x:v>https://investor.cisco.com/</x:v>
      </x:c>
    </x:row>
    <x:row r="86" ht="15" hidden="0" customHeight="1">
      <x:c r="A86" s="12" t="n">
        <x:v>8</x:v>
      </x:c>
      <x:c r="B86" s="6" t="str">
        <x:v>Silicon photonics and optical interconnects</x:v>
      </x:c>
      <x:c r="C86" s="6" t="str">
        <x:v>Compute &amp; trust</x:v>
      </x:c>
      <x:c r="D86" s="6" t="str">
        <x:v>TSMC</x:v>
      </x:c>
      <x:c r="E86" s="6" t="str">
        <x:v>Public</x:v>
      </x:c>
      <x:c r="F86" s="6" t="str">
        <x:v>NYSE:TSM</x:v>
      </x:c>
      <x:c r="G86" s="6" t="str">
        <x:v>Fabrication and packaging enabling integrated photonics.</x:v>
      </x:c>
      <x:c r="H86" s="6" t="str">
        <x:v>https://investor.tsmc.com/</x:v>
      </x:c>
      <x:c r="I86" s="6" t="str">
        <x:v>https://investor.tsmc.com/</x:v>
      </x:c>
    </x:row>
    <x:row r="87" ht="15" hidden="0" customHeight="1">
      <x:c r="A87" s="12" t="n">
        <x:v>8</x:v>
      </x:c>
      <x:c r="B87" s="6" t="str">
        <x:v>Silicon photonics and optical interconnects</x:v>
      </x:c>
      <x:c r="C87" s="6" t="str">
        <x:v>Compute &amp; trust</x:v>
      </x:c>
      <x:c r="D87" s="6" t="str">
        <x:v>NVIDIA</x:v>
      </x:c>
      <x:c r="E87" s="6" t="str">
        <x:v>Public</x:v>
      </x:c>
      <x:c r="F87" s="6" t="str">
        <x:v>NASDAQ:NVDA</x:v>
      </x:c>
      <x:c r="G87" s="6" t="str">
        <x:v>AI networking and optical system integration.</x:v>
      </x:c>
      <x:c r="H87" s="6" t="str">
        <x:v>https://investor.nvidia.com/</x:v>
      </x:c>
      <x:c r="I87" s="6" t="str">
        <x:v>https://investor.nvidia.com/</x:v>
      </x:c>
    </x:row>
    <x:row r="88" ht="15" hidden="0" customHeight="1">
      <x:c r="A88" s="12" t="n">
        <x:v>8</x:v>
      </x:c>
      <x:c r="B88" s="6" t="str">
        <x:v>Silicon photonics and optical interconnects</x:v>
      </x:c>
      <x:c r="C88" s="6" t="str">
        <x:v>Compute &amp; trust</x:v>
      </x:c>
      <x:c r="D88" s="6" t="str">
        <x:v>Ayar Labs</x:v>
      </x:c>
      <x:c r="E88" s="6" t="str">
        <x:v>Private</x:v>
      </x:c>
      <x:c r="F88" s="6" t="str"/>
      <x:c r="G88" s="6" t="str">
        <x:v>Private optical I/O and co-packaged optics.</x:v>
      </x:c>
      <x:c r="H88" s="6" t="str">
        <x:v>https://ayarlabs.com/news/ayar-labs-expands-2026-funding-to-650-million/</x:v>
      </x:c>
      <x:c r="I88" s="6" t="str">
        <x:v>https://ayarlabs.com/news/ayar-labs-expands-2026-funding-to-650-million/</x:v>
      </x:c>
    </x:row>
    <x:row r="89" ht="15" hidden="0" customHeight="1">
      <x:c r="A89" s="12" t="n">
        <x:v>8</x:v>
      </x:c>
      <x:c r="B89" s="6" t="str">
        <x:v>Silicon photonics and optical interconnects</x:v>
      </x:c>
      <x:c r="C89" s="6" t="str">
        <x:v>Compute &amp; trust</x:v>
      </x:c>
      <x:c r="D89" s="6" t="str">
        <x:v>Eliyan</x:v>
      </x:c>
      <x:c r="E89" s="6" t="str">
        <x:v>Private</x:v>
      </x:c>
      <x:c r="F89" s="6" t="str"/>
      <x:c r="G89" s="6" t="str">
        <x:v>Private interconnect technology; adjacent electrical/optical system exposure.</x:v>
      </x:c>
      <x:c r="H89" s="6" t="str">
        <x:v>https://eliyan.com/news/eliyan-achieves-unicorn-status-with-145-million-series-c/</x:v>
      </x:c>
      <x:c r="I89" s="6" t="str">
        <x:v>https://eliyan.com/news/eliyan-achieves-unicorn-status-with-145-million-series-c/</x:v>
      </x:c>
    </x:row>
    <x:row r="90" ht="15" hidden="0" customHeight="1">
      <x:c r="A90" s="12" t="n">
        <x:v>9</x:v>
      </x:c>
      <x:c r="B90" s="6" t="str">
        <x:v>Post-quantum cryptography</x:v>
      </x:c>
      <x:c r="C90" s="6" t="str">
        <x:v>Compute &amp; trust</x:v>
      </x:c>
      <x:c r="D90" s="6" t="str">
        <x:v>Cloudflare</x:v>
      </x:c>
      <x:c r="E90" s="6" t="str">
        <x:v>Public</x:v>
      </x:c>
      <x:c r="F90" s="6" t="str">
        <x:v>NYSE:NET</x:v>
      </x:c>
      <x:c r="G90" s="6" t="str">
        <x:v>Internet-scale hybrid PQC deployment and security services.</x:v>
      </x:c>
      <x:c r="H90" s="6" t="str">
        <x:v>https://blog.cloudflare.com/post-quantum-roadmap/</x:v>
      </x:c>
      <x:c r="I90" s="6" t="str">
        <x:v>https://blog.cloudflare.com/post-quantum-roadmap/</x:v>
      </x:c>
    </x:row>
    <x:row r="91" ht="15" hidden="0" customHeight="1">
      <x:c r="A91" s="12" t="n">
        <x:v>9</x:v>
      </x:c>
      <x:c r="B91" s="6" t="str">
        <x:v>Post-quantum cryptography</x:v>
      </x:c>
      <x:c r="C91" s="6" t="str">
        <x:v>Compute &amp; trust</x:v>
      </x:c>
      <x:c r="D91" s="6" t="str">
        <x:v>IBM</x:v>
      </x:c>
      <x:c r="E91" s="6" t="str">
        <x:v>Public</x:v>
      </x:c>
      <x:c r="F91" s="6" t="str">
        <x:v>NYSE:IBM</x:v>
      </x:c>
      <x:c r="G91" s="6" t="str">
        <x:v>Cryptographic research, enterprise platforms and migration services.</x:v>
      </x:c>
      <x:c r="H91" s="6" t="str">
        <x:v>https://www.ibm.com/</x:v>
      </x:c>
      <x:c r="I91" s="6" t="str">
        <x:v>https://www.ibm.com/</x:v>
      </x:c>
    </x:row>
    <x:row r="92" ht="15" hidden="0" customHeight="1">
      <x:c r="A92" s="12" t="n">
        <x:v>9</x:v>
      </x:c>
      <x:c r="B92" s="6" t="str">
        <x:v>Post-quantum cryptography</x:v>
      </x:c>
      <x:c r="C92" s="6" t="str">
        <x:v>Compute &amp; trust</x:v>
      </x:c>
      <x:c r="D92" s="6" t="str">
        <x:v>Alphabet</x:v>
      </x:c>
      <x:c r="E92" s="6" t="str">
        <x:v>Public</x:v>
      </x:c>
      <x:c r="F92" s="6" t="str">
        <x:v>NASDAQ:GOOGL</x:v>
      </x:c>
      <x:c r="G92" s="6" t="str">
        <x:v>Browser, Android and cloud distribution.</x:v>
      </x:c>
      <x:c r="H92" s="6" t="str">
        <x:v>https://abc.xyz/investor/</x:v>
      </x:c>
      <x:c r="I92" s="6" t="str">
        <x:v>https://abc.xyz/investor/</x:v>
      </x:c>
    </x:row>
    <x:row r="93" ht="15" hidden="0" customHeight="1">
      <x:c r="A93" s="12" t="n">
        <x:v>9</x:v>
      </x:c>
      <x:c r="B93" s="6" t="str">
        <x:v>Post-quantum cryptography</x:v>
      </x:c>
      <x:c r="C93" s="6" t="str">
        <x:v>Compute &amp; trust</x:v>
      </x:c>
      <x:c r="D93" s="6" t="str">
        <x:v>Microsoft</x:v>
      </x:c>
      <x:c r="E93" s="6" t="str">
        <x:v>Public</x:v>
      </x:c>
      <x:c r="F93" s="6" t="str">
        <x:v>NASDAQ:MSFT</x:v>
      </x:c>
      <x:c r="G93" s="6" t="str">
        <x:v>Windows, Azure and enterprise security migration.</x:v>
      </x:c>
      <x:c r="H93" s="6" t="str">
        <x:v>https://www.microsoft.com/investor/reports/ar25/</x:v>
      </x:c>
      <x:c r="I93" s="6" t="str">
        <x:v>https://www.microsoft.com/investor/reports/ar25/</x:v>
      </x:c>
    </x:row>
    <x:row r="94" ht="15" hidden="0" customHeight="1">
      <x:c r="A94" s="12" t="n">
        <x:v>9</x:v>
      </x:c>
      <x:c r="B94" s="6" t="str">
        <x:v>Post-quantum cryptography</x:v>
      </x:c>
      <x:c r="C94" s="6" t="str">
        <x:v>Compute &amp; trust</x:v>
      </x:c>
      <x:c r="D94" s="6" t="str">
        <x:v>Amazon</x:v>
      </x:c>
      <x:c r="E94" s="6" t="str">
        <x:v>Public</x:v>
      </x:c>
      <x:c r="F94" s="6" t="str">
        <x:v>NASDAQ:AMZN</x:v>
      </x:c>
      <x:c r="G94" s="6" t="str">
        <x:v>AWS cryptographic services and cloud deployment.</x:v>
      </x:c>
      <x:c r="H94" s="6" t="str">
        <x:v>https://ir.aboutamazon.com/</x:v>
      </x:c>
      <x:c r="I94" s="6" t="str">
        <x:v>https://ir.aboutamazon.com/</x:v>
      </x:c>
    </x:row>
    <x:row r="95" ht="15" hidden="0" customHeight="1">
      <x:c r="A95" s="12" t="n">
        <x:v>9</x:v>
      </x:c>
      <x:c r="B95" s="6" t="str">
        <x:v>Post-quantum cryptography</x:v>
      </x:c>
      <x:c r="C95" s="6" t="str">
        <x:v>Compute &amp; trust</x:v>
      </x:c>
      <x:c r="D95" s="6" t="str">
        <x:v>Cisco</x:v>
      </x:c>
      <x:c r="E95" s="6" t="str">
        <x:v>Public</x:v>
      </x:c>
      <x:c r="F95" s="6" t="str">
        <x:v>NASDAQ:CSCO</x:v>
      </x:c>
      <x:c r="G95" s="6" t="str">
        <x:v>Network infrastructure and quantum-safe security products.</x:v>
      </x:c>
      <x:c r="H95" s="6" t="str">
        <x:v>https://investor.cisco.com/</x:v>
      </x:c>
      <x:c r="I95" s="6" t="str">
        <x:v>https://investor.cisco.com/</x:v>
      </x:c>
    </x:row>
    <x:row r="96" ht="15" hidden="0" customHeight="1">
      <x:c r="A96" s="12" t="n">
        <x:v>9</x:v>
      </x:c>
      <x:c r="B96" s="6" t="str">
        <x:v>Post-quantum cryptography</x:v>
      </x:c>
      <x:c r="C96" s="6" t="str">
        <x:v>Compute &amp; trust</x:v>
      </x:c>
      <x:c r="D96" s="6" t="str">
        <x:v>Thales</x:v>
      </x:c>
      <x:c r="E96" s="6" t="str">
        <x:v>Public</x:v>
      </x:c>
      <x:c r="F96" s="6" t="str">
        <x:v>EPA:HO</x:v>
      </x:c>
      <x:c r="G96" s="6" t="str">
        <x:v>Hardware security modules, encryption and migration tooling.</x:v>
      </x:c>
      <x:c r="H96" s="6" t="str">
        <x:v>https://www.thalesgroup.com/</x:v>
      </x:c>
      <x:c r="I96" s="6" t="str">
        <x:v>https://www.thalesgroup.com/</x:v>
      </x:c>
    </x:row>
    <x:row r="97" ht="15" hidden="0" customHeight="1">
      <x:c r="A97" s="12" t="n">
        <x:v>9</x:v>
      </x:c>
      <x:c r="B97" s="6" t="str">
        <x:v>Post-quantum cryptography</x:v>
      </x:c>
      <x:c r="C97" s="6" t="str">
        <x:v>Compute &amp; trust</x:v>
      </x:c>
      <x:c r="D97" s="6" t="str">
        <x:v>NXP</x:v>
      </x:c>
      <x:c r="E97" s="6" t="str">
        <x:v>Public</x:v>
      </x:c>
      <x:c r="F97" s="6" t="str">
        <x:v>NASDAQ:NXPI</x:v>
      </x:c>
      <x:c r="G97" s="6" t="str">
        <x:v>Secure embedded and automotive hardware.</x:v>
      </x:c>
      <x:c r="H97" s="6" t="str">
        <x:v>https://www.nxp.com/</x:v>
      </x:c>
      <x:c r="I97" s="6" t="str">
        <x:v>https://www.nxp.com/</x:v>
      </x:c>
    </x:row>
    <x:row r="98" ht="15" hidden="0" customHeight="1">
      <x:c r="A98" s="12" t="n">
        <x:v>9</x:v>
      </x:c>
      <x:c r="B98" s="6" t="str">
        <x:v>Post-quantum cryptography</x:v>
      </x:c>
      <x:c r="C98" s="6" t="str">
        <x:v>Compute &amp; trust</x:v>
      </x:c>
      <x:c r="D98" s="6" t="str">
        <x:v>PQShield</x:v>
      </x:c>
      <x:c r="E98" s="6" t="str">
        <x:v>Private</x:v>
      </x:c>
      <x:c r="F98" s="6" t="str"/>
      <x:c r="G98" s="6" t="str">
        <x:v>Private PQC software and hardware IP.</x:v>
      </x:c>
      <x:c r="H98" s="6" t="str">
        <x:v>https://pqshield.com/</x:v>
      </x:c>
      <x:c r="I98" s="6" t="str">
        <x:v>https://pqshield.com/</x:v>
      </x:c>
    </x:row>
    <x:row r="99" ht="15" hidden="0" customHeight="1">
      <x:c r="A99" s="12" t="n">
        <x:v>9</x:v>
      </x:c>
      <x:c r="B99" s="6" t="str">
        <x:v>Post-quantum cryptography</x:v>
      </x:c>
      <x:c r="C99" s="6" t="str">
        <x:v>Compute &amp; trust</x:v>
      </x:c>
      <x:c r="D99" s="6" t="str">
        <x:v>QuSecure</x:v>
      </x:c>
      <x:c r="E99" s="6" t="str">
        <x:v>Private</x:v>
      </x:c>
      <x:c r="F99" s="6" t="str"/>
      <x:c r="G99" s="6" t="str">
        <x:v>Private crypto-agility and migration platform.</x:v>
      </x:c>
      <x:c r="H99" s="6" t="str">
        <x:v>https://www.qusecure.com/</x:v>
      </x:c>
      <x:c r="I99" s="6" t="str">
        <x:v>https://www.qusecure.com/</x:v>
      </x:c>
    </x:row>
    <x:row r="100" ht="15" hidden="0" customHeight="1">
      <x:c r="A100" s="12" t="n">
        <x:v>9</x:v>
      </x:c>
      <x:c r="B100" s="6" t="str">
        <x:v>Post-quantum cryptography</x:v>
      </x:c>
      <x:c r="C100" s="6" t="str">
        <x:v>Compute &amp; trust</x:v>
      </x:c>
      <x:c r="D100" s="6" t="str">
        <x:v>ISARA</x:v>
      </x:c>
      <x:c r="E100" s="6" t="str">
        <x:v>Private</x:v>
      </x:c>
      <x:c r="F100" s="6" t="str"/>
      <x:c r="G100" s="6" t="str">
        <x:v>Private cryptographic discovery and quantum-readiness tools.</x:v>
      </x:c>
      <x:c r="H100" s="6" t="str">
        <x:v>https://www.isara.com/</x:v>
      </x:c>
      <x:c r="I100" s="6" t="str">
        <x:v>https://www.isara.com/</x:v>
      </x:c>
    </x:row>
    <x:row r="101" ht="15" hidden="0" customHeight="1">
      <x:c r="A101" s="12" t="n">
        <x:v>10</x:v>
      </x:c>
      <x:c r="B101" s="6" t="str">
        <x:v>Confidential computing and privacy-preserving AI</x:v>
      </x:c>
      <x:c r="C101" s="6" t="str">
        <x:v>Compute &amp; trust</x:v>
      </x:c>
      <x:c r="D101" s="6" t="str">
        <x:v>AMD</x:v>
      </x:c>
      <x:c r="E101" s="6" t="str">
        <x:v>Public</x:v>
      </x:c>
      <x:c r="F101" s="6" t="str">
        <x:v>NASDAQ:AMD</x:v>
      </x:c>
      <x:c r="G101" s="6" t="str">
        <x:v>Server processors with confidential-VM protection.</x:v>
      </x:c>
      <x:c r="H101" s="6" t="str">
        <x:v>https://ir.amd.com/</x:v>
      </x:c>
      <x:c r="I101" s="6" t="str">
        <x:v>https://ir.amd.com/</x:v>
      </x:c>
    </x:row>
    <x:row r="102" ht="15" hidden="0" customHeight="1">
      <x:c r="A102" s="12" t="n">
        <x:v>10</x:v>
      </x:c>
      <x:c r="B102" s="6" t="str">
        <x:v>Confidential computing and privacy-preserving AI</x:v>
      </x:c>
      <x:c r="C102" s="6" t="str">
        <x:v>Compute &amp; trust</x:v>
      </x:c>
      <x:c r="D102" s="6" t="str">
        <x:v>Intel</x:v>
      </x:c>
      <x:c r="E102" s="6" t="str">
        <x:v>Public</x:v>
      </x:c>
      <x:c r="F102" s="6" t="str">
        <x:v>NASDAQ:INTC</x:v>
      </x:c>
      <x:c r="G102" s="6" t="str">
        <x:v>Trusted execution and server security capabilities.</x:v>
      </x:c>
      <x:c r="H102" s="6" t="str">
        <x:v>https://www.intc.com/</x:v>
      </x:c>
      <x:c r="I102" s="6" t="str">
        <x:v>https://www.intc.com/</x:v>
      </x:c>
    </x:row>
    <x:row r="103" ht="15" hidden="0" customHeight="1">
      <x:c r="A103" s="12" t="n">
        <x:v>10</x:v>
      </x:c>
      <x:c r="B103" s="6" t="str">
        <x:v>Confidential computing and privacy-preserving AI</x:v>
      </x:c>
      <x:c r="C103" s="6" t="str">
        <x:v>Compute &amp; trust</x:v>
      </x:c>
      <x:c r="D103" s="6" t="str">
        <x:v>NVIDIA</x:v>
      </x:c>
      <x:c r="E103" s="6" t="str">
        <x:v>Public</x:v>
      </x:c>
      <x:c r="F103" s="6" t="str">
        <x:v>NASDAQ:NVDA</x:v>
      </x:c>
      <x:c r="G103" s="6" t="str">
        <x:v>Protected GPU computing for sensitive AI workloads.</x:v>
      </x:c>
      <x:c r="H103" s="6" t="str">
        <x:v>https://investor.nvidia.com/</x:v>
      </x:c>
      <x:c r="I103" s="6" t="str">
        <x:v>https://investor.nvidia.com/</x:v>
      </x:c>
    </x:row>
    <x:row r="104" ht="15" hidden="0" customHeight="1">
      <x:c r="A104" s="12" t="n">
        <x:v>10</x:v>
      </x:c>
      <x:c r="B104" s="6" t="str">
        <x:v>Confidential computing and privacy-preserving AI</x:v>
      </x:c>
      <x:c r="C104" s="6" t="str">
        <x:v>Compute &amp; trust</x:v>
      </x:c>
      <x:c r="D104" s="6" t="str">
        <x:v>Microsoft</x:v>
      </x:c>
      <x:c r="E104" s="6" t="str">
        <x:v>Public</x:v>
      </x:c>
      <x:c r="F104" s="6" t="str">
        <x:v>NASDAQ:MSFT</x:v>
      </x:c>
      <x:c r="G104" s="6" t="str">
        <x:v>Azure confidential infrastructure and enterprise distribution.</x:v>
      </x:c>
      <x:c r="H104" s="6" t="str">
        <x:v>https://www.microsoft.com/investor/reports/ar25/</x:v>
      </x:c>
      <x:c r="I104" s="6" t="str">
        <x:v>https://www.microsoft.com/investor/reports/ar25/</x:v>
      </x:c>
    </x:row>
    <x:row r="105" ht="15" hidden="0" customHeight="1">
      <x:c r="A105" s="12" t="n">
        <x:v>10</x:v>
      </x:c>
      <x:c r="B105" s="6" t="str">
        <x:v>Confidential computing and privacy-preserving AI</x:v>
      </x:c>
      <x:c r="C105" s="6" t="str">
        <x:v>Compute &amp; trust</x:v>
      </x:c>
      <x:c r="D105" s="6" t="str">
        <x:v>Alphabet</x:v>
      </x:c>
      <x:c r="E105" s="6" t="str">
        <x:v>Public</x:v>
      </x:c>
      <x:c r="F105" s="6" t="str">
        <x:v>NASDAQ:GOOGL</x:v>
      </x:c>
      <x:c r="G105" s="6" t="str">
        <x:v>Google Cloud confidential-computing services.</x:v>
      </x:c>
      <x:c r="H105" s="6" t="str">
        <x:v>https://abc.xyz/investor/</x:v>
      </x:c>
      <x:c r="I105" s="6" t="str">
        <x:v>https://abc.xyz/investor/</x:v>
      </x:c>
    </x:row>
    <x:row r="106" ht="15" hidden="0" customHeight="1">
      <x:c r="A106" s="12" t="n">
        <x:v>10</x:v>
      </x:c>
      <x:c r="B106" s="6" t="str">
        <x:v>Confidential computing and privacy-preserving AI</x:v>
      </x:c>
      <x:c r="C106" s="6" t="str">
        <x:v>Compute &amp; trust</x:v>
      </x:c>
      <x:c r="D106" s="6" t="str">
        <x:v>Amazon</x:v>
      </x:c>
      <x:c r="E106" s="6" t="str">
        <x:v>Public</x:v>
      </x:c>
      <x:c r="F106" s="6" t="str">
        <x:v>NASDAQ:AMZN</x:v>
      </x:c>
      <x:c r="G106" s="6" t="str">
        <x:v>AWS enclaves and secure cloud-computing infrastructure.</x:v>
      </x:c>
      <x:c r="H106" s="6" t="str">
        <x:v>https://ir.aboutamazon.com/</x:v>
      </x:c>
      <x:c r="I106" s="6" t="str">
        <x:v>https://ir.aboutamazon.com/</x:v>
      </x:c>
    </x:row>
    <x:row r="107" ht="15" hidden="0" customHeight="1">
      <x:c r="A107" s="12" t="n">
        <x:v>10</x:v>
      </x:c>
      <x:c r="B107" s="6" t="str">
        <x:v>Confidential computing and privacy-preserving AI</x:v>
      </x:c>
      <x:c r="C107" s="6" t="str">
        <x:v>Compute &amp; trust</x:v>
      </x:c>
      <x:c r="D107" s="6" t="str">
        <x:v>IBM</x:v>
      </x:c>
      <x:c r="E107" s="6" t="str">
        <x:v>Public</x:v>
      </x:c>
      <x:c r="F107" s="6" t="str">
        <x:v>NYSE:IBM</x:v>
      </x:c>
      <x:c r="G107" s="6" t="str">
        <x:v>Enterprise confidential-computing platforms and services.</x:v>
      </x:c>
      <x:c r="H107" s="6" t="str">
        <x:v>https://www.ibm.com/</x:v>
      </x:c>
      <x:c r="I107" s="6" t="str">
        <x:v>https://www.ibm.com/</x:v>
      </x:c>
    </x:row>
    <x:row r="108" ht="15" hidden="0" customHeight="1">
      <x:c r="A108" s="12" t="n">
        <x:v>10</x:v>
      </x:c>
      <x:c r="B108" s="6" t="str">
        <x:v>Confidential computing and privacy-preserving AI</x:v>
      </x:c>
      <x:c r="C108" s="6" t="str">
        <x:v>Compute &amp; trust</x:v>
      </x:c>
      <x:c r="D108" s="6" t="str">
        <x:v>Fortanix</x:v>
      </x:c>
      <x:c r="E108" s="6" t="str">
        <x:v>Private</x:v>
      </x:c>
      <x:c r="F108" s="6" t="str"/>
      <x:c r="G108" s="6" t="str">
        <x:v>Private data-security and confidential-computing platform.</x:v>
      </x:c>
      <x:c r="H108" s="6" t="str">
        <x:v>https://www.fortanix.com/</x:v>
      </x:c>
      <x:c r="I108" s="6" t="str">
        <x:v>https://www.fortanix.com/</x:v>
      </x:c>
    </x:row>
    <x:row r="109" ht="15" hidden="0" customHeight="1">
      <x:c r="A109" s="12" t="n">
        <x:v>10</x:v>
      </x:c>
      <x:c r="B109" s="6" t="str">
        <x:v>Confidential computing and privacy-preserving AI</x:v>
      </x:c>
      <x:c r="C109" s="6" t="str">
        <x:v>Compute &amp; trust</x:v>
      </x:c>
      <x:c r="D109" s="6" t="str">
        <x:v>Edgeless Systems</x:v>
      </x:c>
      <x:c r="E109" s="6" t="str">
        <x:v>Private</x:v>
      </x:c>
      <x:c r="F109" s="6" t="str"/>
      <x:c r="G109" s="6" t="str">
        <x:v>Private confidential AI, runtime encryption and attested infrastructure.</x:v>
      </x:c>
      <x:c r="H109" s="6" t="str">
        <x:v>https://www.edgeless.systems/</x:v>
      </x:c>
      <x:c r="I109" s="6" t="str">
        <x:v>https://www.edgeless.systems/</x:v>
      </x:c>
    </x:row>
    <x:row r="110" ht="15" hidden="0" customHeight="1">
      <x:c r="A110" s="12" t="n">
        <x:v>10</x:v>
      </x:c>
      <x:c r="B110" s="6" t="str">
        <x:v>Confidential computing and privacy-preserving AI</x:v>
      </x:c>
      <x:c r="C110" s="6" t="str">
        <x:v>Compute &amp; trust</x:v>
      </x:c>
      <x:c r="D110" s="6" t="str">
        <x:v>Anjuna</x:v>
      </x:c>
      <x:c r="E110" s="6" t="str">
        <x:v>Private</x:v>
      </x:c>
      <x:c r="F110" s="6" t="str"/>
      <x:c r="G110" s="6" t="str">
        <x:v>Private confidential-computing software.</x:v>
      </x:c>
      <x:c r="H110" s="6" t="str">
        <x:v>https://www.anjuna.io/</x:v>
      </x:c>
      <x:c r="I110" s="6" t="str">
        <x:v>https://www.anjuna.io/</x:v>
      </x:c>
    </x:row>
    <x:row r="111" ht="15" hidden="0" customHeight="1">
      <x:c r="A111" s="12" t="n">
        <x:v>10</x:v>
      </x:c>
      <x:c r="B111" s="6" t="str">
        <x:v>Confidential computing and privacy-preserving AI</x:v>
      </x:c>
      <x:c r="C111" s="6" t="str">
        <x:v>Compute &amp; trust</x:v>
      </x:c>
      <x:c r="D111" s="6" t="str">
        <x:v>Decentriq</x:v>
      </x:c>
      <x:c r="E111" s="6" t="str">
        <x:v>Private</x:v>
      </x:c>
      <x:c r="F111" s="6" t="str"/>
      <x:c r="G111" s="6" t="str">
        <x:v>Private secure data collaboration and clean-room platform.</x:v>
      </x:c>
      <x:c r="H111" s="6" t="str">
        <x:v>https://www.decentriq.com/</x:v>
      </x:c>
      <x:c r="I111" s="6" t="str">
        <x:v>https://www.decentriq.com/</x:v>
      </x:c>
    </x:row>
    <x:row r="112" ht="15" hidden="0" customHeight="1">
      <x:c r="A112" s="12" t="n">
        <x:v>11</x:v>
      </x:c>
      <x:c r="B112" s="6" t="str">
        <x:v>Private 5G and industrial wireless</x:v>
      </x:c>
      <x:c r="C112" s="6" t="str">
        <x:v>Connected industry</x:v>
      </x:c>
      <x:c r="D112" s="6" t="str">
        <x:v>Nokia</x:v>
      </x:c>
      <x:c r="E112" s="6" t="str">
        <x:v>Public</x:v>
      </x:c>
      <x:c r="F112" s="6" t="str">
        <x:v>NYSE:NOK</x:v>
      </x:c>
      <x:c r="G112" s="6" t="str">
        <x:v>Current private-network supplier; agreed October 2026 to sell Enterprise Campus Edge to AURELIUS, with H1 2027 close expected.</x:v>
      </x:c>
      <x:c r="H112" s="6" t="str">
        <x:v>https://www.nokia.com/newsroom/nokia-to-sell-enterprise-campus-edge-business-to-aurelius/</x:v>
      </x:c>
      <x:c r="I112" s="6" t="str">
        <x:v>https://www.nokia.com/newsroom/nokia-to-sell-enterprise-campus-edge-business-to-aurelius/</x:v>
      </x:c>
    </x:row>
    <x:row r="113" ht="15" hidden="0" customHeight="1">
      <x:c r="A113" s="12" t="n">
        <x:v>11</x:v>
      </x:c>
      <x:c r="B113" s="6" t="str">
        <x:v>Private 5G and industrial wireless</x:v>
      </x:c>
      <x:c r="C113" s="6" t="str">
        <x:v>Connected industry</x:v>
      </x:c>
      <x:c r="D113" s="6" t="str">
        <x:v>Ericsson</x:v>
      </x:c>
      <x:c r="E113" s="6" t="str">
        <x:v>Public</x:v>
      </x:c>
      <x:c r="F113" s="6" t="str">
        <x:v>NASDAQ:ERIC</x:v>
      </x:c>
      <x:c r="G113" s="6" t="str">
        <x:v>Private cellular infrastructure and enterprise connectivity.</x:v>
      </x:c>
      <x:c r="H113" s="6" t="str">
        <x:v>https://www.ericsson.com/</x:v>
      </x:c>
      <x:c r="I113" s="6" t="str">
        <x:v>https://www.ericsson.com/</x:v>
      </x:c>
    </x:row>
    <x:row r="114" ht="15" hidden="0" customHeight="1">
      <x:c r="A114" s="12" t="n">
        <x:v>11</x:v>
      </x:c>
      <x:c r="B114" s="6" t="str">
        <x:v>Private 5G and industrial wireless</x:v>
      </x:c>
      <x:c r="C114" s="6" t="str">
        <x:v>Connected industry</x:v>
      </x:c>
      <x:c r="D114" s="6" t="str">
        <x:v>Hewlett Packard Enterprise</x:v>
      </x:c>
      <x:c r="E114" s="6" t="str">
        <x:v>Public</x:v>
      </x:c>
      <x:c r="F114" s="6" t="str">
        <x:v>NYSE:HPE</x:v>
      </x:c>
      <x:c r="G114" s="6" t="str">
        <x:v>Private-network and enterprise wireless systems.</x:v>
      </x:c>
      <x:c r="H114" s="6" t="str">
        <x:v>https://www.hpe.com/</x:v>
      </x:c>
      <x:c r="I114" s="6" t="str">
        <x:v>https://www.hpe.com/</x:v>
      </x:c>
    </x:row>
    <x:row r="115" ht="15" hidden="0" customHeight="1">
      <x:c r="A115" s="12" t="n">
        <x:v>11</x:v>
      </x:c>
      <x:c r="B115" s="6" t="str">
        <x:v>Private 5G and industrial wireless</x:v>
      </x:c>
      <x:c r="C115" s="6" t="str">
        <x:v>Connected industry</x:v>
      </x:c>
      <x:c r="D115" s="6" t="str">
        <x:v>Cisco</x:v>
      </x:c>
      <x:c r="E115" s="6" t="str">
        <x:v>Public</x:v>
      </x:c>
      <x:c r="F115" s="6" t="str">
        <x:v>NASDAQ:CSCO</x:v>
      </x:c>
      <x:c r="G115" s="6" t="str">
        <x:v>Industrial wireless and enterprise networking; adjacent integration exposure.</x:v>
      </x:c>
      <x:c r="H115" s="6" t="str">
        <x:v>https://investor.cisco.com/</x:v>
      </x:c>
      <x:c r="I115" s="6" t="str">
        <x:v>https://investor.cisco.com/</x:v>
      </x:c>
    </x:row>
    <x:row r="116" ht="15" hidden="0" customHeight="1">
      <x:c r="A116" s="12" t="n">
        <x:v>11</x:v>
      </x:c>
      <x:c r="B116" s="6" t="str">
        <x:v>Private 5G and industrial wireless</x:v>
      </x:c>
      <x:c r="C116" s="6" t="str">
        <x:v>Connected industry</x:v>
      </x:c>
      <x:c r="D116" s="6" t="str">
        <x:v>Samsung Electronics</x:v>
      </x:c>
      <x:c r="E116" s="6" t="str">
        <x:v>Public</x:v>
      </x:c>
      <x:c r="F116" s="6" t="str">
        <x:v>KRX:005930</x:v>
      </x:c>
      <x:c r="G116" s="6" t="str">
        <x:v>Private 5G radio and core-network infrastructure.</x:v>
      </x:c>
      <x:c r="H116" s="6" t="str">
        <x:v>https://www.samsung.com/global/ir/</x:v>
      </x:c>
      <x:c r="I116" s="6" t="str">
        <x:v>https://www.samsung.com/global/ir/</x:v>
      </x:c>
    </x:row>
    <x:row r="117" ht="15" hidden="0" customHeight="1">
      <x:c r="A117" s="12" t="n">
        <x:v>11</x:v>
      </x:c>
      <x:c r="B117" s="6" t="str">
        <x:v>Private 5G and industrial wireless</x:v>
      </x:c>
      <x:c r="C117" s="6" t="str">
        <x:v>Connected industry</x:v>
      </x:c>
      <x:c r="D117" s="6" t="str">
        <x:v>Qualcomm</x:v>
      </x:c>
      <x:c r="E117" s="6" t="str">
        <x:v>Public</x:v>
      </x:c>
      <x:c r="F117" s="6" t="str">
        <x:v>NASDAQ:QCOM</x:v>
      </x:c>
      <x:c r="G117" s="6" t="str">
        <x:v>Device modems, industrial platforms and wireless IP.</x:v>
      </x:c>
      <x:c r="H117" s="6" t="str">
        <x:v>https://investor.qualcomm.com/</x:v>
      </x:c>
      <x:c r="I117" s="6" t="str">
        <x:v>https://investor.qualcomm.com/</x:v>
      </x:c>
    </x:row>
    <x:row r="118" ht="15" hidden="0" customHeight="1">
      <x:c r="A118" s="12" t="n">
        <x:v>11</x:v>
      </x:c>
      <x:c r="B118" s="6" t="str">
        <x:v>Private 5G and industrial wireless</x:v>
      </x:c>
      <x:c r="C118" s="6" t="str">
        <x:v>Connected industry</x:v>
      </x:c>
      <x:c r="D118" s="6" t="str">
        <x:v>Siemens</x:v>
      </x:c>
      <x:c r="E118" s="6" t="str">
        <x:v>Public</x:v>
      </x:c>
      <x:c r="F118" s="6" t="str">
        <x:v>XETRA:SIE</x:v>
      </x:c>
      <x:c r="G118" s="6" t="str">
        <x:v>Industrial integration and private wireless systems.</x:v>
      </x:c>
      <x:c r="H118" s="6" t="str">
        <x:v>https://www.siemens.com/</x:v>
      </x:c>
      <x:c r="I118" s="6" t="str">
        <x:v>https://www.siemens.com/</x:v>
      </x:c>
    </x:row>
    <x:row r="119" ht="15" hidden="0" customHeight="1">
      <x:c r="A119" s="12" t="n">
        <x:v>11</x:v>
      </x:c>
      <x:c r="B119" s="6" t="str">
        <x:v>Private 5G and industrial wireless</x:v>
      </x:c>
      <x:c r="C119" s="6" t="str">
        <x:v>Connected industry</x:v>
      </x:c>
      <x:c r="D119" s="6" t="str">
        <x:v>NTT</x:v>
      </x:c>
      <x:c r="E119" s="6" t="str">
        <x:v>Public</x:v>
      </x:c>
      <x:c r="F119" s="6" t="str">
        <x:v>TSE:9432</x:v>
      </x:c>
      <x:c r="G119" s="6" t="str">
        <x:v>Managed private-network and industrial integration services.</x:v>
      </x:c>
      <x:c r="H119" s="6" t="str">
        <x:v>https://group.ntt/en/</x:v>
      </x:c>
      <x:c r="I119" s="6" t="str">
        <x:v>https://group.ntt/en/</x:v>
      </x:c>
    </x:row>
    <x:row r="120" ht="15" hidden="0" customHeight="1">
      <x:c r="A120" s="12" t="n">
        <x:v>11</x:v>
      </x:c>
      <x:c r="B120" s="6" t="str">
        <x:v>Private 5G and industrial wireless</x:v>
      </x:c>
      <x:c r="C120" s="6" t="str">
        <x:v>Connected industry</x:v>
      </x:c>
      <x:c r="D120" s="6" t="str">
        <x:v>Celona</x:v>
      </x:c>
      <x:c r="E120" s="6" t="str">
        <x:v>Private</x:v>
      </x:c>
      <x:c r="F120" s="6" t="str"/>
      <x:c r="G120" s="6" t="str">
        <x:v>Private enterprise cellular networking platform.</x:v>
      </x:c>
      <x:c r="H120" s="6" t="str">
        <x:v>https://celona.io/</x:v>
      </x:c>
      <x:c r="I120" s="6" t="str">
        <x:v>https://celona.io/</x:v>
      </x:c>
    </x:row>
    <x:row r="121" ht="15" hidden="0" customHeight="1">
      <x:c r="A121" s="12" t="n">
        <x:v>11</x:v>
      </x:c>
      <x:c r="B121" s="6" t="str">
        <x:v>Private 5G and industrial wireless</x:v>
      </x:c>
      <x:c r="C121" s="6" t="str">
        <x:v>Connected industry</x:v>
      </x:c>
      <x:c r="D121" s="6" t="str">
        <x:v>Ataya</x:v>
      </x:c>
      <x:c r="E121" s="6" t="str">
        <x:v>Private</x:v>
      </x:c>
      <x:c r="F121" s="6" t="str"/>
      <x:c r="G121" s="6" t="str">
        <x:v>Private converged enterprise connectivity platform.</x:v>
      </x:c>
      <x:c r="H121" s="6" t="str">
        <x:v>https://www.ataya.io/</x:v>
      </x:c>
      <x:c r="I121" s="6" t="str">
        <x:v>https://www.ataya.io/</x:v>
      </x:c>
    </x:row>
    <x:row r="122" ht="15" hidden="0" customHeight="1">
      <x:c r="A122" s="12" t="n">
        <x:v>11</x:v>
      </x:c>
      <x:c r="B122" s="6" t="str">
        <x:v>Private 5G and industrial wireless</x:v>
      </x:c>
      <x:c r="C122" s="6" t="str">
        <x:v>Connected industry</x:v>
      </x:c>
      <x:c r="D122" s="6" t="str">
        <x:v>Expeto</x:v>
      </x:c>
      <x:c r="E122" s="6" t="str">
        <x:v>Private</x:v>
      </x:c>
      <x:c r="F122" s="6" t="str"/>
      <x:c r="G122" s="6" t="str">
        <x:v>Private enterprise mobile-network orchestration.</x:v>
      </x:c>
      <x:c r="H122" s="6" t="str">
        <x:v>https://www.expeto.io/</x:v>
      </x:c>
      <x:c r="I122" s="6" t="str">
        <x:v>https://www.expeto.io/</x:v>
      </x:c>
    </x:row>
    <x:row r="123" ht="15" hidden="0" customHeight="1">
      <x:c r="A123" s="12" t="n">
        <x:v>12</x:v>
      </x:c>
      <x:c r="B123" s="6" t="str">
        <x:v>Direct-to-device satellite connectivity</x:v>
      </x:c>
      <x:c r="C123" s="6" t="str">
        <x:v>Connected industry</x:v>
      </x:c>
      <x:c r="D123" s="6" t="str">
        <x:v>SpaceX</x:v>
      </x:c>
      <x:c r="E123" s="6" t="str">
        <x:v>Public</x:v>
      </x:c>
      <x:c r="F123" s="6" t="str">
        <x:v>NASDAQ:SPCX</x:v>
      </x:c>
      <x:c r="G123" s="6" t="str">
        <x:v>Starlink satellite network and direct-to-cell service; public NASDAQ:SPCX since June 2026.</x:v>
      </x:c>
      <x:c r="H123" s="6" t="str">
        <x:v>https://ir.spacex.com/faqs-and-contact/</x:v>
      </x:c>
      <x:c r="I123" s="6" t="str">
        <x:v>https://ir.spacex.com/faqs-and-contact/</x:v>
      </x:c>
    </x:row>
    <x:row r="124" ht="15" hidden="0" customHeight="1">
      <x:c r="A124" s="12" t="n">
        <x:v>12</x:v>
      </x:c>
      <x:c r="B124" s="6" t="str">
        <x:v>Direct-to-device satellite connectivity</x:v>
      </x:c>
      <x:c r="C124" s="6" t="str">
        <x:v>Connected industry</x:v>
      </x:c>
      <x:c r="D124" s="6" t="str">
        <x:v>AST SpaceMobile</x:v>
      </x:c>
      <x:c r="E124" s="6" t="str">
        <x:v>Public</x:v>
      </x:c>
      <x:c r="F124" s="6" t="str">
        <x:v>NASDAQ:ASTS</x:v>
      </x:c>
      <x:c r="G124" s="6" t="str">
        <x:v>Space-based cellular network and satellite infrastructure.</x:v>
      </x:c>
      <x:c r="H124" s="6" t="str">
        <x:v>https://ast-science.com/next-gen-bluebird/</x:v>
      </x:c>
      <x:c r="I124" s="6" t="str">
        <x:v>https://ast-science.com/next-gen-bluebird/</x:v>
      </x:c>
    </x:row>
    <x:row r="125" ht="15" hidden="0" customHeight="1">
      <x:c r="A125" s="12" t="n">
        <x:v>12</x:v>
      </x:c>
      <x:c r="B125" s="6" t="str">
        <x:v>Direct-to-device satellite connectivity</x:v>
      </x:c>
      <x:c r="C125" s="6" t="str">
        <x:v>Connected industry</x:v>
      </x:c>
      <x:c r="D125" s="6" t="str">
        <x:v>Globalstar</x:v>
      </x:c>
      <x:c r="E125" s="6" t="str">
        <x:v>Public</x:v>
      </x:c>
      <x:c r="F125" s="6" t="str">
        <x:v>NASDAQ:GSAT</x:v>
      </x:c>
      <x:c r="G125" s="6" t="str">
        <x:v>Satellite network supporting Apple’s service; operator exposure.</x:v>
      </x:c>
      <x:c r="H125" s="6" t="str">
        <x:v>https://www.globalstar.com/</x:v>
      </x:c>
      <x:c r="I125" s="6" t="str">
        <x:v>https://www.globalstar.com/</x:v>
      </x:c>
    </x:row>
    <x:row r="126" ht="15" hidden="0" customHeight="1">
      <x:c r="A126" s="12" t="n">
        <x:v>12</x:v>
      </x:c>
      <x:c r="B126" s="6" t="str">
        <x:v>Direct-to-device satellite connectivity</x:v>
      </x:c>
      <x:c r="C126" s="6" t="str">
        <x:v>Connected industry</x:v>
      </x:c>
      <x:c r="D126" s="6" t="str">
        <x:v>Iridium</x:v>
      </x:c>
      <x:c r="E126" s="6" t="str">
        <x:v>Public</x:v>
      </x:c>
      <x:c r="F126" s="6" t="str">
        <x:v>NASDAQ:IRDM</x:v>
      </x:c>
      <x:c r="G126" s="6" t="str">
        <x:v>Satellite network and standards-based connectivity ecosystem.</x:v>
      </x:c>
      <x:c r="H126" s="6" t="str">
        <x:v>https://www.iridium.com/</x:v>
      </x:c>
      <x:c r="I126" s="6" t="str">
        <x:v>https://www.iridium.com/</x:v>
      </x:c>
    </x:row>
    <x:row r="127" ht="15" hidden="0" customHeight="1">
      <x:c r="A127" s="12" t="n">
        <x:v>12</x:v>
      </x:c>
      <x:c r="B127" s="6" t="str">
        <x:v>Direct-to-device satellite connectivity</x:v>
      </x:c>
      <x:c r="C127" s="6" t="str">
        <x:v>Connected industry</x:v>
      </x:c>
      <x:c r="D127" s="6" t="str">
        <x:v>Apple</x:v>
      </x:c>
      <x:c r="E127" s="6" t="str">
        <x:v>Public</x:v>
      </x:c>
      <x:c r="F127" s="6" t="str">
        <x:v>NASDAQ:AAPL</x:v>
      </x:c>
      <x:c r="G127" s="6" t="str">
        <x:v>Handset integration and user distribution.</x:v>
      </x:c>
      <x:c r="H127" s="6" t="str">
        <x:v>https://investor.apple.com/</x:v>
      </x:c>
      <x:c r="I127" s="6" t="str">
        <x:v>https://investor.apple.com/</x:v>
      </x:c>
    </x:row>
    <x:row r="128" ht="15" hidden="0" customHeight="1">
      <x:c r="A128" s="12" t="n">
        <x:v>12</x:v>
      </x:c>
      <x:c r="B128" s="6" t="str">
        <x:v>Direct-to-device satellite connectivity</x:v>
      </x:c>
      <x:c r="C128" s="6" t="str">
        <x:v>Connected industry</x:v>
      </x:c>
      <x:c r="D128" s="6" t="str">
        <x:v>T-Mobile US</x:v>
      </x:c>
      <x:c r="E128" s="6" t="str">
        <x:v>Public</x:v>
      </x:c>
      <x:c r="F128" s="6" t="str">
        <x:v>NASDAQ:TMUS</x:v>
      </x:c>
      <x:c r="G128" s="6" t="str">
        <x:v>Retail distribution and Starlink-linked satellite service.</x:v>
      </x:c>
      <x:c r="H128" s="6" t="str">
        <x:v>https://www.t-mobile.com/coverage/satellite-phone-service</x:v>
      </x:c>
      <x:c r="I128" s="6" t="str">
        <x:v>https://www.t-mobile.com/coverage/satellite-phone-service</x:v>
      </x:c>
    </x:row>
    <x:row r="129" ht="15" hidden="0" customHeight="1">
      <x:c r="A129" s="12" t="n">
        <x:v>12</x:v>
      </x:c>
      <x:c r="B129" s="6" t="str">
        <x:v>Direct-to-device satellite connectivity</x:v>
      </x:c>
      <x:c r="C129" s="6" t="str">
        <x:v>Connected industry</x:v>
      </x:c>
      <x:c r="D129" s="6" t="str">
        <x:v>AT&amp;T</x:v>
      </x:c>
      <x:c r="E129" s="6" t="str">
        <x:v>Public</x:v>
      </x:c>
      <x:c r="F129" s="6" t="str">
        <x:v>NYSE:T</x:v>
      </x:c>
      <x:c r="G129" s="6" t="str">
        <x:v>Carrier distribution and satellite-connectivity partnerships.</x:v>
      </x:c>
      <x:c r="H129" s="6" t="str">
        <x:v>https://www.att.com/</x:v>
      </x:c>
      <x:c r="I129" s="6" t="str">
        <x:v>https://www.att.com/</x:v>
      </x:c>
    </x:row>
    <x:row r="130" ht="15" hidden="0" customHeight="1">
      <x:c r="A130" s="12" t="n">
        <x:v>12</x:v>
      </x:c>
      <x:c r="B130" s="6" t="str">
        <x:v>Direct-to-device satellite connectivity</x:v>
      </x:c>
      <x:c r="C130" s="6" t="str">
        <x:v>Connected industry</x:v>
      </x:c>
      <x:c r="D130" s="6" t="str">
        <x:v>Vodafone</x:v>
      </x:c>
      <x:c r="E130" s="6" t="str">
        <x:v>Public</x:v>
      </x:c>
      <x:c r="F130" s="6" t="str">
        <x:v>LSE:VOD</x:v>
      </x:c>
      <x:c r="G130" s="6" t="str">
        <x:v>International carrier distribution and satellite partnerships.</x:v>
      </x:c>
      <x:c r="H130" s="6" t="str">
        <x:v>https://www.vodafone.com/</x:v>
      </x:c>
      <x:c r="I130" s="6" t="str">
        <x:v>https://www.vodafone.com/</x:v>
      </x:c>
    </x:row>
    <x:row r="131" ht="15" hidden="0" customHeight="1">
      <x:c r="A131" s="12" t="n">
        <x:v>12</x:v>
      </x:c>
      <x:c r="B131" s="6" t="str">
        <x:v>Direct-to-device satellite connectivity</x:v>
      </x:c>
      <x:c r="C131" s="6" t="str">
        <x:v>Connected industry</x:v>
      </x:c>
      <x:c r="D131" s="6" t="str">
        <x:v>Qualcomm</x:v>
      </x:c>
      <x:c r="E131" s="6" t="str">
        <x:v>Public</x:v>
      </x:c>
      <x:c r="F131" s="6" t="str">
        <x:v>NASDAQ:QCOM</x:v>
      </x:c>
      <x:c r="G131" s="6" t="str">
        <x:v>Modems and device connectivity technology.</x:v>
      </x:c>
      <x:c r="H131" s="6" t="str">
        <x:v>https://investor.qualcomm.com/</x:v>
      </x:c>
      <x:c r="I131" s="6" t="str">
        <x:v>https://investor.qualcomm.com/</x:v>
      </x:c>
    </x:row>
    <x:row r="132" ht="15" hidden="0" customHeight="1">
      <x:c r="A132" s="12" t="n">
        <x:v>12</x:v>
      </x:c>
      <x:c r="B132" s="6" t="str">
        <x:v>Direct-to-device satellite connectivity</x:v>
      </x:c>
      <x:c r="C132" s="6" t="str">
        <x:v>Connected industry</x:v>
      </x:c>
      <x:c r="D132" s="6" t="str">
        <x:v>Skylo</x:v>
      </x:c>
      <x:c r="E132" s="6" t="str">
        <x:v>Private</x:v>
      </x:c>
      <x:c r="F132" s="6" t="str"/>
      <x:c r="G132" s="6" t="str">
        <x:v>Private non-terrestrial network service platform.</x:v>
      </x:c>
      <x:c r="H132" s="6" t="str">
        <x:v>https://www.skylo.tech/</x:v>
      </x:c>
      <x:c r="I132" s="6" t="str">
        <x:v>https://www.skylo.tech/</x:v>
      </x:c>
    </x:row>
    <x:row r="133" ht="15" hidden="0" customHeight="1">
      <x:c r="A133" s="12" t="n">
        <x:v>12</x:v>
      </x:c>
      <x:c r="B133" s="6" t="str">
        <x:v>Direct-to-device satellite connectivity</x:v>
      </x:c>
      <x:c r="C133" s="6" t="str">
        <x:v>Connected industry</x:v>
      </x:c>
      <x:c r="D133" s="6" t="str">
        <x:v>Sateliot</x:v>
      </x:c>
      <x:c r="E133" s="6" t="str">
        <x:v>Private</x:v>
      </x:c>
      <x:c r="F133" s="6" t="str"/>
      <x:c r="G133" s="6" t="str">
        <x:v>Private standards-based satellite IoT network; adjacent low-data-rate exposure.</x:v>
      </x:c>
      <x:c r="H133" s="6" t="str">
        <x:v>https://sateliot.space/</x:v>
      </x:c>
      <x:c r="I133" s="6" t="str">
        <x:v>https://sateliot.space/</x:v>
      </x:c>
    </x:row>
    <x:row r="134" ht="15" hidden="0" customHeight="1">
      <x:c r="A134" s="12" t="n">
        <x:v>13</x:v>
      </x:c>
      <x:c r="B134" s="6" t="str">
        <x:v>Industrial IoT and predictive maintenance</x:v>
      </x:c>
      <x:c r="C134" s="6" t="str">
        <x:v>Connected industry</x:v>
      </x:c>
      <x:c r="D134" s="6" t="str">
        <x:v>Siemens</x:v>
      </x:c>
      <x:c r="E134" s="6" t="str">
        <x:v>Public</x:v>
      </x:c>
      <x:c r="F134" s="6" t="str">
        <x:v>XETRA:SIE</x:v>
      </x:c>
      <x:c r="G134" s="6" t="str">
        <x:v>Industrial automation, sensing, software and asset analytics.</x:v>
      </x:c>
      <x:c r="H134" s="6" t="str">
        <x:v>https://www.siemens.com/</x:v>
      </x:c>
      <x:c r="I134" s="6" t="str">
        <x:v>https://www.siemens.com/</x:v>
      </x:c>
    </x:row>
    <x:row r="135" ht="15" hidden="0" customHeight="1">
      <x:c r="A135" s="12" t="n">
        <x:v>13</x:v>
      </x:c>
      <x:c r="B135" s="6" t="str">
        <x:v>Industrial IoT and predictive maintenance</x:v>
      </x:c>
      <x:c r="C135" s="6" t="str">
        <x:v>Connected industry</x:v>
      </x:c>
      <x:c r="D135" s="6" t="str">
        <x:v>Schneider Electric</x:v>
      </x:c>
      <x:c r="E135" s="6" t="str">
        <x:v>Public</x:v>
      </x:c>
      <x:c r="F135" s="6" t="str">
        <x:v>EPA:SU</x:v>
      </x:c>
      <x:c r="G135" s="6" t="str">
        <x:v>Industrial/energy platforms and AVEVA software.</x:v>
      </x:c>
      <x:c r="H135" s="6" t="str">
        <x:v>https://www.se.com/</x:v>
      </x:c>
      <x:c r="I135" s="6" t="str">
        <x:v>https://www.se.com/</x:v>
      </x:c>
    </x:row>
    <x:row r="136" ht="15" hidden="0" customHeight="1">
      <x:c r="A136" s="12" t="n">
        <x:v>13</x:v>
      </x:c>
      <x:c r="B136" s="6" t="str">
        <x:v>Industrial IoT and predictive maintenance</x:v>
      </x:c>
      <x:c r="C136" s="6" t="str">
        <x:v>Connected industry</x:v>
      </x:c>
      <x:c r="D136" s="6" t="str">
        <x:v>Rockwell Automation</x:v>
      </x:c>
      <x:c r="E136" s="6" t="str">
        <x:v>Public</x:v>
      </x:c>
      <x:c r="F136" s="6" t="str">
        <x:v>NYSE:ROK</x:v>
      </x:c>
      <x:c r="G136" s="6" t="str">
        <x:v>Factory controls, industrial software and integration.</x:v>
      </x:c>
      <x:c r="H136" s="6" t="str">
        <x:v>https://www.rockwellautomation.com/</x:v>
      </x:c>
      <x:c r="I136" s="6" t="str">
        <x:v>https://www.rockwellautomation.com/</x:v>
      </x:c>
    </x:row>
    <x:row r="137" ht="15" hidden="0" customHeight="1">
      <x:c r="A137" s="12" t="n">
        <x:v>13</x:v>
      </x:c>
      <x:c r="B137" s="6" t="str">
        <x:v>Industrial IoT and predictive maintenance</x:v>
      </x:c>
      <x:c r="C137" s="6" t="str">
        <x:v>Connected industry</x:v>
      </x:c>
      <x:c r="D137" s="6" t="str">
        <x:v>ABB</x:v>
      </x:c>
      <x:c r="E137" s="6" t="str">
        <x:v>Public</x:v>
      </x:c>
      <x:c r="F137" s="6" t="str">
        <x:v>SIX:ABBN</x:v>
      </x:c>
      <x:c r="G137" s="6" t="str">
        <x:v>Electrification, motion and industrial monitoring.</x:v>
      </x:c>
      <x:c r="H137" s="6" t="str">
        <x:v>https://new.abb.com/news/detail/129685/abb-to-divest-robotics-division-to-softbank-group</x:v>
      </x:c>
      <x:c r="I137" s="6" t="str">
        <x:v>https://new.abb.com/news/detail/129685/abb-to-divest-robotics-division-to-softbank-group</x:v>
      </x:c>
    </x:row>
    <x:row r="138" ht="15" hidden="0" customHeight="1">
      <x:c r="A138" s="12" t="n">
        <x:v>13</x:v>
      </x:c>
      <x:c r="B138" s="6" t="str">
        <x:v>Industrial IoT and predictive maintenance</x:v>
      </x:c>
      <x:c r="C138" s="6" t="str">
        <x:v>Connected industry</x:v>
      </x:c>
      <x:c r="D138" s="6" t="str">
        <x:v>Honeywell</x:v>
      </x:c>
      <x:c r="E138" s="6" t="str">
        <x:v>Public</x:v>
      </x:c>
      <x:c r="F138" s="6" t="str">
        <x:v>NASDAQ:HON</x:v>
      </x:c>
      <x:c r="G138" s="6" t="str">
        <x:v>Industrial controls and asset-performance systems.</x:v>
      </x:c>
      <x:c r="H138" s="6" t="str">
        <x:v>https://www.honeywell.com/</x:v>
      </x:c>
      <x:c r="I138" s="6" t="str">
        <x:v>https://www.honeywell.com/</x:v>
      </x:c>
    </x:row>
    <x:row r="139" ht="15" hidden="0" customHeight="1">
      <x:c r="A139" s="12" t="n">
        <x:v>13</x:v>
      </x:c>
      <x:c r="B139" s="6" t="str">
        <x:v>Industrial IoT and predictive maintenance</x:v>
      </x:c>
      <x:c r="C139" s="6" t="str">
        <x:v>Connected industry</x:v>
      </x:c>
      <x:c r="D139" s="6" t="str">
        <x:v>Samsara</x:v>
      </x:c>
      <x:c r="E139" s="6" t="str">
        <x:v>Public</x:v>
      </x:c>
      <x:c r="F139" s="6" t="str">
        <x:v>NYSE:IOT</x:v>
      </x:c>
      <x:c r="G139" s="6" t="str">
        <x:v>Connected operations and fleet/asset telemetry.</x:v>
      </x:c>
      <x:c r="H139" s="6" t="str">
        <x:v>https://www.samsara.com/</x:v>
      </x:c>
      <x:c r="I139" s="6" t="str">
        <x:v>https://www.samsara.com/</x:v>
      </x:c>
    </x:row>
    <x:row r="140" ht="15" hidden="0" customHeight="1">
      <x:c r="A140" s="12" t="n">
        <x:v>13</x:v>
      </x:c>
      <x:c r="B140" s="6" t="str">
        <x:v>Industrial IoT and predictive maintenance</x:v>
      </x:c>
      <x:c r="C140" s="6" t="str">
        <x:v>Connected industry</x:v>
      </x:c>
      <x:c r="D140" s="6" t="str">
        <x:v>Caterpillar</x:v>
      </x:c>
      <x:c r="E140" s="6" t="str">
        <x:v>Public</x:v>
      </x:c>
      <x:c r="F140" s="6" t="str">
        <x:v>NYSE:CAT</x:v>
      </x:c>
      <x:c r="G140" s="6" t="str">
        <x:v>Connected equipment and service economics; operator/OEM exposure.</x:v>
      </x:c>
      <x:c r="H140" s="6" t="str">
        <x:v>https://www.caterpillar.com/</x:v>
      </x:c>
      <x:c r="I140" s="6" t="str">
        <x:v>https://www.caterpillar.com/</x:v>
      </x:c>
    </x:row>
    <x:row r="141" ht="15" hidden="0" customHeight="1">
      <x:c r="A141" s="12" t="n">
        <x:v>13</x:v>
      </x:c>
      <x:c r="B141" s="6" t="str">
        <x:v>Industrial IoT and predictive maintenance</x:v>
      </x:c>
      <x:c r="C141" s="6" t="str">
        <x:v>Connected industry</x:v>
      </x:c>
      <x:c r="D141" s="6" t="str">
        <x:v>Advantech</x:v>
      </x:c>
      <x:c r="E141" s="6" t="str">
        <x:v>Public</x:v>
      </x:c>
      <x:c r="F141" s="6" t="str">
        <x:v>TWSE:2395</x:v>
      </x:c>
      <x:c r="G141" s="6" t="str">
        <x:v>Industrial edge computers, gateways and sensing infrastructure.</x:v>
      </x:c>
      <x:c r="H141" s="6" t="str">
        <x:v>https://www.advantech.com/</x:v>
      </x:c>
      <x:c r="I141" s="6" t="str">
        <x:v>https://www.advantech.com/</x:v>
      </x:c>
    </x:row>
    <x:row r="142" ht="15" hidden="0" customHeight="1">
      <x:c r="A142" s="12" t="n">
        <x:v>13</x:v>
      </x:c>
      <x:c r="B142" s="6" t="str">
        <x:v>Industrial IoT and predictive maintenance</x:v>
      </x:c>
      <x:c r="C142" s="6" t="str">
        <x:v>Connected industry</x:v>
      </x:c>
      <x:c r="D142" s="6" t="str">
        <x:v>Augury</x:v>
      </x:c>
      <x:c r="E142" s="6" t="str">
        <x:v>Private</x:v>
      </x:c>
      <x:c r="F142" s="6" t="str"/>
      <x:c r="G142" s="6" t="str">
        <x:v>Private machine-health and industrial AI platform.</x:v>
      </x:c>
      <x:c r="H142" s="6" t="str">
        <x:v>https://www.augury.com/</x:v>
      </x:c>
      <x:c r="I142" s="6" t="str">
        <x:v>https://www.augury.com/</x:v>
      </x:c>
    </x:row>
    <x:row r="143" ht="15" hidden="0" customHeight="1">
      <x:c r="A143" s="12" t="n">
        <x:v>13</x:v>
      </x:c>
      <x:c r="B143" s="6" t="str">
        <x:v>Industrial IoT and predictive maintenance</x:v>
      </x:c>
      <x:c r="C143" s="6" t="str">
        <x:v>Connected industry</x:v>
      </x:c>
      <x:c r="D143" s="6" t="str">
        <x:v>Seeq</x:v>
      </x:c>
      <x:c r="E143" s="6" t="str">
        <x:v>Private</x:v>
      </x:c>
      <x:c r="F143" s="6" t="str"/>
      <x:c r="G143" s="6" t="str">
        <x:v>Private industrial analytics and operational intelligence.</x:v>
      </x:c>
      <x:c r="H143" s="6" t="str">
        <x:v>https://www.seeq.com/</x:v>
      </x:c>
      <x:c r="I143" s="6" t="str">
        <x:v>https://www.seeq.com/</x:v>
      </x:c>
    </x:row>
    <x:row r="144" ht="15" hidden="0" customHeight="1">
      <x:c r="A144" s="12" t="n">
        <x:v>13</x:v>
      </x:c>
      <x:c r="B144" s="6" t="str">
        <x:v>Industrial IoT and predictive maintenance</x:v>
      </x:c>
      <x:c r="C144" s="6" t="str">
        <x:v>Connected industry</x:v>
      </x:c>
      <x:c r="D144" s="6" t="str">
        <x:v>TwinThread</x:v>
      </x:c>
      <x:c r="E144" s="6" t="str">
        <x:v>Private</x:v>
      </x:c>
      <x:c r="F144" s="6" t="str"/>
      <x:c r="G144" s="6" t="str">
        <x:v>Private industrial AI and equipment-performance optimization.</x:v>
      </x:c>
      <x:c r="H144" s="6" t="str">
        <x:v>https://www.twinthread.com/</x:v>
      </x:c>
      <x:c r="I144" s="6" t="str">
        <x:v>https://www.twinthread.com/</x:v>
      </x:c>
    </x:row>
    <x:row r="145" ht="15" hidden="0" customHeight="1">
      <x:c r="A145" s="12" t="n">
        <x:v>14</x:v>
      </x:c>
      <x:c r="B145" s="6" t="str">
        <x:v>Industrial digital twins</x:v>
      </x:c>
      <x:c r="C145" s="6" t="str">
        <x:v>Connected industry</x:v>
      </x:c>
      <x:c r="D145" s="6" t="str">
        <x:v>Siemens</x:v>
      </x:c>
      <x:c r="E145" s="6" t="str">
        <x:v>Public</x:v>
      </x:c>
      <x:c r="F145" s="6" t="str">
        <x:v>XETRA:SIE</x:v>
      </x:c>
      <x:c r="G145" s="6" t="str">
        <x:v>Industrial engineering, automation and digital-twin software.</x:v>
      </x:c>
      <x:c r="H145" s="6" t="str">
        <x:v>https://www.siemens.com/</x:v>
      </x:c>
      <x:c r="I145" s="6" t="str">
        <x:v>https://www.siemens.com/</x:v>
      </x:c>
    </x:row>
    <x:row r="146" ht="15" hidden="0" customHeight="1">
      <x:c r="A146" s="12" t="n">
        <x:v>14</x:v>
      </x:c>
      <x:c r="B146" s="6" t="str">
        <x:v>Industrial digital twins</x:v>
      </x:c>
      <x:c r="C146" s="6" t="str">
        <x:v>Connected industry</x:v>
      </x:c>
      <x:c r="D146" s="6" t="str">
        <x:v>Dassault Systèmes</x:v>
      </x:c>
      <x:c r="E146" s="6" t="str">
        <x:v>Public</x:v>
      </x:c>
      <x:c r="F146" s="6" t="str">
        <x:v>EPA:DSY</x:v>
      </x:c>
      <x:c r="G146" s="6" t="str">
        <x:v>Design, simulation and virtual-twin platforms.</x:v>
      </x:c>
      <x:c r="H146" s="6" t="str">
        <x:v>https://www.3ds.com/</x:v>
      </x:c>
      <x:c r="I146" s="6" t="str">
        <x:v>https://www.3ds.com/</x:v>
      </x:c>
    </x:row>
    <x:row r="147" ht="15" hidden="0" customHeight="1">
      <x:c r="A147" s="12" t="n">
        <x:v>14</x:v>
      </x:c>
      <x:c r="B147" s="6" t="str">
        <x:v>Industrial digital twins</x:v>
      </x:c>
      <x:c r="C147" s="6" t="str">
        <x:v>Connected industry</x:v>
      </x:c>
      <x:c r="D147" s="6" t="str">
        <x:v>Schneider Electric</x:v>
      </x:c>
      <x:c r="E147" s="6" t="str">
        <x:v>Public</x:v>
      </x:c>
      <x:c r="F147" s="6" t="str">
        <x:v>EPA:SU</x:v>
      </x:c>
      <x:c r="G147" s="6" t="str">
        <x:v>AVEVA and industrial/energy software; proposed PTC and Cognite transactions should be tracked.</x:v>
      </x:c>
      <x:c r="H147" s="6" t="str">
        <x:v>https://www.se.com/</x:v>
      </x:c>
      <x:c r="I147" s="6" t="str">
        <x:v>https://www.se.com/</x:v>
      </x:c>
    </x:row>
    <x:row r="148" ht="15" hidden="0" customHeight="1">
      <x:c r="A148" s="12" t="n">
        <x:v>14</x:v>
      </x:c>
      <x:c r="B148" s="6" t="str">
        <x:v>Industrial digital twins</x:v>
      </x:c>
      <x:c r="C148" s="6" t="str">
        <x:v>Connected industry</x:v>
      </x:c>
      <x:c r="D148" s="6" t="str">
        <x:v>Bentley Systems</x:v>
      </x:c>
      <x:c r="E148" s="6" t="str">
        <x:v>Public</x:v>
      </x:c>
      <x:c r="F148" s="6" t="str">
        <x:v>NASDAQ:BSY</x:v>
      </x:c>
      <x:c r="G148" s="6" t="str">
        <x:v>Infrastructure digital twins and geospatial modeling.</x:v>
      </x:c>
      <x:c r="H148" s="6" t="str">
        <x:v>https://investors.bentley.com/</x:v>
      </x:c>
      <x:c r="I148" s="6" t="str">
        <x:v>https://investors.bentley.com/</x:v>
      </x:c>
    </x:row>
    <x:row r="149" ht="15" hidden="0" customHeight="1">
      <x:c r="A149" s="12" t="n">
        <x:v>14</x:v>
      </x:c>
      <x:c r="B149" s="6" t="str">
        <x:v>Industrial digital twins</x:v>
      </x:c>
      <x:c r="C149" s="6" t="str">
        <x:v>Connected industry</x:v>
      </x:c>
      <x:c r="D149" s="6" t="str">
        <x:v>Autodesk</x:v>
      </x:c>
      <x:c r="E149" s="6" t="str">
        <x:v>Public</x:v>
      </x:c>
      <x:c r="F149" s="6" t="str">
        <x:v>NASDAQ:ADSK</x:v>
      </x:c>
      <x:c r="G149" s="6" t="str">
        <x:v>Design, construction and engineering workflows.</x:v>
      </x:c>
      <x:c r="H149" s="6" t="str">
        <x:v>https://www.autodesk.com/</x:v>
      </x:c>
      <x:c r="I149" s="6" t="str">
        <x:v>https://www.autodesk.com/</x:v>
      </x:c>
    </x:row>
    <x:row r="150" ht="15" hidden="0" customHeight="1">
      <x:c r="A150" s="12" t="n">
        <x:v>14</x:v>
      </x:c>
      <x:c r="B150" s="6" t="str">
        <x:v>Industrial digital twins</x:v>
      </x:c>
      <x:c r="C150" s="6" t="str">
        <x:v>Connected industry</x:v>
      </x:c>
      <x:c r="D150" s="6" t="str">
        <x:v>Hexagon</x:v>
      </x:c>
      <x:c r="E150" s="6" t="str">
        <x:v>Public</x:v>
      </x:c>
      <x:c r="F150" s="6" t="str">
        <x:v>STO:HEXA-B</x:v>
      </x:c>
      <x:c r="G150" s="6" t="str">
        <x:v>Measurement, asset data and industrial software.</x:v>
      </x:c>
      <x:c r="H150" s="6" t="str">
        <x:v>https://hexagon.com/</x:v>
      </x:c>
      <x:c r="I150" s="6" t="str">
        <x:v>https://hexagon.com/</x:v>
      </x:c>
    </x:row>
    <x:row r="151" ht="15" hidden="0" customHeight="1">
      <x:c r="A151" s="12" t="n">
        <x:v>14</x:v>
      </x:c>
      <x:c r="B151" s="6" t="str">
        <x:v>Industrial digital twins</x:v>
      </x:c>
      <x:c r="C151" s="6" t="str">
        <x:v>Connected industry</x:v>
      </x:c>
      <x:c r="D151" s="6" t="str">
        <x:v>NVIDIA</x:v>
      </x:c>
      <x:c r="E151" s="6" t="str">
        <x:v>Public</x:v>
      </x:c>
      <x:c r="F151" s="6" t="str">
        <x:v>NASDAQ:NVDA</x:v>
      </x:c>
      <x:c r="G151" s="6" t="str">
        <x:v>Simulation and accelerated computing infrastructure; enabling-platform exposure.</x:v>
      </x:c>
      <x:c r="H151" s="6" t="str">
        <x:v>https://investor.nvidia.com/</x:v>
      </x:c>
      <x:c r="I151" s="6" t="str">
        <x:v>https://investor.nvidia.com/</x:v>
      </x:c>
    </x:row>
    <x:row r="152" ht="15" hidden="0" customHeight="1">
      <x:c r="A152" s="12" t="n">
        <x:v>14</x:v>
      </x:c>
      <x:c r="B152" s="6" t="str">
        <x:v>Industrial digital twins</x:v>
      </x:c>
      <x:c r="C152" s="6" t="str">
        <x:v>Connected industry</x:v>
      </x:c>
      <x:c r="D152" s="6" t="str">
        <x:v>Synopsys</x:v>
      </x:c>
      <x:c r="E152" s="6" t="str">
        <x:v>Public</x:v>
      </x:c>
      <x:c r="F152" s="6" t="str">
        <x:v>NASDAQ:SNPS</x:v>
      </x:c>
      <x:c r="G152" s="6" t="str">
        <x:v>Engineering simulation through Ansys and semiconductor-system modeling.</x:v>
      </x:c>
      <x:c r="H152" s="6" t="str">
        <x:v>https://investor.synopsys.com/</x:v>
      </x:c>
      <x:c r="I152" s="6" t="str">
        <x:v>https://investor.synopsys.com/</x:v>
      </x:c>
    </x:row>
    <x:row r="153" ht="15" hidden="0" customHeight="1">
      <x:c r="A153" s="12" t="n">
        <x:v>14</x:v>
      </x:c>
      <x:c r="B153" s="6" t="str">
        <x:v>Industrial digital twins</x:v>
      </x:c>
      <x:c r="C153" s="6" t="str">
        <x:v>Connected industry</x:v>
      </x:c>
      <x:c r="D153" s="6" t="str">
        <x:v>PTC</x:v>
      </x:c>
      <x:c r="E153" s="6" t="str">
        <x:v>Public</x:v>
      </x:c>
      <x:c r="F153" s="6" t="str">
        <x:v>NASDAQ:PTC</x:v>
      </x:c>
      <x:c r="G153" s="6" t="str">
        <x:v>Engineering/PLM software; remains public pending Schneider transaction, expected Q3 2027.</x:v>
      </x:c>
      <x:c r="H153" s="6" t="str">
        <x:v>https://www.ptc.com/en/news/2026/schneider-electric-to-acquire-ptc</x:v>
      </x:c>
      <x:c r="I153" s="6" t="str">
        <x:v>https://www.ptc.com/en/news/2026/schneider-electric-to-acquire-ptc</x:v>
      </x:c>
    </x:row>
    <x:row r="154" ht="15" hidden="0" customHeight="1">
      <x:c r="A154" s="12" t="n">
        <x:v>14</x:v>
      </x:c>
      <x:c r="B154" s="6" t="str">
        <x:v>Industrial digital twins</x:v>
      </x:c>
      <x:c r="C154" s="6" t="str">
        <x:v>Connected industry</x:v>
      </x:c>
      <x:c r="D154" s="6" t="str">
        <x:v>TwinThread</x:v>
      </x:c>
      <x:c r="E154" s="6" t="str">
        <x:v>Private</x:v>
      </x:c>
      <x:c r="F154" s="6" t="str"/>
      <x:c r="G154" s="6" t="str">
        <x:v>Private operational digital twins and industrial AI.</x:v>
      </x:c>
      <x:c r="H154" s="6" t="str">
        <x:v>https://www.twinthread.com/</x:v>
      </x:c>
      <x:c r="I154" s="6" t="str">
        <x:v>https://www.twinthread.com/</x:v>
      </x:c>
    </x:row>
    <x:row r="155" ht="15" hidden="0" customHeight="1">
      <x:c r="A155" s="12" t="n">
        <x:v>14</x:v>
      </x:c>
      <x:c r="B155" s="6" t="str">
        <x:v>Industrial digital twins</x:v>
      </x:c>
      <x:c r="C155" s="6" t="str">
        <x:v>Connected industry</x:v>
      </x:c>
      <x:c r="D155" s="6" t="str">
        <x:v>Cognite</x:v>
      </x:c>
      <x:c r="E155" s="6" t="str">
        <x:v>Private</x:v>
      </x:c>
      <x:c r="F155" s="6" t="str"/>
      <x:c r="G155" s="6" t="str">
        <x:v>Private industrial data platform; proposed Schneider acquisition, not assumed closed.</x:v>
      </x:c>
      <x:c r="H155" s="6" t="str">
        <x:v>https://www.cognite.com/</x:v>
      </x:c>
      <x:c r="I155" s="6" t="str">
        <x:v>https://www.cognite.com/</x:v>
      </x:c>
    </x:row>
    <x:row r="156" ht="15" hidden="0" customHeight="1">
      <x:c r="A156" s="12" t="n">
        <x:v>15</x:v>
      </x:c>
      <x:c r="B156" s="6" t="str">
        <x:v>Enterprise spatial computing</x:v>
      </x:c>
      <x:c r="C156" s="6" t="str">
        <x:v>Connected industry</x:v>
      </x:c>
      <x:c r="D156" s="6" t="str">
        <x:v>Apple</x:v>
      </x:c>
      <x:c r="E156" s="6" t="str">
        <x:v>Public</x:v>
      </x:c>
      <x:c r="F156" s="6" t="str">
        <x:v>NASDAQ:AAPL</x:v>
      </x:c>
      <x:c r="G156" s="6" t="str">
        <x:v>Vision Pro hardware, operating system and developer ecosystem.</x:v>
      </x:c>
      <x:c r="H156" s="6" t="str">
        <x:v>https://investor.apple.com/</x:v>
      </x:c>
      <x:c r="I156" s="6" t="str">
        <x:v>https://investor.apple.com/</x:v>
      </x:c>
    </x:row>
    <x:row r="157" ht="15" hidden="0" customHeight="1">
      <x:c r="A157" s="12" t="n">
        <x:v>15</x:v>
      </x:c>
      <x:c r="B157" s="6" t="str">
        <x:v>Enterprise spatial computing</x:v>
      </x:c>
      <x:c r="C157" s="6" t="str">
        <x:v>Connected industry</x:v>
      </x:c>
      <x:c r="D157" s="6" t="str">
        <x:v>Meta Platforms</x:v>
      </x:c>
      <x:c r="E157" s="6" t="str">
        <x:v>Public</x:v>
      </x:c>
      <x:c r="F157" s="6" t="str">
        <x:v>NASDAQ:META</x:v>
      </x:c>
      <x:c r="G157" s="6" t="str">
        <x:v>XR hardware and spatial/wearable platforms; primarily consumer exposure.</x:v>
      </x:c>
      <x:c r="H157" s="6" t="str">
        <x:v>https://investor.atmeta.com/</x:v>
      </x:c>
      <x:c r="I157" s="6" t="str">
        <x:v>https://investor.atmeta.com/</x:v>
      </x:c>
    </x:row>
    <x:row r="158" ht="15" hidden="0" customHeight="1">
      <x:c r="A158" s="12" t="n">
        <x:v>15</x:v>
      </x:c>
      <x:c r="B158" s="6" t="str">
        <x:v>Enterprise spatial computing</x:v>
      </x:c>
      <x:c r="C158" s="6" t="str">
        <x:v>Connected industry</x:v>
      </x:c>
      <x:c r="D158" s="6" t="str">
        <x:v>Samsung Electronics</x:v>
      </x:c>
      <x:c r="E158" s="6" t="str">
        <x:v>Public</x:v>
      </x:c>
      <x:c r="F158" s="6" t="str">
        <x:v>KRX:005930</x:v>
      </x:c>
      <x:c r="G158" s="6" t="str">
        <x:v>XR devices and component ecosystem.</x:v>
      </x:c>
      <x:c r="H158" s="6" t="str">
        <x:v>https://www.samsung.com/global/ir/</x:v>
      </x:c>
      <x:c r="I158" s="6" t="str">
        <x:v>https://www.samsung.com/global/ir/</x:v>
      </x:c>
    </x:row>
    <x:row r="159" ht="15" hidden="0" customHeight="1">
      <x:c r="A159" s="12" t="n">
        <x:v>15</x:v>
      </x:c>
      <x:c r="B159" s="6" t="str">
        <x:v>Enterprise spatial computing</x:v>
      </x:c>
      <x:c r="C159" s="6" t="str">
        <x:v>Connected industry</x:v>
      </x:c>
      <x:c r="D159" s="6" t="str">
        <x:v>HTC</x:v>
      </x:c>
      <x:c r="E159" s="6" t="str">
        <x:v>Public</x:v>
      </x:c>
      <x:c r="F159" s="6" t="str">
        <x:v>TWSE:2498</x:v>
      </x:c>
      <x:c r="G159" s="6" t="str">
        <x:v>VIVE enterprise XR and training hardware.</x:v>
      </x:c>
      <x:c r="H159" s="6" t="str">
        <x:v>https://www.vive.com/</x:v>
      </x:c>
      <x:c r="I159" s="6" t="str">
        <x:v>https://www.vive.com/</x:v>
      </x:c>
    </x:row>
    <x:row r="160" ht="15" hidden="0" customHeight="1">
      <x:c r="A160" s="12" t="n">
        <x:v>15</x:v>
      </x:c>
      <x:c r="B160" s="6" t="str">
        <x:v>Enterprise spatial computing</x:v>
      </x:c>
      <x:c r="C160" s="6" t="str">
        <x:v>Connected industry</x:v>
      </x:c>
      <x:c r="D160" s="6" t="str">
        <x:v>Sony</x:v>
      </x:c>
      <x:c r="E160" s="6" t="str">
        <x:v>Public</x:v>
      </x:c>
      <x:c r="F160" s="6" t="str">
        <x:v>NYSE:SONY</x:v>
      </x:c>
      <x:c r="G160" s="6" t="str">
        <x:v>Spatial displays, sensors and immersive hardware.</x:v>
      </x:c>
      <x:c r="H160" s="6" t="str">
        <x:v>https://www.sony.com/</x:v>
      </x:c>
      <x:c r="I160" s="6" t="str">
        <x:v>https://www.sony.com/</x:v>
      </x:c>
    </x:row>
    <x:row r="161" ht="15" hidden="0" customHeight="1">
      <x:c r="A161" s="12" t="n">
        <x:v>15</x:v>
      </x:c>
      <x:c r="B161" s="6" t="str">
        <x:v>Enterprise spatial computing</x:v>
      </x:c>
      <x:c r="C161" s="6" t="str">
        <x:v>Connected industry</x:v>
      </x:c>
      <x:c r="D161" s="6" t="str">
        <x:v>Qualcomm</x:v>
      </x:c>
      <x:c r="E161" s="6" t="str">
        <x:v>Public</x:v>
      </x:c>
      <x:c r="F161" s="6" t="str">
        <x:v>NASDAQ:QCOM</x:v>
      </x:c>
      <x:c r="G161" s="6" t="str">
        <x:v>XR and smart-glasses processors.</x:v>
      </x:c>
      <x:c r="H161" s="6" t="str">
        <x:v>https://investor.qualcomm.com/</x:v>
      </x:c>
      <x:c r="I161" s="6" t="str">
        <x:v>https://investor.qualcomm.com/</x:v>
      </x:c>
    </x:row>
    <x:row r="162" ht="15" hidden="0" customHeight="1">
      <x:c r="A162" s="12" t="n">
        <x:v>15</x:v>
      </x:c>
      <x:c r="B162" s="6" t="str">
        <x:v>Enterprise spatial computing</x:v>
      </x:c>
      <x:c r="C162" s="6" t="str">
        <x:v>Connected industry</x:v>
      </x:c>
      <x:c r="D162" s="6" t="str">
        <x:v>NVIDIA</x:v>
      </x:c>
      <x:c r="E162" s="6" t="str">
        <x:v>Public</x:v>
      </x:c>
      <x:c r="F162" s="6" t="str">
        <x:v>NASDAQ:NVDA</x:v>
      </x:c>
      <x:c r="G162" s="6" t="str">
        <x:v>Simulation, rendering and enterprise spatial infrastructure.</x:v>
      </x:c>
      <x:c r="H162" s="6" t="str">
        <x:v>https://investor.nvidia.com/</x:v>
      </x:c>
      <x:c r="I162" s="6" t="str">
        <x:v>https://investor.nvidia.com/</x:v>
      </x:c>
    </x:row>
    <x:row r="163" ht="15" hidden="0" customHeight="1">
      <x:c r="A163" s="12" t="n">
        <x:v>15</x:v>
      </x:c>
      <x:c r="B163" s="6" t="str">
        <x:v>Enterprise spatial computing</x:v>
      </x:c>
      <x:c r="C163" s="6" t="str">
        <x:v>Connected industry</x:v>
      </x:c>
      <x:c r="D163" s="6" t="str">
        <x:v>Unity</x:v>
      </x:c>
      <x:c r="E163" s="6" t="str">
        <x:v>Public</x:v>
      </x:c>
      <x:c r="F163" s="6" t="str">
        <x:v>NYSE:U</x:v>
      </x:c>
      <x:c r="G163" s="6" t="str">
        <x:v>Real-time 3D development platform.</x:v>
      </x:c>
      <x:c r="H163" s="6" t="str">
        <x:v>https://unity.com/</x:v>
      </x:c>
      <x:c r="I163" s="6" t="str">
        <x:v>https://unity.com/</x:v>
      </x:c>
    </x:row>
    <x:row r="164" ht="15" hidden="0" customHeight="1">
      <x:c r="A164" s="12" t="n">
        <x:v>15</x:v>
      </x:c>
      <x:c r="B164" s="6" t="str">
        <x:v>Enterprise spatial computing</x:v>
      </x:c>
      <x:c r="C164" s="6" t="str">
        <x:v>Connected industry</x:v>
      </x:c>
      <x:c r="D164" s="6" t="str">
        <x:v>Varjo</x:v>
      </x:c>
      <x:c r="E164" s="6" t="str">
        <x:v>Private</x:v>
      </x:c>
      <x:c r="F164" s="6" t="str"/>
      <x:c r="G164" s="6" t="str">
        <x:v>Private high-fidelity VR/XR simulation hardware and services.</x:v>
      </x:c>
      <x:c r="H164" s="6" t="str">
        <x:v>https://varjo.com/</x:v>
      </x:c>
      <x:c r="I164" s="6" t="str">
        <x:v>https://varjo.com/</x:v>
      </x:c>
    </x:row>
    <x:row r="165" ht="15" hidden="0" customHeight="1">
      <x:c r="A165" s="12" t="n">
        <x:v>15</x:v>
      </x:c>
      <x:c r="B165" s="6" t="str">
        <x:v>Enterprise spatial computing</x:v>
      </x:c>
      <x:c r="C165" s="6" t="str">
        <x:v>Connected industry</x:v>
      </x:c>
      <x:c r="D165" s="6" t="str">
        <x:v>Magic Leap</x:v>
      </x:c>
      <x:c r="E165" s="6" t="str">
        <x:v>Private</x:v>
      </x:c>
      <x:c r="F165" s="6" t="str"/>
      <x:c r="G165" s="6" t="str">
        <x:v>Private AR technology and optical/display solutions.</x:v>
      </x:c>
      <x:c r="H165" s="6" t="str">
        <x:v>https://www.magicleap.com/</x:v>
      </x:c>
      <x:c r="I165" s="6" t="str">
        <x:v>https://www.magicleap.com/</x:v>
      </x:c>
    </x:row>
    <x:row r="166" ht="15" hidden="0" customHeight="1">
      <x:c r="A166" s="12" t="n">
        <x:v>15</x:v>
      </x:c>
      <x:c r="B166" s="6" t="str">
        <x:v>Enterprise spatial computing</x:v>
      </x:c>
      <x:c r="C166" s="6" t="str">
        <x:v>Connected industry</x:v>
      </x:c>
      <x:c r="D166" s="6" t="str">
        <x:v>Strivr</x:v>
      </x:c>
      <x:c r="E166" s="6" t="str">
        <x:v>Private</x:v>
      </x:c>
      <x:c r="F166" s="6" t="str"/>
      <x:c r="G166" s="6" t="str">
        <x:v>Private frontline spatial/AI assistance; current product emphasis includes smart-glasses error detection.</x:v>
      </x:c>
      <x:c r="H166" s="6" t="str">
        <x:v>https://www.strivr.com/</x:v>
      </x:c>
      <x:c r="I166" s="6" t="str">
        <x:v>https://www.strivr.com/</x:v>
      </x:c>
    </x:row>
    <x:row r="167" ht="15" hidden="0" customHeight="1">
      <x:c r="A167" s="12" t="n">
        <x:v>16</x:v>
      </x:c>
      <x:c r="B167" s="6" t="str">
        <x:v>Collaborative robots and autonomous mobile robots</x:v>
      </x:c>
      <x:c r="C167" s="6" t="str">
        <x:v>Automation &amp; mobility</x:v>
      </x:c>
      <x:c r="D167" s="6" t="str">
        <x:v>Teradyne</x:v>
      </x:c>
      <x:c r="E167" s="6" t="str">
        <x:v>Public</x:v>
      </x:c>
      <x:c r="F167" s="6" t="str">
        <x:v>NASDAQ:TER</x:v>
      </x:c>
      <x:c r="G167" s="6" t="str">
        <x:v>Universal Robots and Mobile Industrial Robots.</x:v>
      </x:c>
      <x:c r="H167" s="6" t="str">
        <x:v>https://www.teradyne.com/</x:v>
      </x:c>
      <x:c r="I167" s="6" t="str">
        <x:v>https://www.teradyne.com/</x:v>
      </x:c>
    </x:row>
    <x:row r="168" ht="15" hidden="0" customHeight="1">
      <x:c r="A168" s="12" t="n">
        <x:v>16</x:v>
      </x:c>
      <x:c r="B168" s="6" t="str">
        <x:v>Collaborative robots and autonomous mobile robots</x:v>
      </x:c>
      <x:c r="C168" s="6" t="str">
        <x:v>Automation &amp; mobility</x:v>
      </x:c>
      <x:c r="D168" s="6" t="str">
        <x:v>ABB</x:v>
      </x:c>
      <x:c r="E168" s="6" t="str">
        <x:v>Public</x:v>
      </x:c>
      <x:c r="F168" s="6" t="str">
        <x:v>SIX:ABBN</x:v>
      </x:c>
      <x:c r="G168" s="6" t="str">
        <x:v>Robot systems and integration; agreed SoftBank divestiture remains a transaction-status item.</x:v>
      </x:c>
      <x:c r="H168" s="6" t="str">
        <x:v>https://new.abb.com/news/detail/129685/abb-to-divest-robotics-division-to-softbank-group</x:v>
      </x:c>
      <x:c r="I168" s="6" t="str">
        <x:v>https://new.abb.com/news/detail/129685/abb-to-divest-robotics-division-to-softbank-group</x:v>
      </x:c>
    </x:row>
    <x:row r="169" ht="15" hidden="0" customHeight="1">
      <x:c r="A169" s="12" t="n">
        <x:v>16</x:v>
      </x:c>
      <x:c r="B169" s="6" t="str">
        <x:v>Collaborative robots and autonomous mobile robots</x:v>
      </x:c>
      <x:c r="C169" s="6" t="str">
        <x:v>Automation &amp; mobility</x:v>
      </x:c>
      <x:c r="D169" s="6" t="str">
        <x:v>FANUC</x:v>
      </x:c>
      <x:c r="E169" s="6" t="str">
        <x:v>Public</x:v>
      </x:c>
      <x:c r="F169" s="6" t="str">
        <x:v>TSE:6954</x:v>
      </x:c>
      <x:c r="G169" s="6" t="str">
        <x:v>Industrial automation and collaborative robot products.</x:v>
      </x:c>
      <x:c r="H169" s="6" t="str">
        <x:v>https://www.fanuc.co.jp/en/</x:v>
      </x:c>
      <x:c r="I169" s="6" t="str">
        <x:v>https://www.fanuc.co.jp/en/</x:v>
      </x:c>
    </x:row>
    <x:row r="170" ht="15" hidden="0" customHeight="1">
      <x:c r="A170" s="12" t="n">
        <x:v>16</x:v>
      </x:c>
      <x:c r="B170" s="6" t="str">
        <x:v>Collaborative robots and autonomous mobile robots</x:v>
      </x:c>
      <x:c r="C170" s="6" t="str">
        <x:v>Automation &amp; mobility</x:v>
      </x:c>
      <x:c r="D170" s="6" t="str">
        <x:v>Yaskawa Electric</x:v>
      </x:c>
      <x:c r="E170" s="6" t="str">
        <x:v>Public</x:v>
      </x:c>
      <x:c r="F170" s="6" t="str">
        <x:v>TSE:6506</x:v>
      </x:c>
      <x:c r="G170" s="6" t="str">
        <x:v>Robot arms, motion control and collaborative applications.</x:v>
      </x:c>
      <x:c r="H170" s="6" t="str">
        <x:v>https://www.yaskawa-global.com/</x:v>
      </x:c>
      <x:c r="I170" s="6" t="str">
        <x:v>https://www.yaskawa-global.com/</x:v>
      </x:c>
    </x:row>
    <x:row r="171" ht="15" hidden="0" customHeight="1">
      <x:c r="A171" s="12" t="n">
        <x:v>16</x:v>
      </x:c>
      <x:c r="B171" s="6" t="str">
        <x:v>Collaborative robots and autonomous mobile robots</x:v>
      </x:c>
      <x:c r="C171" s="6" t="str">
        <x:v>Automation &amp; mobility</x:v>
      </x:c>
      <x:c r="D171" s="6" t="str">
        <x:v>KION Group</x:v>
      </x:c>
      <x:c r="E171" s="6" t="str">
        <x:v>Public</x:v>
      </x:c>
      <x:c r="F171" s="6" t="str">
        <x:v>XETRA:KGX</x:v>
      </x:c>
      <x:c r="G171" s="6" t="str">
        <x:v>Dematic warehouse automation and mobile material handling.</x:v>
      </x:c>
      <x:c r="H171" s="6" t="str">
        <x:v>https://www.kiongroup.com/</x:v>
      </x:c>
      <x:c r="I171" s="6" t="str">
        <x:v>https://www.kiongroup.com/</x:v>
      </x:c>
    </x:row>
    <x:row r="172" ht="15" hidden="0" customHeight="1">
      <x:c r="A172" s="12" t="n">
        <x:v>16</x:v>
      </x:c>
      <x:c r="B172" s="6" t="str">
        <x:v>Collaborative robots and autonomous mobile robots</x:v>
      </x:c>
      <x:c r="C172" s="6" t="str">
        <x:v>Automation &amp; mobility</x:v>
      </x:c>
      <x:c r="D172" s="6" t="str">
        <x:v>Daifuku</x:v>
      </x:c>
      <x:c r="E172" s="6" t="str">
        <x:v>Public</x:v>
      </x:c>
      <x:c r="F172" s="6" t="str">
        <x:v>TSE:6383</x:v>
      </x:c>
      <x:c r="G172" s="6" t="str">
        <x:v>Warehouse and material-handling automation.</x:v>
      </x:c>
      <x:c r="H172" s="6" t="str">
        <x:v>https://www.daifuku.com/</x:v>
      </x:c>
      <x:c r="I172" s="6" t="str">
        <x:v>https://www.daifuku.com/</x:v>
      </x:c>
    </x:row>
    <x:row r="173" ht="15" hidden="0" customHeight="1">
      <x:c r="A173" s="12" t="n">
        <x:v>16</x:v>
      </x:c>
      <x:c r="B173" s="6" t="str">
        <x:v>Collaborative robots and autonomous mobile robots</x:v>
      </x:c>
      <x:c r="C173" s="6" t="str">
        <x:v>Automation &amp; mobility</x:v>
      </x:c>
      <x:c r="D173" s="6" t="str">
        <x:v>Omron</x:v>
      </x:c>
      <x:c r="E173" s="6" t="str">
        <x:v>Public</x:v>
      </x:c>
      <x:c r="F173" s="6" t="str">
        <x:v>TSE:6645</x:v>
      </x:c>
      <x:c r="G173" s="6" t="str">
        <x:v>Factory automation and mobile/collaborative robotics.</x:v>
      </x:c>
      <x:c r="H173" s="6" t="str">
        <x:v>https://www.omron.com/</x:v>
      </x:c>
      <x:c r="I173" s="6" t="str">
        <x:v>https://www.omron.com/</x:v>
      </x:c>
    </x:row>
    <x:row r="174" ht="15" hidden="0" customHeight="1">
      <x:c r="A174" s="12" t="n">
        <x:v>16</x:v>
      </x:c>
      <x:c r="B174" s="6" t="str">
        <x:v>Collaborative robots and autonomous mobile robots</x:v>
      </x:c>
      <x:c r="C174" s="6" t="str">
        <x:v>Automation &amp; mobility</x:v>
      </x:c>
      <x:c r="D174" s="6" t="str">
        <x:v>Amazon</x:v>
      </x:c>
      <x:c r="E174" s="6" t="str">
        <x:v>Public</x:v>
      </x:c>
      <x:c r="F174" s="6" t="str">
        <x:v>NASDAQ:AMZN</x:v>
      </x:c>
      <x:c r="G174" s="6" t="str">
        <x:v>Large operator and robotics developer; indirect productivity exposure.</x:v>
      </x:c>
      <x:c r="H174" s="6" t="str">
        <x:v>https://ir.aboutamazon.com/</x:v>
      </x:c>
      <x:c r="I174" s="6" t="str">
        <x:v>https://ir.aboutamazon.com/</x:v>
      </x:c>
    </x:row>
    <x:row r="175" ht="15" hidden="0" customHeight="1">
      <x:c r="A175" s="12" t="n">
        <x:v>16</x:v>
      </x:c>
      <x:c r="B175" s="6" t="str">
        <x:v>Collaborative robots and autonomous mobile robots</x:v>
      </x:c>
      <x:c r="C175" s="6" t="str">
        <x:v>Automation &amp; mobility</x:v>
      </x:c>
      <x:c r="D175" s="6" t="str">
        <x:v>Locus Robotics</x:v>
      </x:c>
      <x:c r="E175" s="6" t="str">
        <x:v>Private</x:v>
      </x:c>
      <x:c r="F175" s="6" t="str"/>
      <x:c r="G175" s="6" t="str">
        <x:v>Private warehouse mobile-robot platform.</x:v>
      </x:c>
      <x:c r="H175" s="6" t="str">
        <x:v>https://locusrobotics.com/</x:v>
      </x:c>
      <x:c r="I175" s="6" t="str">
        <x:v>https://locusrobotics.com/</x:v>
      </x:c>
    </x:row>
    <x:row r="176" ht="15" hidden="0" customHeight="1">
      <x:c r="A176" s="12" t="n">
        <x:v>16</x:v>
      </x:c>
      <x:c r="B176" s="6" t="str">
        <x:v>Collaborative robots and autonomous mobile robots</x:v>
      </x:c>
      <x:c r="C176" s="6" t="str">
        <x:v>Automation &amp; mobility</x:v>
      </x:c>
      <x:c r="D176" s="6" t="str">
        <x:v>Stäubli</x:v>
      </x:c>
      <x:c r="E176" s="6" t="str">
        <x:v>Private</x:v>
      </x:c>
      <x:c r="F176" s="6" t="str"/>
      <x:c r="G176" s="6" t="str">
        <x:v>Private industrial robotics and automation supplier.</x:v>
      </x:c>
      <x:c r="H176" s="6" t="str">
        <x:v>https://www.staubli.com/</x:v>
      </x:c>
      <x:c r="I176" s="6" t="str">
        <x:v>https://www.staubli.com/</x:v>
      </x:c>
    </x:row>
    <x:row r="177" ht="15" hidden="0" customHeight="1">
      <x:c r="A177" s="12" t="n">
        <x:v>17</x:v>
      </x:c>
      <x:c r="B177" s="6" t="str">
        <x:v>Humanoid robots in structured industrial work</x:v>
      </x:c>
      <x:c r="C177" s="6" t="str">
        <x:v>Automation &amp; mobility</x:v>
      </x:c>
      <x:c r="D177" s="6" t="str">
        <x:v>UBTECH</x:v>
      </x:c>
      <x:c r="E177" s="6" t="str">
        <x:v>Public</x:v>
      </x:c>
      <x:c r="F177" s="6" t="str">
        <x:v>HKEX:9880</x:v>
      </x:c>
      <x:c r="G177" s="6" t="str">
        <x:v>Public humanoid manufacturer with separately disclosed business revenue.</x:v>
      </x:c>
      <x:c r="H177" s="6" t="str">
        <x:v>https://www.hkexnews.hk/listedco/listconews/sehk/2026/0414/2026041401168.pdf</x:v>
      </x:c>
      <x:c r="I177" s="6" t="str">
        <x:v>https://www.hkexnews.hk/listedco/listconews/sehk/2026/0414/2026041401168.pdf</x:v>
      </x:c>
    </x:row>
    <x:row r="178" ht="15" hidden="0" customHeight="1">
      <x:c r="A178" s="12" t="n">
        <x:v>17</x:v>
      </x:c>
      <x:c r="B178" s="6" t="str">
        <x:v>Humanoid robots in structured industrial work</x:v>
      </x:c>
      <x:c r="C178" s="6" t="str">
        <x:v>Automation &amp; mobility</x:v>
      </x:c>
      <x:c r="D178" s="6" t="str">
        <x:v>Tesla</x:v>
      </x:c>
      <x:c r="E178" s="6" t="str">
        <x:v>Public</x:v>
      </x:c>
      <x:c r="F178" s="6" t="str">
        <x:v>NASDAQ:TSLA</x:v>
      </x:c>
      <x:c r="G178" s="6" t="str">
        <x:v>Optimus development; current economic exposure is mainly a diversified vehicle/energy business.</x:v>
      </x:c>
      <x:c r="H178" s="6" t="str">
        <x:v>https://www.tesla.com/AI</x:v>
      </x:c>
      <x:c r="I178" s="6" t="str">
        <x:v>https://www.tesla.com/AI</x:v>
      </x:c>
    </x:row>
    <x:row r="179" ht="15" hidden="0" customHeight="1">
      <x:c r="A179" s="12" t="n">
        <x:v>17</x:v>
      </x:c>
      <x:c r="B179" s="6" t="str">
        <x:v>Humanoid robots in structured industrial work</x:v>
      </x:c>
      <x:c r="C179" s="6" t="str">
        <x:v>Automation &amp; mobility</x:v>
      </x:c>
      <x:c r="D179" s="6" t="str">
        <x:v>Hyundai Motor</x:v>
      </x:c>
      <x:c r="E179" s="6" t="str">
        <x:v>Public</x:v>
      </x:c>
      <x:c r="F179" s="6" t="str">
        <x:v>KRX:005380</x:v>
      </x:c>
      <x:c r="G179" s="6" t="str">
        <x:v>Indirect exposure through controlled private Boston Dynamics.</x:v>
      </x:c>
      <x:c r="H179" s="6" t="str">
        <x:v>https://www.hyundai.com/worldwide/en/newsroom/detail/0000000516</x:v>
      </x:c>
      <x:c r="I179" s="6" t="str">
        <x:v>https://www.hyundai.com/worldwide/en/newsroom/detail/0000000516</x:v>
      </x:c>
    </x:row>
    <x:row r="180" ht="15" hidden="0" customHeight="1">
      <x:c r="A180" s="12" t="n">
        <x:v>17</x:v>
      </x:c>
      <x:c r="B180" s="6" t="str">
        <x:v>Humanoid robots in structured industrial work</x:v>
      </x:c>
      <x:c r="C180" s="6" t="str">
        <x:v>Automation &amp; mobility</x:v>
      </x:c>
      <x:c r="D180" s="6" t="str">
        <x:v>NVIDIA</x:v>
      </x:c>
      <x:c r="E180" s="6" t="str">
        <x:v>Public</x:v>
      </x:c>
      <x:c r="F180" s="6" t="str">
        <x:v>NASDAQ:NVDA</x:v>
      </x:c>
      <x:c r="G180" s="6" t="str">
        <x:v>Robot computing, simulation and learning infrastructure; enabling supplier.</x:v>
      </x:c>
      <x:c r="H180" s="6" t="str">
        <x:v>https://investor.nvidia.com/</x:v>
      </x:c>
      <x:c r="I180" s="6" t="str">
        <x:v>https://investor.nvidia.com/</x:v>
      </x:c>
    </x:row>
    <x:row r="181" ht="15" hidden="0" customHeight="1">
      <x:c r="A181" s="12" t="n">
        <x:v>17</x:v>
      </x:c>
      <x:c r="B181" s="6" t="str">
        <x:v>Humanoid robots in structured industrial work</x:v>
      </x:c>
      <x:c r="C181" s="6" t="str">
        <x:v>Automation &amp; mobility</x:v>
      </x:c>
      <x:c r="D181" s="6" t="str">
        <x:v>Harmonic Drive Systems</x:v>
      </x:c>
      <x:c r="E181" s="6" t="str">
        <x:v>Public</x:v>
      </x:c>
      <x:c r="F181" s="6" t="str">
        <x:v>TSE:6324</x:v>
      </x:c>
      <x:c r="G181" s="6" t="str">
        <x:v>Precision motion components; indirect supplier exposure.</x:v>
      </x:c>
      <x:c r="H181" s="6" t="str">
        <x:v>https://www.hds.co.jp/english/</x:v>
      </x:c>
      <x:c r="I181" s="6" t="str">
        <x:v>https://www.hds.co.jp/english/</x:v>
      </x:c>
    </x:row>
    <x:row r="182" ht="15" hidden="0" customHeight="1">
      <x:c r="A182" s="12" t="n">
        <x:v>17</x:v>
      </x:c>
      <x:c r="B182" s="6" t="str">
        <x:v>Humanoid robots in structured industrial work</x:v>
      </x:c>
      <x:c r="C182" s="6" t="str">
        <x:v>Automation &amp; mobility</x:v>
      </x:c>
      <x:c r="D182" s="6" t="str">
        <x:v>Figure AI</x:v>
      </x:c>
      <x:c r="E182" s="6" t="str">
        <x:v>Private</x:v>
      </x:c>
      <x:c r="F182" s="6" t="str"/>
      <x:c r="G182" s="6" t="str">
        <x:v>Private humanoid developer; distinct from unrelated public companies with Figure in their name.</x:v>
      </x:c>
      <x:c r="H182" s="6" t="str">
        <x:v>https://www.figure.ai/news/series-c</x:v>
      </x:c>
      <x:c r="I182" s="6" t="str">
        <x:v>https://www.figure.ai/news/series-c</x:v>
      </x:c>
    </x:row>
    <x:row r="183" ht="24" hidden="0" customHeight="1">
      <x:c r="A183" s="12" t="n">
        <x:v>17</x:v>
      </x:c>
      <x:c r="B183" s="6" t="str">
        <x:v>Humanoid robots in structured industrial work</x:v>
      </x:c>
      <x:c r="C183" s="6" t="str">
        <x:v>Automation &amp; mobility</x:v>
      </x:c>
      <x:c r="D183" s="6" t="str">
        <x:v>Agility Robotics</x:v>
      </x:c>
      <x:c r="E183" s="6" t="str">
        <x:v>Private</x:v>
      </x:c>
      <x:c r="F183" s="6" t="str"/>
      <x:c r="G183" s="6" t="str">
        <x:v>Private Digit supplier; proposed Churchill XI business combination still pending at cutoff.</x:v>
      </x:c>
      <x:c r="H183" s="6" t="str">
        <x:v>https://www.agilityrobotics.com/content/agility-robotics-and-churchill-capital-corp-xi-s-4-registration-statement-declared-effective-by-sec-in-connection-with-proposed-business-combination</x:v>
      </x:c>
      <x:c r="I183" s="6" t="str">
        <x:v>https://www.agilityrobotics.com/content/agility-robotics-and-churchill-capital-corp-xi-s-4-registration-statement-declared-effective-by-sec-in-connection-with-proposed-business-combination</x:v>
      </x:c>
    </x:row>
    <x:row r="184" ht="15" hidden="0" customHeight="1">
      <x:c r="A184" s="12" t="n">
        <x:v>17</x:v>
      </x:c>
      <x:c r="B184" s="6" t="str">
        <x:v>Humanoid robots in structured industrial work</x:v>
      </x:c>
      <x:c r="C184" s="6" t="str">
        <x:v>Automation &amp; mobility</x:v>
      </x:c>
      <x:c r="D184" s="6" t="str">
        <x:v>Apptronik</x:v>
      </x:c>
      <x:c r="E184" s="6" t="str">
        <x:v>Private</x:v>
      </x:c>
      <x:c r="F184" s="6" t="str"/>
      <x:c r="G184" s="6" t="str">
        <x:v>Private Apollo humanoid developer.</x:v>
      </x:c>
      <x:c r="H184" s="6" t="str">
        <x:v>https://apptronik.com/</x:v>
      </x:c>
      <x:c r="I184" s="6" t="str">
        <x:v>https://apptronik.com/</x:v>
      </x:c>
    </x:row>
    <x:row r="185" ht="15" hidden="0" customHeight="1">
      <x:c r="A185" s="12" t="n">
        <x:v>17</x:v>
      </x:c>
      <x:c r="B185" s="6" t="str">
        <x:v>Humanoid robots in structured industrial work</x:v>
      </x:c>
      <x:c r="C185" s="6" t="str">
        <x:v>Automation &amp; mobility</x:v>
      </x:c>
      <x:c r="D185" s="6" t="str">
        <x:v>Sanctuary AI</x:v>
      </x:c>
      <x:c r="E185" s="6" t="str">
        <x:v>Private</x:v>
      </x:c>
      <x:c r="F185" s="6" t="str"/>
      <x:c r="G185" s="6" t="str">
        <x:v>Private physical-AI and industrial manipulation developer.</x:v>
      </x:c>
      <x:c r="H185" s="6" t="str">
        <x:v>https://sanctuary.ai/</x:v>
      </x:c>
      <x:c r="I185" s="6" t="str">
        <x:v>https://sanctuary.ai/</x:v>
      </x:c>
    </x:row>
    <x:row r="186" ht="24" hidden="0" customHeight="1">
      <x:c r="A186" s="12" t="n">
        <x:v>17</x:v>
      </x:c>
      <x:c r="B186" s="6" t="str">
        <x:v>Humanoid robots in structured industrial work</x:v>
      </x:c>
      <x:c r="C186" s="6" t="str">
        <x:v>Automation &amp; mobility</x:v>
      </x:c>
      <x:c r="D186" s="6" t="str">
        <x:v>SiMa.ai</x:v>
      </x:c>
      <x:c r="E186" s="6" t="str">
        <x:v>Private</x:v>
      </x:c>
      <x:c r="F186" s="6" t="str"/>
      <x:c r="G186" s="6" t="str">
        <x:v>Private edge AI compute enabling physical robots; indirect supplier exposure.</x:v>
      </x:c>
      <x:c r="H186" s="6" t="str">
        <x:v>https://sima.ai/press-release/sima-ai-reaches-1-45b-valuation-with-500-million-in-total-funding-to-scale-physical-ai-in-humanoids-automotive-and-drones/</x:v>
      </x:c>
      <x:c r="I186" s="6" t="str">
        <x:v>https://sima.ai/press-release/sima-ai-reaches-1-45b-valuation-with-500-million-in-total-funding-to-scale-physical-ai-in-humanoids-automotive-and-drones/</x:v>
      </x:c>
    </x:row>
    <x:row r="187" ht="15" hidden="0" customHeight="1">
      <x:c r="A187" s="12" t="n">
        <x:v>18</x:v>
      </x:c>
      <x:c r="B187" s="6" t="str">
        <x:v>Robotaxis and autonomous driving</x:v>
      </x:c>
      <x:c r="C187" s="6" t="str">
        <x:v>Automation &amp; mobility</x:v>
      </x:c>
      <x:c r="D187" s="6" t="str">
        <x:v>Alphabet / Waymo</x:v>
      </x:c>
      <x:c r="E187" s="6" t="str">
        <x:v>Public</x:v>
      </x:c>
      <x:c r="F187" s="6" t="str">
        <x:v>NASDAQ:GOOGL</x:v>
      </x:c>
      <x:c r="G187" s="6" t="str">
        <x:v>Public parent; Waymo supplies the autonomous driver and operates the service.</x:v>
      </x:c>
      <x:c r="H187" s="6" t="str">
        <x:v>https://waymo.com/</x:v>
      </x:c>
      <x:c r="I187" s="6" t="str">
        <x:v>https://waymo.com/</x:v>
      </x:c>
    </x:row>
    <x:row r="188" ht="15" hidden="0" customHeight="1">
      <x:c r="A188" s="12" t="n">
        <x:v>18</x:v>
      </x:c>
      <x:c r="B188" s="6" t="str">
        <x:v>Robotaxis and autonomous driving</x:v>
      </x:c>
      <x:c r="C188" s="6" t="str">
        <x:v>Automation &amp; mobility</x:v>
      </x:c>
      <x:c r="D188" s="6" t="str">
        <x:v>Amazon / Zoox</x:v>
      </x:c>
      <x:c r="E188" s="6" t="str">
        <x:v>Public</x:v>
      </x:c>
      <x:c r="F188" s="6" t="str">
        <x:v>NASDAQ:AMZN</x:v>
      </x:c>
      <x:c r="G188" s="6" t="str">
        <x:v>Public parent; Zoox develops a purpose-built autonomous taxi.</x:v>
      </x:c>
      <x:c r="H188" s="6" t="str">
        <x:v>https://zoox.com/</x:v>
      </x:c>
      <x:c r="I188" s="6" t="str">
        <x:v>https://zoox.com/</x:v>
      </x:c>
    </x:row>
    <x:row r="189" ht="15" hidden="0" customHeight="1">
      <x:c r="A189" s="12" t="n">
        <x:v>18</x:v>
      </x:c>
      <x:c r="B189" s="6" t="str">
        <x:v>Robotaxis and autonomous driving</x:v>
      </x:c>
      <x:c r="C189" s="6" t="str">
        <x:v>Automation &amp; mobility</x:v>
      </x:c>
      <x:c r="D189" s="6" t="str">
        <x:v>Baidu / Apollo Go</x:v>
      </x:c>
      <x:c r="E189" s="6" t="str">
        <x:v>Public</x:v>
      </x:c>
      <x:c r="F189" s="6" t="str">
        <x:v>NASDAQ:BIDU</x:v>
      </x:c>
      <x:c r="G189" s="6" t="str">
        <x:v>Autonomous ride service and driving technology in China.</x:v>
      </x:c>
      <x:c r="H189" s="6" t="str">
        <x:v>https://ir.baidu.com/</x:v>
      </x:c>
      <x:c r="I189" s="6" t="str">
        <x:v>https://ir.baidu.com/</x:v>
      </x:c>
    </x:row>
    <x:row r="190" ht="15" hidden="0" customHeight="1">
      <x:c r="A190" s="12" t="n">
        <x:v>18</x:v>
      </x:c>
      <x:c r="B190" s="6" t="str">
        <x:v>Robotaxis and autonomous driving</x:v>
      </x:c>
      <x:c r="C190" s="6" t="str">
        <x:v>Automation &amp; mobility</x:v>
      </x:c>
      <x:c r="D190" s="6" t="str">
        <x:v>Pony.ai</x:v>
      </x:c>
      <x:c r="E190" s="6" t="str">
        <x:v>Public</x:v>
      </x:c>
      <x:c r="F190" s="6" t="str">
        <x:v>NASDAQ:PONY</x:v>
      </x:c>
      <x:c r="G190" s="6" t="str">
        <x:v>Robotaxi fleets and autonomous-driving systems.</x:v>
      </x:c>
      <x:c r="H190" s="6" t="str">
        <x:v>https://ir.pony.ai/</x:v>
      </x:c>
      <x:c r="I190" s="6" t="str">
        <x:v>https://ir.pony.ai/</x:v>
      </x:c>
    </x:row>
    <x:row r="191" ht="15" hidden="0" customHeight="1">
      <x:c r="A191" s="12" t="n">
        <x:v>18</x:v>
      </x:c>
      <x:c r="B191" s="6" t="str">
        <x:v>Robotaxis and autonomous driving</x:v>
      </x:c>
      <x:c r="C191" s="6" t="str">
        <x:v>Automation &amp; mobility</x:v>
      </x:c>
      <x:c r="D191" s="6" t="str">
        <x:v>WeRide</x:v>
      </x:c>
      <x:c r="E191" s="6" t="str">
        <x:v>Public</x:v>
      </x:c>
      <x:c r="F191" s="6" t="str">
        <x:v>NASDAQ:WRD</x:v>
      </x:c>
      <x:c r="G191" s="6" t="str">
        <x:v>Robotaxi and other autonomous vehicle platforms.</x:v>
      </x:c>
      <x:c r="H191" s="6" t="str">
        <x:v>https://ir.weride.ai/</x:v>
      </x:c>
      <x:c r="I191" s="6" t="str">
        <x:v>https://ir.weride.ai/</x:v>
      </x:c>
    </x:row>
    <x:row r="192" ht="15" hidden="0" customHeight="1">
      <x:c r="A192" s="12" t="n">
        <x:v>18</x:v>
      </x:c>
      <x:c r="B192" s="6" t="str">
        <x:v>Robotaxis and autonomous driving</x:v>
      </x:c>
      <x:c r="C192" s="6" t="str">
        <x:v>Automation &amp; mobility</x:v>
      </x:c>
      <x:c r="D192" s="6" t="str">
        <x:v>Mobileye</x:v>
      </x:c>
      <x:c r="E192" s="6" t="str">
        <x:v>Public</x:v>
      </x:c>
      <x:c r="F192" s="6" t="str">
        <x:v>NASDAQ:MBLY</x:v>
      </x:c>
      <x:c r="G192" s="6" t="str">
        <x:v>Driver-assistance and autonomous-driving technology; announced its own robotaxi business.</x:v>
      </x:c>
      <x:c r="H192" s="6" t="str">
        <x:v>https://www.mobileye.com/news/mobileye-to-establish-vertically-integrated-robotaxi-business/</x:v>
      </x:c>
      <x:c r="I192" s="6" t="str">
        <x:v>https://www.mobileye.com/news/mobileye-to-establish-vertically-integrated-robotaxi-business/</x:v>
      </x:c>
    </x:row>
    <x:row r="193" ht="15" hidden="0" customHeight="1">
      <x:c r="A193" s="12" t="n">
        <x:v>18</x:v>
      </x:c>
      <x:c r="B193" s="6" t="str">
        <x:v>Robotaxis and autonomous driving</x:v>
      </x:c>
      <x:c r="C193" s="6" t="str">
        <x:v>Automation &amp; mobility</x:v>
      </x:c>
      <x:c r="D193" s="6" t="str">
        <x:v>Uber</x:v>
      </x:c>
      <x:c r="E193" s="6" t="str">
        <x:v>Public</x:v>
      </x:c>
      <x:c r="F193" s="6" t="str">
        <x:v>NYSE:UBER</x:v>
      </x:c>
      <x:c r="G193" s="6" t="str">
        <x:v>Demand aggregation and fleet partnerships; indirect exposure to autonomy deployments.</x:v>
      </x:c>
      <x:c r="H193" s="6" t="str">
        <x:v>https://investor.uber.com/</x:v>
      </x:c>
      <x:c r="I193" s="6" t="str">
        <x:v>https://investor.uber.com/</x:v>
      </x:c>
    </x:row>
    <x:row r="194" ht="15" hidden="0" customHeight="1">
      <x:c r="A194" s="12" t="n">
        <x:v>18</x:v>
      </x:c>
      <x:c r="B194" s="6" t="str">
        <x:v>Robotaxis and autonomous driving</x:v>
      </x:c>
      <x:c r="C194" s="6" t="str">
        <x:v>Automation &amp; mobility</x:v>
      </x:c>
      <x:c r="D194" s="6" t="str">
        <x:v>NVIDIA</x:v>
      </x:c>
      <x:c r="E194" s="6" t="str">
        <x:v>Public</x:v>
      </x:c>
      <x:c r="F194" s="6" t="str">
        <x:v>NASDAQ:NVDA</x:v>
      </x:c>
      <x:c r="G194" s="6" t="str">
        <x:v>Vehicle compute and development infrastructure; supplier exposure.</x:v>
      </x:c>
      <x:c r="H194" s="6" t="str">
        <x:v>https://www.nvidia.com/en-us/self-driving-cars/</x:v>
      </x:c>
      <x:c r="I194" s="6" t="str">
        <x:v>https://www.nvidia.com/en-us/self-driving-cars/</x:v>
      </x:c>
    </x:row>
    <x:row r="195" ht="15" hidden="0" customHeight="1">
      <x:c r="A195" s="12" t="n">
        <x:v>18</x:v>
      </x:c>
      <x:c r="B195" s="6" t="str">
        <x:v>Robotaxis and autonomous driving</x:v>
      </x:c>
      <x:c r="C195" s="6" t="str">
        <x:v>Automation &amp; mobility</x:v>
      </x:c>
      <x:c r="D195" s="6" t="str">
        <x:v>Wayve</x:v>
      </x:c>
      <x:c r="E195" s="6" t="str">
        <x:v>Private</x:v>
      </x:c>
      <x:c r="F195" s="6" t="str"/>
      <x:c r="G195" s="6" t="str">
        <x:v>End-to-end driving models sold through vehicle and mobility partnerships.</x:v>
      </x:c>
      <x:c r="H195" s="6" t="str">
        <x:v>https://wayve.ai/</x:v>
      </x:c>
      <x:c r="I195" s="6" t="str">
        <x:v>https://wayve.ai/</x:v>
      </x:c>
    </x:row>
    <x:row r="196" ht="15" hidden="0" customHeight="1">
      <x:c r="A196" s="12" t="n">
        <x:v>18</x:v>
      </x:c>
      <x:c r="B196" s="6" t="str">
        <x:v>Robotaxis and autonomous driving</x:v>
      </x:c>
      <x:c r="C196" s="6" t="str">
        <x:v>Automation &amp; mobility</x:v>
      </x:c>
      <x:c r="D196" s="6" t="str">
        <x:v>Nuro</x:v>
      </x:c>
      <x:c r="E196" s="6" t="str">
        <x:v>Private</x:v>
      </x:c>
      <x:c r="F196" s="6" t="str"/>
      <x:c r="G196" s="6" t="str">
        <x:v>Autonomous driver licensed for partner vehicles and services.</x:v>
      </x:c>
      <x:c r="H196" s="6" t="str">
        <x:v>https://www.nuro.ai/</x:v>
      </x:c>
      <x:c r="I196" s="6" t="str">
        <x:v>https://www.nuro.ai/</x:v>
      </x:c>
    </x:row>
    <x:row r="197" ht="15" hidden="0" customHeight="1">
      <x:c r="A197" s="12" t="n">
        <x:v>19</x:v>
      </x:c>
      <x:c r="B197" s="6" t="str">
        <x:v>Autonomous delivery drones</x:v>
      </x:c>
      <x:c r="C197" s="6" t="str">
        <x:v>Automation &amp; mobility</x:v>
      </x:c>
      <x:c r="D197" s="6" t="str">
        <x:v>Alphabet / Wing</x:v>
      </x:c>
      <x:c r="E197" s="6" t="str">
        <x:v>Public</x:v>
      </x:c>
      <x:c r="F197" s="6" t="str">
        <x:v>NASDAQ:GOOGL</x:v>
      </x:c>
      <x:c r="G197" s="6" t="str">
        <x:v>Public parent; Wing operates automated retail delivery aircraft and networks.</x:v>
      </x:c>
      <x:c r="H197" s="6" t="str">
        <x:v>https://wing.com/about</x:v>
      </x:c>
      <x:c r="I197" s="6" t="str">
        <x:v>https://wing.com/about</x:v>
      </x:c>
    </x:row>
    <x:row r="198" ht="15" hidden="0" customHeight="1">
      <x:c r="A198" s="12" t="n">
        <x:v>19</x:v>
      </x:c>
      <x:c r="B198" s="6" t="str">
        <x:v>Autonomous delivery drones</x:v>
      </x:c>
      <x:c r="C198" s="6" t="str">
        <x:v>Automation &amp; mobility</x:v>
      </x:c>
      <x:c r="D198" s="6" t="str">
        <x:v>Amazon / Prime Air</x:v>
      </x:c>
      <x:c r="E198" s="6" t="str">
        <x:v>Public</x:v>
      </x:c>
      <x:c r="F198" s="6" t="str">
        <x:v>NASDAQ:AMZN</x:v>
      </x:c>
      <x:c r="G198" s="6" t="str">
        <x:v>Public parent; drone delivery integrated with Amazon retail fulfilment.</x:v>
      </x:c>
      <x:c r="H198" s="6" t="str">
        <x:v>https://www.aboutamazon.com/news/tag/drone-delivery</x:v>
      </x:c>
      <x:c r="I198" s="6" t="str">
        <x:v>https://www.aboutamazon.com/news/tag/drone-delivery</x:v>
      </x:c>
    </x:row>
    <x:row r="199" ht="15" hidden="0" customHeight="1">
      <x:c r="A199" s="12" t="n">
        <x:v>19</x:v>
      </x:c>
      <x:c r="B199" s="6" t="str">
        <x:v>Autonomous delivery drones</x:v>
      </x:c>
      <x:c r="C199" s="6" t="str">
        <x:v>Automation &amp; mobility</x:v>
      </x:c>
      <x:c r="D199" s="6" t="str">
        <x:v>Walmart</x:v>
      </x:c>
      <x:c r="E199" s="6" t="str">
        <x:v>Public</x:v>
      </x:c>
      <x:c r="F199" s="6" t="str">
        <x:v>NASDAQ:WMT</x:v>
      </x:c>
      <x:c r="G199" s="6" t="str">
        <x:v>Retail demand and store network partner; indirect logistics exposure.</x:v>
      </x:c>
      <x:c r="H199" s="6" t="str">
        <x:v>https://corporate.walmart.com/</x:v>
      </x:c>
      <x:c r="I199" s="6" t="str">
        <x:v>https://corporate.walmart.com/</x:v>
      </x:c>
    </x:row>
    <x:row r="200" ht="15" hidden="0" customHeight="1">
      <x:c r="A200" s="12" t="n">
        <x:v>19</x:v>
      </x:c>
      <x:c r="B200" s="6" t="str">
        <x:v>Autonomous delivery drones</x:v>
      </x:c>
      <x:c r="C200" s="6" t="str">
        <x:v>Automation &amp; mobility</x:v>
      </x:c>
      <x:c r="D200" s="6" t="str">
        <x:v>UPS / Flight Forward</x:v>
      </x:c>
      <x:c r="E200" s="6" t="str">
        <x:v>Public</x:v>
      </x:c>
      <x:c r="F200" s="6" t="str">
        <x:v>NYSE:UPS</x:v>
      </x:c>
      <x:c r="G200" s="6" t="str">
        <x:v>Public parent; specialist drone delivery and logistics integration.</x:v>
      </x:c>
      <x:c r="H200" s="6" t="str">
        <x:v>https://about.ups.com/</x:v>
      </x:c>
      <x:c r="I200" s="6" t="str">
        <x:v>https://about.ups.com/</x:v>
      </x:c>
    </x:row>
    <x:row r="201" ht="15" hidden="0" customHeight="1">
      <x:c r="A201" s="12" t="n">
        <x:v>19</x:v>
      </x:c>
      <x:c r="B201" s="6" t="str">
        <x:v>Autonomous delivery drones</x:v>
      </x:c>
      <x:c r="C201" s="6" t="str">
        <x:v>Automation &amp; mobility</x:v>
      </x:c>
      <x:c r="D201" s="6" t="str">
        <x:v>DoorDash</x:v>
      </x:c>
      <x:c r="E201" s="6" t="str">
        <x:v>Public</x:v>
      </x:c>
      <x:c r="F201" s="6" t="str">
        <x:v>NASDAQ:DASH</x:v>
      </x:c>
      <x:c r="G201" s="6" t="str">
        <x:v>Customer ordering and delivery orchestration; partner rather than aircraft manufacturer.</x:v>
      </x:c>
      <x:c r="H201" s="6" t="str">
        <x:v>https://ir.doordash.com/</x:v>
      </x:c>
      <x:c r="I201" s="6" t="str">
        <x:v>https://ir.doordash.com/</x:v>
      </x:c>
    </x:row>
    <x:row r="202" ht="15" hidden="0" customHeight="1">
      <x:c r="A202" s="12" t="n">
        <x:v>19</x:v>
      </x:c>
      <x:c r="B202" s="6" t="str">
        <x:v>Autonomous delivery drones</x:v>
      </x:c>
      <x:c r="C202" s="6" t="str">
        <x:v>Automation &amp; mobility</x:v>
      </x:c>
      <x:c r="D202" s="6" t="str">
        <x:v>Meituan</x:v>
      </x:c>
      <x:c r="E202" s="6" t="str">
        <x:v>Public</x:v>
      </x:c>
      <x:c r="F202" s="6" t="str">
        <x:v>HKEX:3690</x:v>
      </x:c>
      <x:c r="G202" s="6" t="str">
        <x:v>Retail drone logistics and local commerce demand in China.</x:v>
      </x:c>
      <x:c r="H202" s="6" t="str">
        <x:v>https://about.meituan.com/en</x:v>
      </x:c>
      <x:c r="I202" s="6" t="str">
        <x:v>https://about.meituan.com/en</x:v>
      </x:c>
    </x:row>
    <x:row r="203" ht="15" hidden="0" customHeight="1">
      <x:c r="A203" s="12" t="n">
        <x:v>19</x:v>
      </x:c>
      <x:c r="B203" s="6" t="str">
        <x:v>Autonomous delivery drones</x:v>
      </x:c>
      <x:c r="C203" s="6" t="str">
        <x:v>Automation &amp; mobility</x:v>
      </x:c>
      <x:c r="D203" s="6" t="str">
        <x:v>Zipline</x:v>
      </x:c>
      <x:c r="E203" s="6" t="str">
        <x:v>Private</x:v>
      </x:c>
      <x:c r="F203" s="6" t="str"/>
      <x:c r="G203" s="6" t="str">
        <x:v>Autonomous aircraft and fulfilment systems for medical and retail delivery.</x:v>
      </x:c>
      <x:c r="H203" s="6" t="str">
        <x:v>https://www.flyzipline.com/</x:v>
      </x:c>
      <x:c r="I203" s="6" t="str">
        <x:v>https://www.flyzipline.com/</x:v>
      </x:c>
    </x:row>
    <x:row r="204" ht="15" hidden="0" customHeight="1">
      <x:c r="A204" s="12" t="n">
        <x:v>19</x:v>
      </x:c>
      <x:c r="B204" s="6" t="str">
        <x:v>Autonomous delivery drones</x:v>
      </x:c>
      <x:c r="C204" s="6" t="str">
        <x:v>Automation &amp; mobility</x:v>
      </x:c>
      <x:c r="D204" s="6" t="str">
        <x:v>Manna</x:v>
      </x:c>
      <x:c r="E204" s="6" t="str">
        <x:v>Private</x:v>
      </x:c>
      <x:c r="F204" s="6" t="str"/>
      <x:c r="G204" s="6" t="str">
        <x:v>Suburban food and retail delivery drone service.</x:v>
      </x:c>
      <x:c r="H204" s="6" t="str">
        <x:v>https://www.manna.aero/</x:v>
      </x:c>
      <x:c r="I204" s="6" t="str">
        <x:v>https://www.manna.aero/</x:v>
      </x:c>
    </x:row>
    <x:row r="205" ht="15" hidden="0" customHeight="1">
      <x:c r="A205" s="12" t="n">
        <x:v>19</x:v>
      </x:c>
      <x:c r="B205" s="6" t="str">
        <x:v>Autonomous delivery drones</x:v>
      </x:c>
      <x:c r="C205" s="6" t="str">
        <x:v>Automation &amp; mobility</x:v>
      </x:c>
      <x:c r="D205" s="6" t="str">
        <x:v>Flytrex</x:v>
      </x:c>
      <x:c r="E205" s="6" t="str">
        <x:v>Private</x:v>
      </x:c>
      <x:c r="F205" s="6" t="str"/>
      <x:c r="G205" s="6" t="str">
        <x:v>On-demand drone delivery network and aircraft integration.</x:v>
      </x:c>
      <x:c r="H205" s="6" t="str">
        <x:v>https://www.flytrex.com/</x:v>
      </x:c>
      <x:c r="I205" s="6" t="str">
        <x:v>https://www.flytrex.com/</x:v>
      </x:c>
    </x:row>
    <x:row r="206" ht="15" hidden="0" customHeight="1">
      <x:c r="A206" s="12" t="n">
        <x:v>19</x:v>
      </x:c>
      <x:c r="B206" s="6" t="str">
        <x:v>Autonomous delivery drones</x:v>
      </x:c>
      <x:c r="C206" s="6" t="str">
        <x:v>Automation &amp; mobility</x:v>
      </x:c>
      <x:c r="D206" s="6" t="str">
        <x:v>A2Z Drone Delivery</x:v>
      </x:c>
      <x:c r="E206" s="6" t="str">
        <x:v>Private</x:v>
      </x:c>
      <x:c r="F206" s="6" t="str"/>
      <x:c r="G206" s="6" t="str">
        <x:v>Delivery aircraft and payload-lowering equipment for operators.</x:v>
      </x:c>
      <x:c r="H206" s="6" t="str">
        <x:v>https://www.a2zdronedelivery.com/</x:v>
      </x:c>
      <x:c r="I206" s="6" t="str">
        <x:v>https://www.a2zdronedelivery.com/</x:v>
      </x:c>
    </x:row>
    <x:row r="207" ht="15" hidden="0" customHeight="1">
      <x:c r="A207" s="12" t="n">
        <x:v>20</x:v>
      </x:c>
      <x:c r="B207" s="6" t="str">
        <x:v>Software-defined vehicles</x:v>
      </x:c>
      <x:c r="C207" s="6" t="str">
        <x:v>Automation &amp; mobility</x:v>
      </x:c>
      <x:c r="D207" s="6" t="str">
        <x:v>BlackBerry / QNX</x:v>
      </x:c>
      <x:c r="E207" s="6" t="str">
        <x:v>Public</x:v>
      </x:c>
      <x:c r="F207" s="6" t="str">
        <x:v>NYSE:BB</x:v>
      </x:c>
      <x:c r="G207" s="6" t="str">
        <x:v>Safety-oriented vehicle operating systems and middleware.</x:v>
      </x:c>
      <x:c r="H207" s="6" t="str">
        <x:v>https://qnx.software/</x:v>
      </x:c>
      <x:c r="I207" s="6" t="str">
        <x:v>https://qnx.software/</x:v>
      </x:c>
    </x:row>
    <x:row r="208" ht="15" hidden="0" customHeight="1">
      <x:c r="A208" s="12" t="n">
        <x:v>20</x:v>
      </x:c>
      <x:c r="B208" s="6" t="str">
        <x:v>Software-defined vehicles</x:v>
      </x:c>
      <x:c r="C208" s="6" t="str">
        <x:v>Automation &amp; mobility</x:v>
      </x:c>
      <x:c r="D208" s="6" t="str">
        <x:v>Qualcomm</x:v>
      </x:c>
      <x:c r="E208" s="6" t="str">
        <x:v>Public</x:v>
      </x:c>
      <x:c r="F208" s="6" t="str">
        <x:v>NASDAQ:QCOM</x:v>
      </x:c>
      <x:c r="G208" s="6" t="str">
        <x:v>Cockpit, connectivity and driver-assistance compute platforms.</x:v>
      </x:c>
      <x:c r="H208" s="6" t="str">
        <x:v>https://www.qualcomm.com/products/automotive</x:v>
      </x:c>
      <x:c r="I208" s="6" t="str">
        <x:v>https://www.qualcomm.com/products/automotive</x:v>
      </x:c>
    </x:row>
    <x:row r="209" ht="15" hidden="0" customHeight="1">
      <x:c r="A209" s="12" t="n">
        <x:v>20</x:v>
      </x:c>
      <x:c r="B209" s="6" t="str">
        <x:v>Software-defined vehicles</x:v>
      </x:c>
      <x:c r="C209" s="6" t="str">
        <x:v>Automation &amp; mobility</x:v>
      </x:c>
      <x:c r="D209" s="6" t="str">
        <x:v>NVIDIA</x:v>
      </x:c>
      <x:c r="E209" s="6" t="str">
        <x:v>Public</x:v>
      </x:c>
      <x:c r="F209" s="6" t="str">
        <x:v>NASDAQ:NVDA</x:v>
      </x:c>
      <x:c r="G209" s="6" t="str">
        <x:v>Automotive computing and development software.</x:v>
      </x:c>
      <x:c r="H209" s="6" t="str">
        <x:v>https://www.nvidia.com/en-us/self-driving-cars/</x:v>
      </x:c>
      <x:c r="I209" s="6" t="str">
        <x:v>https://www.nvidia.com/en-us/self-driving-cars/</x:v>
      </x:c>
    </x:row>
    <x:row r="210" ht="15" hidden="0" customHeight="1">
      <x:c r="A210" s="12" t="n">
        <x:v>20</x:v>
      </x:c>
      <x:c r="B210" s="6" t="str">
        <x:v>Software-defined vehicles</x:v>
      </x:c>
      <x:c r="C210" s="6" t="str">
        <x:v>Automation &amp; mobility</x:v>
      </x:c>
      <x:c r="D210" s="6" t="str">
        <x:v>NXP Semiconductors</x:v>
      </x:c>
      <x:c r="E210" s="6" t="str">
        <x:v>Public</x:v>
      </x:c>
      <x:c r="F210" s="6" t="str">
        <x:v>NASDAQ:NXPI</x:v>
      </x:c>
      <x:c r="G210" s="6" t="str">
        <x:v>Vehicle processors, networks and zonal control electronics.</x:v>
      </x:c>
      <x:c r="H210" s="6" t="str">
        <x:v>https://www.nxp.com/applications/automotive:AUTOMOTIVE</x:v>
      </x:c>
      <x:c r="I210" s="6" t="str">
        <x:v>https://www.nxp.com/applications/automotive:AUTOMOTIVE</x:v>
      </x:c>
    </x:row>
    <x:row r="211" ht="15" hidden="0" customHeight="1">
      <x:c r="A211" s="12" t="n">
        <x:v>20</x:v>
      </x:c>
      <x:c r="B211" s="6" t="str">
        <x:v>Software-defined vehicles</x:v>
      </x:c>
      <x:c r="C211" s="6" t="str">
        <x:v>Automation &amp; mobility</x:v>
      </x:c>
      <x:c r="D211" s="6" t="str">
        <x:v>Arm</x:v>
      </x:c>
      <x:c r="E211" s="6" t="str">
        <x:v>Public</x:v>
      </x:c>
      <x:c r="F211" s="6" t="str">
        <x:v>NASDAQ:ARM</x:v>
      </x:c>
      <x:c r="G211" s="6" t="str">
        <x:v>Processor architecture licensed into automotive chips.</x:v>
      </x:c>
      <x:c r="H211" s="6" t="str">
        <x:v>https://www.arm.com/markets/automotive</x:v>
      </x:c>
      <x:c r="I211" s="6" t="str">
        <x:v>https://www.arm.com/markets/automotive</x:v>
      </x:c>
    </x:row>
    <x:row r="212" ht="15" hidden="0" customHeight="1">
      <x:c r="A212" s="12" t="n">
        <x:v>20</x:v>
      </x:c>
      <x:c r="B212" s="6" t="str">
        <x:v>Software-defined vehicles</x:v>
      </x:c>
      <x:c r="C212" s="6" t="str">
        <x:v>Automation &amp; mobility</x:v>
      </x:c>
      <x:c r="D212" s="6" t="str">
        <x:v>Rivian</x:v>
      </x:c>
      <x:c r="E212" s="6" t="str">
        <x:v>Public</x:v>
      </x:c>
      <x:c r="F212" s="6" t="str">
        <x:v>NASDAQ:RIVN</x:v>
      </x:c>
      <x:c r="G212" s="6" t="str">
        <x:v>Vehicle software and electrical architecture, including partnership licensing.</x:v>
      </x:c>
      <x:c r="H212" s="6" t="str">
        <x:v>https://rivian.com/</x:v>
      </x:c>
      <x:c r="I212" s="6" t="str">
        <x:v>https://rivian.com/</x:v>
      </x:c>
    </x:row>
    <x:row r="213" ht="15" hidden="0" customHeight="1">
      <x:c r="A213" s="12" t="n">
        <x:v>20</x:v>
      </x:c>
      <x:c r="B213" s="6" t="str">
        <x:v>Software-defined vehicles</x:v>
      </x:c>
      <x:c r="C213" s="6" t="str">
        <x:v>Automation &amp; mobility</x:v>
      </x:c>
      <x:c r="D213" s="6" t="str">
        <x:v>Volkswagen Group</x:v>
      </x:c>
      <x:c r="E213" s="6" t="str">
        <x:v>Public</x:v>
      </x:c>
      <x:c r="F213" s="6" t="str">
        <x:v>XETRA:VOW3</x:v>
      </x:c>
      <x:c r="G213" s="6" t="str">
        <x:v>Vehicle platform demand and software architecture deployment.</x:v>
      </x:c>
      <x:c r="H213" s="6" t="str">
        <x:v>https://www.volkswagen-group.com/</x:v>
      </x:c>
      <x:c r="I213" s="6" t="str">
        <x:v>https://www.volkswagen-group.com/</x:v>
      </x:c>
    </x:row>
    <x:row r="214" ht="15" hidden="0" customHeight="1">
      <x:c r="A214" s="12" t="n">
        <x:v>20</x:v>
      </x:c>
      <x:c r="B214" s="6" t="str">
        <x:v>Software-defined vehicles</x:v>
      </x:c>
      <x:c r="C214" s="6" t="str">
        <x:v>Automation &amp; mobility</x:v>
      </x:c>
      <x:c r="D214" s="6" t="str">
        <x:v>Bosch</x:v>
      </x:c>
      <x:c r="E214" s="6" t="str">
        <x:v>Private</x:v>
      </x:c>
      <x:c r="F214" s="6" t="str"/>
      <x:c r="G214" s="6" t="str">
        <x:v>Automotive controllers, middleware and software engineering.</x:v>
      </x:c>
      <x:c r="H214" s="6" t="str">
        <x:v>https://www.bosch-mobility.com/</x:v>
      </x:c>
      <x:c r="I214" s="6" t="str">
        <x:v>https://www.bosch-mobility.com/</x:v>
      </x:c>
    </x:row>
    <x:row r="215" ht="15" hidden="0" customHeight="1">
      <x:c r="A215" s="12" t="n">
        <x:v>20</x:v>
      </x:c>
      <x:c r="B215" s="6" t="str">
        <x:v>Software-defined vehicles</x:v>
      </x:c>
      <x:c r="C215" s="6" t="str">
        <x:v>Automation &amp; mobility</x:v>
      </x:c>
      <x:c r="D215" s="6" t="str">
        <x:v>Applied Intuition</x:v>
      </x:c>
      <x:c r="E215" s="6" t="str">
        <x:v>Private</x:v>
      </x:c>
      <x:c r="F215" s="6" t="str"/>
      <x:c r="G215" s="6" t="str">
        <x:v>Vehicle software, simulation and validation platform.</x:v>
      </x:c>
      <x:c r="H215" s="6" t="str">
        <x:v>https://www.appliedintuition.com/</x:v>
      </x:c>
      <x:c r="I215" s="6" t="str">
        <x:v>https://www.appliedintuition.com/</x:v>
      </x:c>
    </x:row>
    <x:row r="216" ht="15" hidden="0" customHeight="1">
      <x:c r="A216" s="12" t="n">
        <x:v>20</x:v>
      </x:c>
      <x:c r="B216" s="6" t="str">
        <x:v>Software-defined vehicles</x:v>
      </x:c>
      <x:c r="C216" s="6" t="str">
        <x:v>Automation &amp; mobility</x:v>
      </x:c>
      <x:c r="D216" s="6" t="str">
        <x:v>Vector Informatik</x:v>
      </x:c>
      <x:c r="E216" s="6" t="str">
        <x:v>Private</x:v>
      </x:c>
      <x:c r="F216" s="6" t="str"/>
      <x:c r="G216" s="6" t="str">
        <x:v>Automotive embedded software and development tools.</x:v>
      </x:c>
      <x:c r="H216" s="6" t="str">
        <x:v>https://www.vector.com/</x:v>
      </x:c>
      <x:c r="I216" s="6" t="str">
        <x:v>https://www.vector.com/</x:v>
      </x:c>
    </x:row>
    <x:row r="217" ht="15" hidden="0" customHeight="1">
      <x:c r="A217" s="12" t="n">
        <x:v>21</x:v>
      </x:c>
      <x:c r="B217" s="6" t="str">
        <x:v>AI diagnostics and clinical copilots</x:v>
      </x:c>
      <x:c r="C217" s="6" t="str">
        <x:v>Healthcare</x:v>
      </x:c>
      <x:c r="D217" s="6" t="str">
        <x:v>Microsoft</x:v>
      </x:c>
      <x:c r="E217" s="6" t="str">
        <x:v>Public</x:v>
      </x:c>
      <x:c r="F217" s="6" t="str">
        <x:v>NASDAQ:MSFT</x:v>
      </x:c>
      <x:c r="G217" s="6" t="str">
        <x:v>Clinical documentation, healthcare cloud and AI copilots.</x:v>
      </x:c>
      <x:c r="H217" s="6" t="str">
        <x:v>https://www.microsoft.com/en-us/industry/health/microsoft-cloud-for-healthcare</x:v>
      </x:c>
      <x:c r="I217" s="6" t="str">
        <x:v>https://www.microsoft.com/en-us/industry/health/microsoft-cloud-for-healthcare</x:v>
      </x:c>
    </x:row>
    <x:row r="218" ht="15" hidden="0" customHeight="1">
      <x:c r="A218" s="12" t="n">
        <x:v>21</x:v>
      </x:c>
      <x:c r="B218" s="6" t="str">
        <x:v>AI diagnostics and clinical copilots</x:v>
      </x:c>
      <x:c r="C218" s="6" t="str">
        <x:v>Healthcare</x:v>
      </x:c>
      <x:c r="D218" s="6" t="str">
        <x:v>Oracle</x:v>
      </x:c>
      <x:c r="E218" s="6" t="str">
        <x:v>Public</x:v>
      </x:c>
      <x:c r="F218" s="6" t="str">
        <x:v>NYSE:ORCL</x:v>
      </x:c>
      <x:c r="G218" s="6" t="str">
        <x:v>Electronic health records and embedded clinical AI.</x:v>
      </x:c>
      <x:c r="H218" s="6" t="str">
        <x:v>https://www.oracle.com/health/</x:v>
      </x:c>
      <x:c r="I218" s="6" t="str">
        <x:v>https://www.oracle.com/health/</x:v>
      </x:c>
    </x:row>
    <x:row r="219" ht="15" hidden="0" customHeight="1">
      <x:c r="A219" s="12" t="n">
        <x:v>21</x:v>
      </x:c>
      <x:c r="B219" s="6" t="str">
        <x:v>AI diagnostics and clinical copilots</x:v>
      </x:c>
      <x:c r="C219" s="6" t="str">
        <x:v>Healthcare</x:v>
      </x:c>
      <x:c r="D219" s="6" t="str">
        <x:v>GE HealthCare</x:v>
      </x:c>
      <x:c r="E219" s="6" t="str">
        <x:v>Public</x:v>
      </x:c>
      <x:c r="F219" s="6" t="str">
        <x:v>NASDAQ:GEHC</x:v>
      </x:c>
      <x:c r="G219" s="6" t="str">
        <x:v>Imaging devices, workflow software and diagnostic AI.</x:v>
      </x:c>
      <x:c r="H219" s="6" t="str">
        <x:v>https://www.gehealthcare.com/</x:v>
      </x:c>
      <x:c r="I219" s="6" t="str">
        <x:v>https://www.gehealthcare.com/</x:v>
      </x:c>
    </x:row>
    <x:row r="220" ht="15" hidden="0" customHeight="1">
      <x:c r="A220" s="12" t="n">
        <x:v>21</x:v>
      </x:c>
      <x:c r="B220" s="6" t="str">
        <x:v>AI diagnostics and clinical copilots</x:v>
      </x:c>
      <x:c r="C220" s="6" t="str">
        <x:v>Healthcare</x:v>
      </x:c>
      <x:c r="D220" s="6" t="str">
        <x:v>Siemens Healthineers</x:v>
      </x:c>
      <x:c r="E220" s="6" t="str">
        <x:v>Public</x:v>
      </x:c>
      <x:c r="F220" s="6" t="str">
        <x:v>XETRA:SHL</x:v>
      </x:c>
      <x:c r="G220" s="6" t="str">
        <x:v>Diagnostic imaging and clinical AI software.</x:v>
      </x:c>
      <x:c r="H220" s="6" t="str">
        <x:v>https://www.siemens-healthineers.com/</x:v>
      </x:c>
      <x:c r="I220" s="6" t="str">
        <x:v>https://www.siemens-healthineers.com/</x:v>
      </x:c>
    </x:row>
    <x:row r="221" ht="15" hidden="0" customHeight="1">
      <x:c r="A221" s="12" t="n">
        <x:v>21</x:v>
      </x:c>
      <x:c r="B221" s="6" t="str">
        <x:v>AI diagnostics and clinical copilots</x:v>
      </x:c>
      <x:c r="C221" s="6" t="str">
        <x:v>Healthcare</x:v>
      </x:c>
      <x:c r="D221" s="6" t="str">
        <x:v>Philips</x:v>
      </x:c>
      <x:c r="E221" s="6" t="str">
        <x:v>Public</x:v>
      </x:c>
      <x:c r="F221" s="6" t="str">
        <x:v>NYSE:PHG</x:v>
      </x:c>
      <x:c r="G221" s="6" t="str">
        <x:v>Imaging, monitoring and clinical informatics.</x:v>
      </x:c>
      <x:c r="H221" s="6" t="str">
        <x:v>https://www.philips.com/healthcare</x:v>
      </x:c>
      <x:c r="I221" s="6" t="str">
        <x:v>https://www.philips.com/healthcare</x:v>
      </x:c>
    </x:row>
    <x:row r="222" ht="15" hidden="0" customHeight="1">
      <x:c r="A222" s="12" t="n">
        <x:v>21</x:v>
      </x:c>
      <x:c r="B222" s="6" t="str">
        <x:v>AI diagnostics and clinical copilots</x:v>
      </x:c>
      <x:c r="C222" s="6" t="str">
        <x:v>Healthcare</x:v>
      </x:c>
      <x:c r="D222" s="6" t="str">
        <x:v>Tempus AI</x:v>
      </x:c>
      <x:c r="E222" s="6" t="str">
        <x:v>Public</x:v>
      </x:c>
      <x:c r="F222" s="6" t="str">
        <x:v>NASDAQ:TEM</x:v>
      </x:c>
      <x:c r="G222" s="6" t="str">
        <x:v>Clinical data, oncology diagnostics and AI applications.</x:v>
      </x:c>
      <x:c r="H222" s="6" t="str">
        <x:v>https://www.tempus.com/</x:v>
      </x:c>
      <x:c r="I222" s="6" t="str">
        <x:v>https://www.tempus.com/</x:v>
      </x:c>
    </x:row>
    <x:row r="223" ht="15" hidden="0" customHeight="1">
      <x:c r="A223" s="12" t="n">
        <x:v>21</x:v>
      </x:c>
      <x:c r="B223" s="6" t="str">
        <x:v>AI diagnostics and clinical copilots</x:v>
      </x:c>
      <x:c r="C223" s="6" t="str">
        <x:v>Healthcare</x:v>
      </x:c>
      <x:c r="D223" s="6" t="str">
        <x:v>Aidoc</x:v>
      </x:c>
      <x:c r="E223" s="6" t="str">
        <x:v>Private</x:v>
      </x:c>
      <x:c r="F223" s="6" t="str"/>
      <x:c r="G223" s="6" t="str">
        <x:v>Clinical imaging AI and hospital deployment platform.</x:v>
      </x:c>
      <x:c r="H223" s="6" t="str">
        <x:v>https://www.aidoc.com/</x:v>
      </x:c>
      <x:c r="I223" s="6" t="str">
        <x:v>https://www.aidoc.com/</x:v>
      </x:c>
    </x:row>
    <x:row r="224" ht="15" hidden="0" customHeight="1">
      <x:c r="A224" s="12" t="n">
        <x:v>21</x:v>
      </x:c>
      <x:c r="B224" s="6" t="str">
        <x:v>AI diagnostics and clinical copilots</x:v>
      </x:c>
      <x:c r="C224" s="6" t="str">
        <x:v>Healthcare</x:v>
      </x:c>
      <x:c r="D224" s="6" t="str">
        <x:v>Abridge</x:v>
      </x:c>
      <x:c r="E224" s="6" t="str">
        <x:v>Private</x:v>
      </x:c>
      <x:c r="F224" s="6" t="str"/>
      <x:c r="G224" s="6" t="str">
        <x:v>Clinician-reviewed ambient documentation.</x:v>
      </x:c>
      <x:c r="H224" s="6" t="str">
        <x:v>https://www.abridge.com/</x:v>
      </x:c>
      <x:c r="I224" s="6" t="str">
        <x:v>https://www.abridge.com/</x:v>
      </x:c>
    </x:row>
    <x:row r="225" ht="15" hidden="0" customHeight="1">
      <x:c r="A225" s="12" t="n">
        <x:v>21</x:v>
      </x:c>
      <x:c r="B225" s="6" t="str">
        <x:v>AI diagnostics and clinical copilots</x:v>
      </x:c>
      <x:c r="C225" s="6" t="str">
        <x:v>Healthcare</x:v>
      </x:c>
      <x:c r="D225" s="6" t="str">
        <x:v>Ambience Healthcare</x:v>
      </x:c>
      <x:c r="E225" s="6" t="str">
        <x:v>Private</x:v>
      </x:c>
      <x:c r="F225" s="6" t="str"/>
      <x:c r="G225" s="6" t="str">
        <x:v>Ambient documentation and clinical workflow support.</x:v>
      </x:c>
      <x:c r="H225" s="6" t="str">
        <x:v>https://www.ambiencehealthcare.com/</x:v>
      </x:c>
      <x:c r="I225" s="6" t="str">
        <x:v>https://www.ambiencehealthcare.com/</x:v>
      </x:c>
    </x:row>
    <x:row r="226" ht="15" hidden="0" customHeight="1">
      <x:c r="A226" s="12" t="n">
        <x:v>21</x:v>
      </x:c>
      <x:c r="B226" s="6" t="str">
        <x:v>AI diagnostics and clinical copilots</x:v>
      </x:c>
      <x:c r="C226" s="6" t="str">
        <x:v>Healthcare</x:v>
      </x:c>
      <x:c r="D226" s="6" t="str">
        <x:v>Nabla</x:v>
      </x:c>
      <x:c r="E226" s="6" t="str">
        <x:v>Private</x:v>
      </x:c>
      <x:c r="F226" s="6" t="str"/>
      <x:c r="G226" s="6" t="str">
        <x:v>Ambient clinical notes and assistant workflows.</x:v>
      </x:c>
      <x:c r="H226" s="6" t="str">
        <x:v>https://www.nabla.com/</x:v>
      </x:c>
      <x:c r="I226" s="6" t="str">
        <x:v>https://www.nabla.com/</x:v>
      </x:c>
    </x:row>
    <x:row r="227" ht="15" hidden="0" customHeight="1">
      <x:c r="A227" s="12" t="n">
        <x:v>22</x:v>
      </x:c>
      <x:c r="B227" s="6" t="str">
        <x:v>Precision oncology and liquid biopsies</x:v>
      </x:c>
      <x:c r="C227" s="6" t="str">
        <x:v>Healthcare</x:v>
      </x:c>
      <x:c r="D227" s="6" t="str">
        <x:v>Guardant Health</x:v>
      </x:c>
      <x:c r="E227" s="6" t="str">
        <x:v>Public</x:v>
      </x:c>
      <x:c r="F227" s="6" t="str">
        <x:v>NASDAQ:GH</x:v>
      </x:c>
      <x:c r="G227" s="6" t="str">
        <x:v>Liquid biopsies for therapy selection, monitoring and screening.</x:v>
      </x:c>
      <x:c r="H227" s="6" t="str">
        <x:v>https://www.guardanthealth.com/</x:v>
      </x:c>
      <x:c r="I227" s="6" t="str">
        <x:v>https://www.guardanthealth.com/</x:v>
      </x:c>
    </x:row>
    <x:row r="228" ht="15" hidden="0" customHeight="1">
      <x:c r="A228" s="12" t="n">
        <x:v>22</x:v>
      </x:c>
      <x:c r="B228" s="6" t="str">
        <x:v>Precision oncology and liquid biopsies</x:v>
      </x:c>
      <x:c r="C228" s="6" t="str">
        <x:v>Healthcare</x:v>
      </x:c>
      <x:c r="D228" s="6" t="str">
        <x:v>Natera</x:v>
      </x:c>
      <x:c r="E228" s="6" t="str">
        <x:v>Public</x:v>
      </x:c>
      <x:c r="F228" s="6" t="str">
        <x:v>NASDAQ:NTRA</x:v>
      </x:c>
      <x:c r="G228" s="6" t="str">
        <x:v>Personalised circulating tumour DNA monitoring.</x:v>
      </x:c>
      <x:c r="H228" s="6" t="str">
        <x:v>https://www.natera.com/oncology/</x:v>
      </x:c>
      <x:c r="I228" s="6" t="str">
        <x:v>https://www.natera.com/oncology/</x:v>
      </x:c>
    </x:row>
    <x:row r="229" ht="15" hidden="0" customHeight="1">
      <x:c r="A229" s="12" t="n">
        <x:v>22</x:v>
      </x:c>
      <x:c r="B229" s="6" t="str">
        <x:v>Precision oncology and liquid biopsies</x:v>
      </x:c>
      <x:c r="C229" s="6" t="str">
        <x:v>Healthcare</x:v>
      </x:c>
      <x:c r="D229" s="6" t="str">
        <x:v>Tempus AI</x:v>
      </x:c>
      <x:c r="E229" s="6" t="str">
        <x:v>Public</x:v>
      </x:c>
      <x:c r="F229" s="6" t="str">
        <x:v>NASDAQ:TEM</x:v>
      </x:c>
      <x:c r="G229" s="6" t="str">
        <x:v>Molecular diagnostics, clinical data and treatment matching.</x:v>
      </x:c>
      <x:c r="H229" s="6" t="str">
        <x:v>https://www.tempus.com/</x:v>
      </x:c>
      <x:c r="I229" s="6" t="str">
        <x:v>https://www.tempus.com/</x:v>
      </x:c>
    </x:row>
    <x:row r="230" ht="15" hidden="0" customHeight="1">
      <x:c r="A230" s="12" t="n">
        <x:v>22</x:v>
      </x:c>
      <x:c r="B230" s="6" t="str">
        <x:v>Precision oncology and liquid biopsies</x:v>
      </x:c>
      <x:c r="C230" s="6" t="str">
        <x:v>Healthcare</x:v>
      </x:c>
      <x:c r="D230" s="6" t="str">
        <x:v>Caris Life Sciences</x:v>
      </x:c>
      <x:c r="E230" s="6" t="str">
        <x:v>Public</x:v>
      </x:c>
      <x:c r="F230" s="6" t="str">
        <x:v>NASDAQ:CAI</x:v>
      </x:c>
      <x:c r="G230" s="6" t="str">
        <x:v>Tumour profiling and molecular intelligence.</x:v>
      </x:c>
      <x:c r="H230" s="6" t="str">
        <x:v>https://investor.carislifesciences.com/shareholder-services/faqs</x:v>
      </x:c>
      <x:c r="I230" s="6" t="str">
        <x:v>https://investor.carislifesciences.com/shareholder-services/faqs</x:v>
      </x:c>
    </x:row>
    <x:row r="231" ht="15" hidden="0" customHeight="1">
      <x:c r="A231" s="12" t="n">
        <x:v>22</x:v>
      </x:c>
      <x:c r="B231" s="6" t="str">
        <x:v>Precision oncology and liquid biopsies</x:v>
      </x:c>
      <x:c r="C231" s="6" t="str">
        <x:v>Healthcare</x:v>
      </x:c>
      <x:c r="D231" s="6" t="str">
        <x:v>GRAIL</x:v>
      </x:c>
      <x:c r="E231" s="6" t="str">
        <x:v>Public</x:v>
      </x:c>
      <x:c r="F231" s="6" t="str">
        <x:v>NASDAQ:GRAL</x:v>
      </x:c>
      <x:c r="G231" s="6" t="str">
        <x:v>Blood-based multi-cancer detection; outcome and reimbursement exposure.</x:v>
      </x:c>
      <x:c r="H231" s="6" t="str">
        <x:v>https://grail.com/</x:v>
      </x:c>
      <x:c r="I231" s="6" t="str">
        <x:v>https://grail.com/</x:v>
      </x:c>
    </x:row>
    <x:row r="232" ht="15" hidden="0" customHeight="1">
      <x:c r="A232" s="12" t="n">
        <x:v>22</x:v>
      </x:c>
      <x:c r="B232" s="6" t="str">
        <x:v>Precision oncology and liquid biopsies</x:v>
      </x:c>
      <x:c r="C232" s="6" t="str">
        <x:v>Healthcare</x:v>
      </x:c>
      <x:c r="D232" s="6" t="str">
        <x:v>Freenome</x:v>
      </x:c>
      <x:c r="E232" s="6" t="str">
        <x:v>Public</x:v>
      </x:c>
      <x:c r="F232" s="6" t="str">
        <x:v>NASDAQ:FRNM</x:v>
      </x:c>
      <x:c r="G232" s="6" t="str">
        <x:v>Blood-based early cancer detection.</x:v>
      </x:c>
      <x:c r="H232" s="6" t="str">
        <x:v>https://investors.freenome.com/shareholder-services/investor-faqs</x:v>
      </x:c>
      <x:c r="I232" s="6" t="str">
        <x:v>https://investors.freenome.com/shareholder-services/investor-faqs</x:v>
      </x:c>
    </x:row>
    <x:row r="233" ht="15" hidden="0" customHeight="1">
      <x:c r="A233" s="12" t="n">
        <x:v>22</x:v>
      </x:c>
      <x:c r="B233" s="6" t="str">
        <x:v>Precision oncology and liquid biopsies</x:v>
      </x:c>
      <x:c r="C233" s="6" t="str">
        <x:v>Healthcare</x:v>
      </x:c>
      <x:c r="D233" s="6" t="str">
        <x:v>Roche / Foundation Medicine</x:v>
      </x:c>
      <x:c r="E233" s="6" t="str">
        <x:v>Public</x:v>
      </x:c>
      <x:c r="F233" s="6" t="str">
        <x:v>SIX:ROG</x:v>
      </x:c>
      <x:c r="G233" s="6" t="str">
        <x:v>Public parent; comprehensive genomic profiling and companion diagnostics.</x:v>
      </x:c>
      <x:c r="H233" s="6" t="str">
        <x:v>https://www.foundationmedicine.com/</x:v>
      </x:c>
      <x:c r="I233" s="6" t="str">
        <x:v>https://www.foundationmedicine.com/</x:v>
      </x:c>
    </x:row>
    <x:row r="234" ht="15" hidden="0" customHeight="1">
      <x:c r="A234" s="12" t="n">
        <x:v>22</x:v>
      </x:c>
      <x:c r="B234" s="6" t="str">
        <x:v>Precision oncology and liquid biopsies</x:v>
      </x:c>
      <x:c r="C234" s="6" t="str">
        <x:v>Healthcare</x:v>
      </x:c>
      <x:c r="D234" s="6" t="str">
        <x:v>Illumina</x:v>
      </x:c>
      <x:c r="E234" s="6" t="str">
        <x:v>Public</x:v>
      </x:c>
      <x:c r="F234" s="6" t="str">
        <x:v>NASDAQ:ILMN</x:v>
      </x:c>
      <x:c r="G234" s="6" t="str">
        <x:v>Sequencing instruments and consumables; supplier exposure.</x:v>
      </x:c>
      <x:c r="H234" s="6" t="str">
        <x:v>https://www.illumina.com/</x:v>
      </x:c>
      <x:c r="I234" s="6" t="str">
        <x:v>https://www.illumina.com/</x:v>
      </x:c>
    </x:row>
    <x:row r="235" ht="15" hidden="0" customHeight="1">
      <x:c r="A235" s="12" t="n">
        <x:v>22</x:v>
      </x:c>
      <x:c r="B235" s="6" t="str">
        <x:v>Precision oncology and liquid biopsies</x:v>
      </x:c>
      <x:c r="C235" s="6" t="str">
        <x:v>Healthcare</x:v>
      </x:c>
      <x:c r="D235" s="6" t="str">
        <x:v>DELFI Diagnostics</x:v>
      </x:c>
      <x:c r="E235" s="6" t="str">
        <x:v>Private</x:v>
      </x:c>
      <x:c r="F235" s="6" t="str"/>
      <x:c r="G235" s="6" t="str">
        <x:v>Fragmentomics-based blood testing for early detection.</x:v>
      </x:c>
      <x:c r="H235" s="6" t="str">
        <x:v>https://delfidiagnostics.com/about-us/</x:v>
      </x:c>
      <x:c r="I235" s="6" t="str">
        <x:v>https://delfidiagnostics.com/about-us/</x:v>
      </x:c>
    </x:row>
    <x:row r="236" ht="15" hidden="0" customHeight="1">
      <x:c r="A236" s="12" t="n">
        <x:v>22</x:v>
      </x:c>
      <x:c r="B236" s="6" t="str">
        <x:v>Precision oncology and liquid biopsies</x:v>
      </x:c>
      <x:c r="C236" s="6" t="str">
        <x:v>Healthcare</x:v>
      </x:c>
      <x:c r="D236" s="6" t="str">
        <x:v>Sysmex</x:v>
      </x:c>
      <x:c r="E236" s="6" t="str">
        <x:v>Public</x:v>
      </x:c>
      <x:c r="F236" s="6" t="str">
        <x:v>TYO:6869</x:v>
      </x:c>
      <x:c r="G236" s="6" t="str">
        <x:v>Diagnostics platforms, assays and molecular testing infrastructure.</x:v>
      </x:c>
      <x:c r="H236" s="6" t="str">
        <x:v>https://www.sysmex.co.jp/en/</x:v>
      </x:c>
      <x:c r="I236" s="6" t="str">
        <x:v>https://www.sysmex.co.jp/en/</x:v>
      </x:c>
    </x:row>
    <x:row r="237" ht="15" hidden="0" customHeight="1">
      <x:c r="A237" s="12" t="n">
        <x:v>23</x:v>
      </x:c>
      <x:c r="B237" s="6" t="str">
        <x:v>Gene-editing therapies</x:v>
      </x:c>
      <x:c r="C237" s="6" t="str">
        <x:v>Healthcare</x:v>
      </x:c>
      <x:c r="D237" s="6" t="str">
        <x:v>Vertex</x:v>
      </x:c>
      <x:c r="E237" s="6" t="str">
        <x:v>Public</x:v>
      </x:c>
      <x:c r="F237" s="6" t="str">
        <x:v>NASDAQ:VRTX</x:v>
      </x:c>
      <x:c r="G237" s="6" t="str">
        <x:v>Commercial delivery and development of Casgevy.</x:v>
      </x:c>
      <x:c r="H237" s="6" t="str">
        <x:v>https://www.vrtx.com/</x:v>
      </x:c>
      <x:c r="I237" s="6" t="str">
        <x:v>https://www.vrtx.com/</x:v>
      </x:c>
    </x:row>
    <x:row r="238" ht="15" hidden="0" customHeight="1">
      <x:c r="A238" s="12" t="n">
        <x:v>23</x:v>
      </x:c>
      <x:c r="B238" s="6" t="str">
        <x:v>Gene-editing therapies</x:v>
      </x:c>
      <x:c r="C238" s="6" t="str">
        <x:v>Healthcare</x:v>
      </x:c>
      <x:c r="D238" s="6" t="str">
        <x:v>CRISPR Therapeutics</x:v>
      </x:c>
      <x:c r="E238" s="6" t="str">
        <x:v>Public</x:v>
      </x:c>
      <x:c r="F238" s="6" t="str">
        <x:v>NASDAQ:CRSP</x:v>
      </x:c>
      <x:c r="G238" s="6" t="str">
        <x:v>Gene-editing medicines and Casgevy economics.</x:v>
      </x:c>
      <x:c r="H238" s="6" t="str">
        <x:v>https://crisprtx.com/</x:v>
      </x:c>
      <x:c r="I238" s="6" t="str">
        <x:v>https://crisprtx.com/</x:v>
      </x:c>
    </x:row>
    <x:row r="239" ht="15" hidden="0" customHeight="1">
      <x:c r="A239" s="12" t="n">
        <x:v>23</x:v>
      </x:c>
      <x:c r="B239" s="6" t="str">
        <x:v>Gene-editing therapies</x:v>
      </x:c>
      <x:c r="C239" s="6" t="str">
        <x:v>Healthcare</x:v>
      </x:c>
      <x:c r="D239" s="6" t="str">
        <x:v>Intellia Therapeutics</x:v>
      </x:c>
      <x:c r="E239" s="6" t="str">
        <x:v>Public</x:v>
      </x:c>
      <x:c r="F239" s="6" t="str">
        <x:v>NASDAQ:NTLA</x:v>
      </x:c>
      <x:c r="G239" s="6" t="str">
        <x:v>In-vivo genome-editing programmes.</x:v>
      </x:c>
      <x:c r="H239" s="6" t="str">
        <x:v>https://www.intelliatx.com/</x:v>
      </x:c>
      <x:c r="I239" s="6" t="str">
        <x:v>https://www.intelliatx.com/</x:v>
      </x:c>
    </x:row>
    <x:row r="240" ht="15" hidden="0" customHeight="1">
      <x:c r="A240" s="12" t="n">
        <x:v>23</x:v>
      </x:c>
      <x:c r="B240" s="6" t="str">
        <x:v>Gene-editing therapies</x:v>
      </x:c>
      <x:c r="C240" s="6" t="str">
        <x:v>Healthcare</x:v>
      </x:c>
      <x:c r="D240" s="6" t="str">
        <x:v>Beam Therapeutics</x:v>
      </x:c>
      <x:c r="E240" s="6" t="str">
        <x:v>Public</x:v>
      </x:c>
      <x:c r="F240" s="6" t="str">
        <x:v>NASDAQ:BEAM</x:v>
      </x:c>
      <x:c r="G240" s="6" t="str">
        <x:v>Base-editing therapies.</x:v>
      </x:c>
      <x:c r="H240" s="6" t="str">
        <x:v>https://beamtx.com/</x:v>
      </x:c>
      <x:c r="I240" s="6" t="str">
        <x:v>https://beamtx.com/</x:v>
      </x:c>
    </x:row>
    <x:row r="241" ht="15" hidden="0" customHeight="1">
      <x:c r="A241" s="12" t="n">
        <x:v>23</x:v>
      </x:c>
      <x:c r="B241" s="6" t="str">
        <x:v>Gene-editing therapies</x:v>
      </x:c>
      <x:c r="C241" s="6" t="str">
        <x:v>Healthcare</x:v>
      </x:c>
      <x:c r="D241" s="6" t="str">
        <x:v>Prime Medicine</x:v>
      </x:c>
      <x:c r="E241" s="6" t="str">
        <x:v>Public</x:v>
      </x:c>
      <x:c r="F241" s="6" t="str">
        <x:v>NASDAQ:PRME</x:v>
      </x:c>
      <x:c r="G241" s="6" t="str">
        <x:v>Prime-editing programmes.</x:v>
      </x:c>
      <x:c r="H241" s="6" t="str">
        <x:v>https://primemedicine.com/</x:v>
      </x:c>
      <x:c r="I241" s="6" t="str">
        <x:v>https://primemedicine.com/</x:v>
      </x:c>
    </x:row>
    <x:row r="242" ht="15" hidden="0" customHeight="1">
      <x:c r="A242" s="12" t="n">
        <x:v>23</x:v>
      </x:c>
      <x:c r="B242" s="6" t="str">
        <x:v>Gene-editing therapies</x:v>
      </x:c>
      <x:c r="C242" s="6" t="str">
        <x:v>Healthcare</x:v>
      </x:c>
      <x:c r="D242" s="6" t="str">
        <x:v>Regeneron</x:v>
      </x:c>
      <x:c r="E242" s="6" t="str">
        <x:v>Public</x:v>
      </x:c>
      <x:c r="F242" s="6" t="str">
        <x:v>NASDAQ:REGN</x:v>
      </x:c>
      <x:c r="G242" s="6" t="str">
        <x:v>Gene-editing partnerships and delivery research; diversified exposure.</x:v>
      </x:c>
      <x:c r="H242" s="6" t="str">
        <x:v>https://www.regeneron.com/</x:v>
      </x:c>
      <x:c r="I242" s="6" t="str">
        <x:v>https://www.regeneron.com/</x:v>
      </x:c>
    </x:row>
    <x:row r="243" ht="15" hidden="0" customHeight="1">
      <x:c r="A243" s="12" t="n">
        <x:v>23</x:v>
      </x:c>
      <x:c r="B243" s="6" t="str">
        <x:v>Gene-editing therapies</x:v>
      </x:c>
      <x:c r="C243" s="6" t="str">
        <x:v>Healthcare</x:v>
      </x:c>
      <x:c r="D243" s="6" t="str">
        <x:v>Eli Lilly</x:v>
      </x:c>
      <x:c r="E243" s="6" t="str">
        <x:v>Public</x:v>
      </x:c>
      <x:c r="F243" s="6" t="str">
        <x:v>NYSE:LLY</x:v>
      </x:c>
      <x:c r="G243" s="6" t="str">
        <x:v>Public parent of acquired Verve; cardiovascular base-editing development.</x:v>
      </x:c>
      <x:c r="H243" s="6" t="str">
        <x:v>https://www.lilly.com/</x:v>
      </x:c>
      <x:c r="I243" s="6" t="str">
        <x:v>https://www.lilly.com/</x:v>
      </x:c>
    </x:row>
    <x:row r="244" ht="15" hidden="0" customHeight="1">
      <x:c r="A244" s="12" t="n">
        <x:v>23</x:v>
      </x:c>
      <x:c r="B244" s="6" t="str">
        <x:v>Gene-editing therapies</x:v>
      </x:c>
      <x:c r="C244" s="6" t="str">
        <x:v>Healthcare</x:v>
      </x:c>
      <x:c r="D244" s="6" t="str">
        <x:v>Tessera Therapeutics</x:v>
      </x:c>
      <x:c r="E244" s="6" t="str">
        <x:v>Private</x:v>
      </x:c>
      <x:c r="F244" s="6" t="str"/>
      <x:c r="G244" s="6" t="str">
        <x:v>Gene-writing and in-vivo genetic medicine platforms.</x:v>
      </x:c>
      <x:c r="H244" s="6" t="str">
        <x:v>https://www.tesseratherapeutics.com/</x:v>
      </x:c>
      <x:c r="I244" s="6" t="str">
        <x:v>https://www.tesseratherapeutics.com/</x:v>
      </x:c>
    </x:row>
    <x:row r="245" ht="15" hidden="0" customHeight="1">
      <x:c r="A245" s="12" t="n">
        <x:v>23</x:v>
      </x:c>
      <x:c r="B245" s="6" t="str">
        <x:v>Gene-editing therapies</x:v>
      </x:c>
      <x:c r="C245" s="6" t="str">
        <x:v>Healthcare</x:v>
      </x:c>
      <x:c r="D245" s="6" t="str">
        <x:v>Arbor Biotechnologies</x:v>
      </x:c>
      <x:c r="E245" s="6" t="str">
        <x:v>Private</x:v>
      </x:c>
      <x:c r="F245" s="6" t="str"/>
      <x:c r="G245" s="6" t="str">
        <x:v>Gene-editing systems and therapeutic development.</x:v>
      </x:c>
      <x:c r="H245" s="6" t="str">
        <x:v>https://arbor.bio/</x:v>
      </x:c>
      <x:c r="I245" s="6" t="str">
        <x:v>https://arbor.bio/</x:v>
      </x:c>
    </x:row>
    <x:row r="246" ht="15" hidden="0" customHeight="1">
      <x:c r="A246" s="12" t="n">
        <x:v>23</x:v>
      </x:c>
      <x:c r="B246" s="6" t="str">
        <x:v>Gene-editing therapies</x:v>
      </x:c>
      <x:c r="C246" s="6" t="str">
        <x:v>Healthcare</x:v>
      </x:c>
      <x:c r="D246" s="6" t="str">
        <x:v>ElevateBio</x:v>
      </x:c>
      <x:c r="E246" s="6" t="str">
        <x:v>Private</x:v>
      </x:c>
      <x:c r="F246" s="6" t="str"/>
      <x:c r="G246" s="6" t="str">
        <x:v>Editing technology and advanced-therapy manufacturing services.</x:v>
      </x:c>
      <x:c r="H246" s="6" t="str">
        <x:v>https://www.elevate.bio/</x:v>
      </x:c>
      <x:c r="I246" s="6" t="str">
        <x:v>https://www.elevate.bio/</x:v>
      </x:c>
    </x:row>
    <x:row r="247" ht="15" hidden="0" customHeight="1">
      <x:c r="A247" s="12" t="n">
        <x:v>24</x:v>
      </x:c>
      <x:c r="B247" s="6" t="str">
        <x:v>RNA therapeutics and next-generation vaccines</x:v>
      </x:c>
      <x:c r="C247" s="6" t="str">
        <x:v>Healthcare</x:v>
      </x:c>
      <x:c r="D247" s="6" t="str">
        <x:v>Alnylam</x:v>
      </x:c>
      <x:c r="E247" s="6" t="str">
        <x:v>Public</x:v>
      </x:c>
      <x:c r="F247" s="6" t="str">
        <x:v>NASDAQ:ALNY</x:v>
      </x:c>
      <x:c r="G247" s="6" t="str">
        <x:v>Commercial RNA interference medicines.</x:v>
      </x:c>
      <x:c r="H247" s="6" t="str">
        <x:v>https://www.alnylam.com/</x:v>
      </x:c>
      <x:c r="I247" s="6" t="str">
        <x:v>https://www.alnylam.com/</x:v>
      </x:c>
    </x:row>
    <x:row r="248" ht="15" hidden="0" customHeight="1">
      <x:c r="A248" s="12" t="n">
        <x:v>24</x:v>
      </x:c>
      <x:c r="B248" s="6" t="str">
        <x:v>RNA therapeutics and next-generation vaccines</x:v>
      </x:c>
      <x:c r="C248" s="6" t="str">
        <x:v>Healthcare</x:v>
      </x:c>
      <x:c r="D248" s="6" t="str">
        <x:v>Moderna</x:v>
      </x:c>
      <x:c r="E248" s="6" t="str">
        <x:v>Public</x:v>
      </x:c>
      <x:c r="F248" s="6" t="str">
        <x:v>NASDAQ:MRNA</x:v>
      </x:c>
      <x:c r="G248" s="6" t="str">
        <x:v>mRNA vaccines and therapeutic development.</x:v>
      </x:c>
      <x:c r="H248" s="6" t="str">
        <x:v>https://www.modernatx.com/</x:v>
      </x:c>
      <x:c r="I248" s="6" t="str">
        <x:v>https://www.modernatx.com/</x:v>
      </x:c>
    </x:row>
    <x:row r="249" ht="15" hidden="0" customHeight="1">
      <x:c r="A249" s="12" t="n">
        <x:v>24</x:v>
      </x:c>
      <x:c r="B249" s="6" t="str">
        <x:v>RNA therapeutics and next-generation vaccines</x:v>
      </x:c>
      <x:c r="C249" s="6" t="str">
        <x:v>Healthcare</x:v>
      </x:c>
      <x:c r="D249" s="6" t="str">
        <x:v>BioNTech</x:v>
      </x:c>
      <x:c r="E249" s="6" t="str">
        <x:v>Public</x:v>
      </x:c>
      <x:c r="F249" s="6" t="str">
        <x:v>NASDAQ:BNTX</x:v>
      </x:c>
      <x:c r="G249" s="6" t="str">
        <x:v>mRNA vaccines and oncology immunotherapies.</x:v>
      </x:c>
      <x:c r="H249" s="6" t="str">
        <x:v>https://www.biontech.com/</x:v>
      </x:c>
      <x:c r="I249" s="6" t="str">
        <x:v>https://www.biontech.com/</x:v>
      </x:c>
    </x:row>
    <x:row r="250" ht="15" hidden="0" customHeight="1">
      <x:c r="A250" s="12" t="n">
        <x:v>24</x:v>
      </x:c>
      <x:c r="B250" s="6" t="str">
        <x:v>RNA therapeutics and next-generation vaccines</x:v>
      </x:c>
      <x:c r="C250" s="6" t="str">
        <x:v>Healthcare</x:v>
      </x:c>
      <x:c r="D250" s="6" t="str">
        <x:v>Pfizer</x:v>
      </x:c>
      <x:c r="E250" s="6" t="str">
        <x:v>Public</x:v>
      </x:c>
      <x:c r="F250" s="6" t="str">
        <x:v>NYSE:PFE</x:v>
      </x:c>
      <x:c r="G250" s="6" t="str">
        <x:v>Vaccine commercialisation and RNA-related research.</x:v>
      </x:c>
      <x:c r="H250" s="6" t="str">
        <x:v>https://www.pfizer.com/</x:v>
      </x:c>
      <x:c r="I250" s="6" t="str">
        <x:v>https://www.pfizer.com/</x:v>
      </x:c>
    </x:row>
    <x:row r="251" ht="15" hidden="0" customHeight="1">
      <x:c r="A251" s="12" t="n">
        <x:v>24</x:v>
      </x:c>
      <x:c r="B251" s="6" t="str">
        <x:v>RNA therapeutics and next-generation vaccines</x:v>
      </x:c>
      <x:c r="C251" s="6" t="str">
        <x:v>Healthcare</x:v>
      </x:c>
      <x:c r="D251" s="6" t="str">
        <x:v>Ionis Pharmaceuticals</x:v>
      </x:c>
      <x:c r="E251" s="6" t="str">
        <x:v>Public</x:v>
      </x:c>
      <x:c r="F251" s="6" t="str">
        <x:v>NASDAQ:IONS</x:v>
      </x:c>
      <x:c r="G251" s="6" t="str">
        <x:v>Antisense and other RNA-targeted medicines.</x:v>
      </x:c>
      <x:c r="H251" s="6" t="str">
        <x:v>https://www.ionis.com/</x:v>
      </x:c>
      <x:c r="I251" s="6" t="str">
        <x:v>https://www.ionis.com/</x:v>
      </x:c>
    </x:row>
    <x:row r="252" ht="15" hidden="0" customHeight="1">
      <x:c r="A252" s="12" t="n">
        <x:v>24</x:v>
      </x:c>
      <x:c r="B252" s="6" t="str">
        <x:v>RNA therapeutics and next-generation vaccines</x:v>
      </x:c>
      <x:c r="C252" s="6" t="str">
        <x:v>Healthcare</x:v>
      </x:c>
      <x:c r="D252" s="6" t="str">
        <x:v>Novartis</x:v>
      </x:c>
      <x:c r="E252" s="6" t="str">
        <x:v>Public</x:v>
      </x:c>
      <x:c r="F252" s="6" t="str">
        <x:v>NYSE:NVS</x:v>
      </x:c>
      <x:c r="G252" s="6" t="str">
        <x:v>Commercial RNA-silencing and expanded RNA pipeline.</x:v>
      </x:c>
      <x:c r="H252" s="6" t="str">
        <x:v>https://www.novartis.com/</x:v>
      </x:c>
      <x:c r="I252" s="6" t="str">
        <x:v>https://www.novartis.com/</x:v>
      </x:c>
    </x:row>
    <x:row r="253" ht="15" hidden="0" customHeight="1">
      <x:c r="A253" s="12" t="n">
        <x:v>24</x:v>
      </x:c>
      <x:c r="B253" s="6" t="str">
        <x:v>RNA therapeutics and next-generation vaccines</x:v>
      </x:c>
      <x:c r="C253" s="6" t="str">
        <x:v>Healthcare</x:v>
      </x:c>
      <x:c r="D253" s="6" t="str">
        <x:v>Arcturus Therapeutics</x:v>
      </x:c>
      <x:c r="E253" s="6" t="str">
        <x:v>Public</x:v>
      </x:c>
      <x:c r="F253" s="6" t="str">
        <x:v>NASDAQ:ARCT</x:v>
      </x:c>
      <x:c r="G253" s="6" t="str">
        <x:v>Self-amplifying RNA and delivery platforms.</x:v>
      </x:c>
      <x:c r="H253" s="6" t="str">
        <x:v>https://arcturusrx.com/</x:v>
      </x:c>
      <x:c r="I253" s="6" t="str">
        <x:v>https://arcturusrx.com/</x:v>
      </x:c>
    </x:row>
    <x:row r="254" ht="15" hidden="0" customHeight="1">
      <x:c r="A254" s="12" t="n">
        <x:v>24</x:v>
      </x:c>
      <x:c r="B254" s="6" t="str">
        <x:v>RNA therapeutics and next-generation vaccines</x:v>
      </x:c>
      <x:c r="C254" s="6" t="str">
        <x:v>Healthcare</x:v>
      </x:c>
      <x:c r="D254" s="6" t="str">
        <x:v>Roche</x:v>
      </x:c>
      <x:c r="E254" s="6" t="str">
        <x:v>Public</x:v>
      </x:c>
      <x:c r="F254" s="6" t="str">
        <x:v>SIX:ROG</x:v>
      </x:c>
      <x:c r="G254" s="6" t="str">
        <x:v>RNA partnerships and therapeutic development; diversified exposure.</x:v>
      </x:c>
      <x:c r="H254" s="6" t="str">
        <x:v>https://www.roche.com/</x:v>
      </x:c>
      <x:c r="I254" s="6" t="str">
        <x:v>https://www.roche.com/</x:v>
      </x:c>
    </x:row>
    <x:row r="255" ht="15" hidden="0" customHeight="1">
      <x:c r="A255" s="12" t="n">
        <x:v>24</x:v>
      </x:c>
      <x:c r="B255" s="6" t="str">
        <x:v>RNA therapeutics and next-generation vaccines</x:v>
      </x:c>
      <x:c r="C255" s="6" t="str">
        <x:v>Healthcare</x:v>
      </x:c>
      <x:c r="D255" s="6" t="str">
        <x:v>Immorna</x:v>
      </x:c>
      <x:c r="E255" s="6" t="str">
        <x:v>Private</x:v>
      </x:c>
      <x:c r="F255" s="6" t="str"/>
      <x:c r="G255" s="6" t="str">
        <x:v>mRNA and self-replicating RNA development.</x:v>
      </x:c>
      <x:c r="H255" s="6" t="str">
        <x:v>https://www.immorna.com/</x:v>
      </x:c>
      <x:c r="I255" s="6" t="str">
        <x:v>https://www.immorna.com/</x:v>
      </x:c>
    </x:row>
    <x:row r="256" ht="24" hidden="0" customHeight="1">
      <x:c r="A256" s="12" t="n">
        <x:v>24</x:v>
      </x:c>
      <x:c r="B256" s="6" t="str">
        <x:v>RNA therapeutics and next-generation vaccines</x:v>
      </x:c>
      <x:c r="C256" s="6" t="str">
        <x:v>Healthcare</x:v>
      </x:c>
      <x:c r="D256" s="6" t="str">
        <x:v>Sirnaomics / RNAimmune</x:v>
      </x:c>
      <x:c r="E256" s="6" t="str">
        <x:v>Public parent; non-wholly-owned subsidiary</x:v>
      </x:c>
      <x:c r="F256" s="6" t="str">
        <x:v>HKEX:2257</x:v>
      </x:c>
      <x:c r="G256" s="6" t="str">
        <x:v>Public parent exposure to an RNAimmune mRNA vaccine and therapeutic subsidiary.</x:v>
      </x:c>
      <x:c r="H256" s="6" t="str">
        <x:v>https://www.sirnaomics.com/en/</x:v>
      </x:c>
      <x:c r="I256" s="6" t="str">
        <x:v>https://www.sirnaomics.com/en/news/press-release/sirnaomics-investee-rnaimmunecompletes-rmb-30-million-strategic-financing-to-accelerate-mrna-cancer-vaccine-pipeline-development/</x:v>
      </x:c>
    </x:row>
    <x:row r="257" ht="15" hidden="0" customHeight="1">
      <x:c r="A257" s="12" t="n">
        <x:v>25</x:v>
      </x:c>
      <x:c r="B257" s="6" t="str">
        <x:v>Remote patient monitoring and medical wearables</x:v>
      </x:c>
      <x:c r="C257" s="6" t="str">
        <x:v>Healthcare</x:v>
      </x:c>
      <x:c r="D257" s="6" t="str">
        <x:v>Dexcom</x:v>
      </x:c>
      <x:c r="E257" s="6" t="str">
        <x:v>Public</x:v>
      </x:c>
      <x:c r="F257" s="6" t="str">
        <x:v>NASDAQ:DXCM</x:v>
      </x:c>
      <x:c r="G257" s="6" t="str">
        <x:v>Continuous glucose monitoring sensors and connected software.</x:v>
      </x:c>
      <x:c r="H257" s="6" t="str">
        <x:v>https://www.dexcom.com/</x:v>
      </x:c>
      <x:c r="I257" s="6" t="str">
        <x:v>https://www.dexcom.com/</x:v>
      </x:c>
    </x:row>
    <x:row r="258" ht="15" hidden="0" customHeight="1">
      <x:c r="A258" s="12" t="n">
        <x:v>25</x:v>
      </x:c>
      <x:c r="B258" s="6" t="str">
        <x:v>Remote patient monitoring and medical wearables</x:v>
      </x:c>
      <x:c r="C258" s="6" t="str">
        <x:v>Healthcare</x:v>
      </x:c>
      <x:c r="D258" s="6" t="str">
        <x:v>Abbott</x:v>
      </x:c>
      <x:c r="E258" s="6" t="str">
        <x:v>Public</x:v>
      </x:c>
      <x:c r="F258" s="6" t="str">
        <x:v>NYSE:ABT</x:v>
      </x:c>
      <x:c r="G258" s="6" t="str">
        <x:v>Glucose monitoring and connected medical devices.</x:v>
      </x:c>
      <x:c r="H258" s="6" t="str">
        <x:v>https://www.abbott.com/</x:v>
      </x:c>
      <x:c r="I258" s="6" t="str">
        <x:v>https://www.abbott.com/</x:v>
      </x:c>
    </x:row>
    <x:row r="259" ht="15" hidden="0" customHeight="1">
      <x:c r="A259" s="12" t="n">
        <x:v>25</x:v>
      </x:c>
      <x:c r="B259" s="6" t="str">
        <x:v>Remote patient monitoring and medical wearables</x:v>
      </x:c>
      <x:c r="C259" s="6" t="str">
        <x:v>Healthcare</x:v>
      </x:c>
      <x:c r="D259" s="6" t="str">
        <x:v>Medtronic</x:v>
      </x:c>
      <x:c r="E259" s="6" t="str">
        <x:v>Public</x:v>
      </x:c>
      <x:c r="F259" s="6" t="str">
        <x:v>NYSE:MDT</x:v>
      </x:c>
      <x:c r="G259" s="6" t="str">
        <x:v>Connected monitoring and therapy devices.</x:v>
      </x:c>
      <x:c r="H259" s="6" t="str">
        <x:v>https://www.medtronic.com/</x:v>
      </x:c>
      <x:c r="I259" s="6" t="str">
        <x:v>https://www.medtronic.com/</x:v>
      </x:c>
    </x:row>
    <x:row r="260" ht="15" hidden="0" customHeight="1">
      <x:c r="A260" s="12" t="n">
        <x:v>25</x:v>
      </x:c>
      <x:c r="B260" s="6" t="str">
        <x:v>Remote patient monitoring and medical wearables</x:v>
      </x:c>
      <x:c r="C260" s="6" t="str">
        <x:v>Healthcare</x:v>
      </x:c>
      <x:c r="D260" s="6" t="str">
        <x:v>Philips</x:v>
      </x:c>
      <x:c r="E260" s="6" t="str">
        <x:v>Public</x:v>
      </x:c>
      <x:c r="F260" s="6" t="str">
        <x:v>NYSE:PHG</x:v>
      </x:c>
      <x:c r="G260" s="6" t="str">
        <x:v>Patient monitoring and connected care infrastructure.</x:v>
      </x:c>
      <x:c r="H260" s="6" t="str">
        <x:v>https://www.philips.com/healthcare</x:v>
      </x:c>
      <x:c r="I260" s="6" t="str">
        <x:v>https://www.philips.com/healthcare</x:v>
      </x:c>
    </x:row>
    <x:row r="261" ht="15" hidden="0" customHeight="1">
      <x:c r="A261" s="12" t="n">
        <x:v>25</x:v>
      </x:c>
      <x:c r="B261" s="6" t="str">
        <x:v>Remote patient monitoring and medical wearables</x:v>
      </x:c>
      <x:c r="C261" s="6" t="str">
        <x:v>Healthcare</x:v>
      </x:c>
      <x:c r="D261" s="6" t="str">
        <x:v>Apple</x:v>
      </x:c>
      <x:c r="E261" s="6" t="str">
        <x:v>Public</x:v>
      </x:c>
      <x:c r="F261" s="6" t="str">
        <x:v>NASDAQ:AAPL</x:v>
      </x:c>
      <x:c r="G261" s="6" t="str">
        <x:v>Consumer wearables with selected regulated health functions; indirect clinical exposure.</x:v>
      </x:c>
      <x:c r="H261" s="6" t="str">
        <x:v>https://www.apple.com/healthcare/</x:v>
      </x:c>
      <x:c r="I261" s="6" t="str">
        <x:v>https://www.apple.com/healthcare/</x:v>
      </x:c>
    </x:row>
    <x:row r="262" ht="15" hidden="0" customHeight="1">
      <x:c r="A262" s="12" t="n">
        <x:v>25</x:v>
      </x:c>
      <x:c r="B262" s="6" t="str">
        <x:v>Remote patient monitoring and medical wearables</x:v>
      </x:c>
      <x:c r="C262" s="6" t="str">
        <x:v>Healthcare</x:v>
      </x:c>
      <x:c r="D262" s="6" t="str">
        <x:v>iRhythm</x:v>
      </x:c>
      <x:c r="E262" s="6" t="str">
        <x:v>Public</x:v>
      </x:c>
      <x:c r="F262" s="6" t="str">
        <x:v>NASDAQ:IRTC</x:v>
      </x:c>
      <x:c r="G262" s="6" t="str">
        <x:v>Ambulatory cardiac monitoring and analysis.</x:v>
      </x:c>
      <x:c r="H262" s="6" t="str">
        <x:v>https://www.irhythmtech.com/</x:v>
      </x:c>
      <x:c r="I262" s="6" t="str">
        <x:v>https://www.irhythmtech.com/</x:v>
      </x:c>
    </x:row>
    <x:row r="263" ht="15" hidden="0" customHeight="1">
      <x:c r="A263" s="12" t="n">
        <x:v>25</x:v>
      </x:c>
      <x:c r="B263" s="6" t="str">
        <x:v>Remote patient monitoring and medical wearables</x:v>
      </x:c>
      <x:c r="C263" s="6" t="str">
        <x:v>Healthcare</x:v>
      </x:c>
      <x:c r="D263" s="6" t="str">
        <x:v>Omron</x:v>
      </x:c>
      <x:c r="E263" s="6" t="str">
        <x:v>Public</x:v>
      </x:c>
      <x:c r="F263" s="6" t="str">
        <x:v>TYO:6645</x:v>
      </x:c>
      <x:c r="G263" s="6" t="str">
        <x:v>Connected blood-pressure and home-health measurement.</x:v>
      </x:c>
      <x:c r="H263" s="6" t="str">
        <x:v>https://www.omron.com/global/en/</x:v>
      </x:c>
      <x:c r="I263" s="6" t="str">
        <x:v>https://www.omron.com/global/en/</x:v>
      </x:c>
    </x:row>
    <x:row r="264" ht="15" hidden="0" customHeight="1">
      <x:c r="A264" s="12" t="n">
        <x:v>25</x:v>
      </x:c>
      <x:c r="B264" s="6" t="str">
        <x:v>Remote patient monitoring and medical wearables</x:v>
      </x:c>
      <x:c r="C264" s="6" t="str">
        <x:v>Healthcare</x:v>
      </x:c>
      <x:c r="D264" s="6" t="str">
        <x:v>Withings</x:v>
      </x:c>
      <x:c r="E264" s="6" t="str">
        <x:v>Private</x:v>
      </x:c>
      <x:c r="F264" s="6" t="str"/>
      <x:c r="G264" s="6" t="str">
        <x:v>Connected home-health measurements and remote monitoring tools.</x:v>
      </x:c>
      <x:c r="H264" s="6" t="str">
        <x:v>https://www.withings.com/</x:v>
      </x:c>
      <x:c r="I264" s="6" t="str">
        <x:v>https://www.withings.com/</x:v>
      </x:c>
    </x:row>
    <x:row r="265" ht="15" hidden="0" customHeight="1">
      <x:c r="A265" s="12" t="n">
        <x:v>25</x:v>
      </x:c>
      <x:c r="B265" s="6" t="str">
        <x:v>Remote patient monitoring and medical wearables</x:v>
      </x:c>
      <x:c r="C265" s="6" t="str">
        <x:v>Healthcare</x:v>
      </x:c>
      <x:c r="D265" s="6" t="str">
        <x:v>BioIntelliSense</x:v>
      </x:c>
      <x:c r="E265" s="6" t="str">
        <x:v>Private</x:v>
      </x:c>
      <x:c r="F265" s="6" t="str"/>
      <x:c r="G265" s="6" t="str">
        <x:v>Continuous medical wearable monitoring and care analytics.</x:v>
      </x:c>
      <x:c r="H265" s="6" t="str">
        <x:v>https://www.biointellisense.com/</x:v>
      </x:c>
      <x:c r="I265" s="6" t="str">
        <x:v>https://www.biointellisense.com/</x:v>
      </x:c>
    </x:row>
    <x:row r="266" ht="15" hidden="0" customHeight="1">
      <x:c r="A266" s="12" t="n">
        <x:v>25</x:v>
      </x:c>
      <x:c r="B266" s="6" t="str">
        <x:v>Remote patient monitoring and medical wearables</x:v>
      </x:c>
      <x:c r="C266" s="6" t="str">
        <x:v>Healthcare</x:v>
      </x:c>
      <x:c r="D266" s="6" t="str">
        <x:v>AliveCor</x:v>
      </x:c>
      <x:c r="E266" s="6" t="str">
        <x:v>Private</x:v>
      </x:c>
      <x:c r="F266" s="6" t="str"/>
      <x:c r="G266" s="6" t="str">
        <x:v>Personal and clinical remote ECG monitoring.</x:v>
      </x:c>
      <x:c r="H266" s="6" t="str">
        <x:v>https://www.alivecor.com/</x:v>
      </x:c>
      <x:c r="I266" s="6" t="str">
        <x:v>https://www.alivecor.com/</x:v>
      </x:c>
    </x:row>
    <x:row r="267" ht="15" hidden="0" customHeight="1">
      <x:c r="A267" s="12" t="n">
        <x:v>26</x:v>
      </x:c>
      <x:c r="B267" s="6" t="str">
        <x:v>AI-enabled drug discovery</x:v>
      </x:c>
      <x:c r="C267" s="6" t="str">
        <x:v>Bio &amp; production</x:v>
      </x:c>
      <x:c r="D267" s="6" t="str">
        <x:v>Recursion</x:v>
      </x:c>
      <x:c r="E267" s="6" t="str">
        <x:v>Public</x:v>
      </x:c>
      <x:c r="F267" s="6" t="str">
        <x:v>NASDAQ:RXRX</x:v>
      </x:c>
      <x:c r="G267" s="6" t="str">
        <x:v>Automated biological datasets and AI-led drug programmes.</x:v>
      </x:c>
      <x:c r="H267" s="6" t="str">
        <x:v>https://www.recursion.com/</x:v>
      </x:c>
      <x:c r="I267" s="6" t="str">
        <x:v>https://www.recursion.com/</x:v>
      </x:c>
    </x:row>
    <x:row r="268" ht="15" hidden="0" customHeight="1">
      <x:c r="A268" s="12" t="n">
        <x:v>26</x:v>
      </x:c>
      <x:c r="B268" s="6" t="str">
        <x:v>AI-enabled drug discovery</x:v>
      </x:c>
      <x:c r="C268" s="6" t="str">
        <x:v>Bio &amp; production</x:v>
      </x:c>
      <x:c r="D268" s="6" t="str">
        <x:v>Schrödinger</x:v>
      </x:c>
      <x:c r="E268" s="6" t="str">
        <x:v>Public</x:v>
      </x:c>
      <x:c r="F268" s="6" t="str">
        <x:v>NASDAQ:SDGR</x:v>
      </x:c>
      <x:c r="G268" s="6" t="str">
        <x:v>Computational chemistry software and drug discovery.</x:v>
      </x:c>
      <x:c r="H268" s="6" t="str">
        <x:v>https://www.schrodinger.com/</x:v>
      </x:c>
      <x:c r="I268" s="6" t="str">
        <x:v>https://www.schrodinger.com/</x:v>
      </x:c>
    </x:row>
    <x:row r="269" ht="15" hidden="0" customHeight="1">
      <x:c r="A269" s="12" t="n">
        <x:v>26</x:v>
      </x:c>
      <x:c r="B269" s="6" t="str">
        <x:v>AI-enabled drug discovery</x:v>
      </x:c>
      <x:c r="C269" s="6" t="str">
        <x:v>Bio &amp; production</x:v>
      </x:c>
      <x:c r="D269" s="6" t="str">
        <x:v>Insilico Medicine</x:v>
      </x:c>
      <x:c r="E269" s="6" t="str">
        <x:v>Public</x:v>
      </x:c>
      <x:c r="F269" s="6" t="str">
        <x:v>HKEX:3696</x:v>
      </x:c>
      <x:c r="G269" s="6" t="str">
        <x:v>Generative chemistry and clinical drug pipeline.</x:v>
      </x:c>
      <x:c r="H269" s="6" t="str">
        <x:v>https://insilico.com/</x:v>
      </x:c>
      <x:c r="I269" s="6" t="str">
        <x:v>https://insilico.com/</x:v>
      </x:c>
    </x:row>
    <x:row r="270" ht="15" hidden="0" customHeight="1">
      <x:c r="A270" s="12" t="n">
        <x:v>26</x:v>
      </x:c>
      <x:c r="B270" s="6" t="str">
        <x:v>AI-enabled drug discovery</x:v>
      </x:c>
      <x:c r="C270" s="6" t="str">
        <x:v>Bio &amp; production</x:v>
      </x:c>
      <x:c r="D270" s="6" t="str">
        <x:v>Generate Biomedicines</x:v>
      </x:c>
      <x:c r="E270" s="6" t="str">
        <x:v>Public</x:v>
      </x:c>
      <x:c r="F270" s="6" t="str">
        <x:v>NASDAQ:GENB</x:v>
      </x:c>
      <x:c r="G270" s="6" t="str">
        <x:v>AI protein design and therapeutic programmes.</x:v>
      </x:c>
      <x:c r="H270" s="6" t="str">
        <x:v>https://investors.generatebiomedicines.com/investor-faq/</x:v>
      </x:c>
      <x:c r="I270" s="6" t="str">
        <x:v>https://investors.generatebiomedicines.com/investor-faq/</x:v>
      </x:c>
    </x:row>
    <x:row r="271" ht="15" hidden="0" customHeight="1">
      <x:c r="A271" s="12" t="n">
        <x:v>26</x:v>
      </x:c>
      <x:c r="B271" s="6" t="str">
        <x:v>AI-enabled drug discovery</x:v>
      </x:c>
      <x:c r="C271" s="6" t="str">
        <x:v>Bio &amp; production</x:v>
      </x:c>
      <x:c r="D271" s="6" t="str">
        <x:v>NVIDIA</x:v>
      </x:c>
      <x:c r="E271" s="6" t="str">
        <x:v>Public</x:v>
      </x:c>
      <x:c r="F271" s="6" t="str">
        <x:v>NASDAQ:NVDA</x:v>
      </x:c>
      <x:c r="G271" s="6" t="str">
        <x:v>AI compute and biological model infrastructure; supplier exposure.</x:v>
      </x:c>
      <x:c r="H271" s="6" t="str">
        <x:v>https://www.nvidia.com/en-us/clara/bionemo/</x:v>
      </x:c>
      <x:c r="I271" s="6" t="str">
        <x:v>https://www.nvidia.com/en-us/clara/bionemo/</x:v>
      </x:c>
    </x:row>
    <x:row r="272" ht="15" hidden="0" customHeight="1">
      <x:c r="A272" s="12" t="n">
        <x:v>26</x:v>
      </x:c>
      <x:c r="B272" s="6" t="str">
        <x:v>AI-enabled drug discovery</x:v>
      </x:c>
      <x:c r="C272" s="6" t="str">
        <x:v>Bio &amp; production</x:v>
      </x:c>
      <x:c r="D272" s="6" t="str">
        <x:v>Eli Lilly</x:v>
      </x:c>
      <x:c r="E272" s="6" t="str">
        <x:v>Public</x:v>
      </x:c>
      <x:c r="F272" s="6" t="str">
        <x:v>NYSE:LLY</x:v>
      </x:c>
      <x:c r="G272" s="6" t="str">
        <x:v>Drug developer using AI partnerships and internal discovery capabilities.</x:v>
      </x:c>
      <x:c r="H272" s="6" t="str">
        <x:v>https://www.lilly.com/</x:v>
      </x:c>
      <x:c r="I272" s="6" t="str">
        <x:v>https://www.lilly.com/</x:v>
      </x:c>
    </x:row>
    <x:row r="273" ht="15" hidden="0" customHeight="1">
      <x:c r="A273" s="12" t="n">
        <x:v>26</x:v>
      </x:c>
      <x:c r="B273" s="6" t="str">
        <x:v>AI-enabled drug discovery</x:v>
      </x:c>
      <x:c r="C273" s="6" t="str">
        <x:v>Bio &amp; production</x:v>
      </x:c>
      <x:c r="D273" s="6" t="str">
        <x:v>Roche</x:v>
      </x:c>
      <x:c r="E273" s="6" t="str">
        <x:v>Public</x:v>
      </x:c>
      <x:c r="F273" s="6" t="str">
        <x:v>SIX:ROG</x:v>
      </x:c>
      <x:c r="G273" s="6" t="str">
        <x:v>Pharmaceutical research and data/AI partnerships.</x:v>
      </x:c>
      <x:c r="H273" s="6" t="str">
        <x:v>https://www.roche.com/</x:v>
      </x:c>
      <x:c r="I273" s="6" t="str">
        <x:v>https://www.roche.com/</x:v>
      </x:c>
    </x:row>
    <x:row r="274" ht="15" hidden="0" customHeight="1">
      <x:c r="A274" s="12" t="n">
        <x:v>26</x:v>
      </x:c>
      <x:c r="B274" s="6" t="str">
        <x:v>AI-enabled drug discovery</x:v>
      </x:c>
      <x:c r="C274" s="6" t="str">
        <x:v>Bio &amp; production</x:v>
      </x:c>
      <x:c r="D274" s="6" t="str">
        <x:v>Isomorphic Labs</x:v>
      </x:c>
      <x:c r="E274" s="6" t="str">
        <x:v>Private</x:v>
      </x:c>
      <x:c r="F274" s="6" t="str"/>
      <x:c r="G274" s="6" t="str">
        <x:v>AI-designed drug discovery and pharmaceutical partnerships.</x:v>
      </x:c>
      <x:c r="H274" s="6" t="str">
        <x:v>https://www.isomorphiclabs.com/</x:v>
      </x:c>
      <x:c r="I274" s="6" t="str">
        <x:v>https://www.isomorphiclabs.com/</x:v>
      </x:c>
    </x:row>
    <x:row r="275" ht="15" hidden="0" customHeight="1">
      <x:c r="A275" s="12" t="n">
        <x:v>26</x:v>
      </x:c>
      <x:c r="B275" s="6" t="str">
        <x:v>AI-enabled drug discovery</x:v>
      </x:c>
      <x:c r="C275" s="6" t="str">
        <x:v>Bio &amp; production</x:v>
      </x:c>
      <x:c r="D275" s="6" t="str">
        <x:v>insitro</x:v>
      </x:c>
      <x:c r="E275" s="6" t="str">
        <x:v>Private</x:v>
      </x:c>
      <x:c r="F275" s="6" t="str"/>
      <x:c r="G275" s="6" t="str">
        <x:v>Machine learning and experimental data for drug discovery.</x:v>
      </x:c>
      <x:c r="H275" s="6" t="str">
        <x:v>https://www.insitro.com/</x:v>
      </x:c>
      <x:c r="I275" s="6" t="str">
        <x:v>https://www.insitro.com/</x:v>
      </x:c>
    </x:row>
    <x:row r="276" ht="15" hidden="0" customHeight="1">
      <x:c r="A276" s="12" t="n">
        <x:v>26</x:v>
      </x:c>
      <x:c r="B276" s="6" t="str">
        <x:v>AI-enabled drug discovery</x:v>
      </x:c>
      <x:c r="C276" s="6" t="str">
        <x:v>Bio &amp; production</x:v>
      </x:c>
      <x:c r="D276" s="6" t="str">
        <x:v>Xaira Therapeutics</x:v>
      </x:c>
      <x:c r="E276" s="6" t="str">
        <x:v>Private</x:v>
      </x:c>
      <x:c r="F276" s="6" t="str"/>
      <x:c r="G276" s="6" t="str">
        <x:v>AI models, large biological datasets and therapeutic development.</x:v>
      </x:c>
      <x:c r="H276" s="6" t="str">
        <x:v>https://www.xaira.com/</x:v>
      </x:c>
      <x:c r="I276" s="6" t="str">
        <x:v>https://www.xaira.com/</x:v>
      </x:c>
    </x:row>
    <x:row r="277" ht="15" hidden="0" customHeight="1">
      <x:c r="A277" s="12" t="n">
        <x:v>27</x:v>
      </x:c>
      <x:c r="B277" s="6" t="str">
        <x:v>Synthetic biology and biomanufacturing</x:v>
      </x:c>
      <x:c r="C277" s="6" t="str">
        <x:v>Bio &amp; production</x:v>
      </x:c>
      <x:c r="D277" s="6" t="str">
        <x:v>Twist Bioscience</x:v>
      </x:c>
      <x:c r="E277" s="6" t="str">
        <x:v>Public</x:v>
      </x:c>
      <x:c r="F277" s="6" t="str">
        <x:v>NASDAQ:TWST</x:v>
      </x:c>
      <x:c r="G277" s="6" t="str">
        <x:v>Synthetic DNA and gene synthesis.</x:v>
      </x:c>
      <x:c r="H277" s="6" t="str">
        <x:v>https://www.twistbioscience.com/</x:v>
      </x:c>
      <x:c r="I277" s="6" t="str">
        <x:v>https://www.twistbioscience.com/</x:v>
      </x:c>
    </x:row>
    <x:row r="278" ht="15" hidden="0" customHeight="1">
      <x:c r="A278" s="12" t="n">
        <x:v>27</x:v>
      </x:c>
      <x:c r="B278" s="6" t="str">
        <x:v>Synthetic biology and biomanufacturing</x:v>
      </x:c>
      <x:c r="C278" s="6" t="str">
        <x:v>Bio &amp; production</x:v>
      </x:c>
      <x:c r="D278" s="6" t="str">
        <x:v>Ginkgo Bioworks</x:v>
      </x:c>
      <x:c r="E278" s="6" t="str">
        <x:v>Public</x:v>
      </x:c>
      <x:c r="F278" s="6" t="str">
        <x:v>NYSE:DNA</x:v>
      </x:c>
      <x:c r="G278" s="6" t="str">
        <x:v>Cell engineering services and laboratory infrastructure.</x:v>
      </x:c>
      <x:c r="H278" s="6" t="str">
        <x:v>https://www.ginkgobioworks.com/</x:v>
      </x:c>
      <x:c r="I278" s="6" t="str">
        <x:v>https://www.ginkgobioworks.com/</x:v>
      </x:c>
    </x:row>
    <x:row r="279" ht="15" hidden="0" customHeight="1">
      <x:c r="A279" s="12" t="n">
        <x:v>27</x:v>
      </x:c>
      <x:c r="B279" s="6" t="str">
        <x:v>Synthetic biology and biomanufacturing</x:v>
      </x:c>
      <x:c r="C279" s="6" t="str">
        <x:v>Bio &amp; production</x:v>
      </x:c>
      <x:c r="D279" s="6" t="str">
        <x:v>Thermo Fisher Scientific</x:v>
      </x:c>
      <x:c r="E279" s="6" t="str">
        <x:v>Public</x:v>
      </x:c>
      <x:c r="F279" s="6" t="str">
        <x:v>NYSE:TMO</x:v>
      </x:c>
      <x:c r="G279" s="6" t="str">
        <x:v>Bioprocess inputs, instruments and manufacturing services.</x:v>
      </x:c>
      <x:c r="H279" s="6" t="str">
        <x:v>https://www.thermofisher.com/</x:v>
      </x:c>
      <x:c r="I279" s="6" t="str">
        <x:v>https://www.thermofisher.com/</x:v>
      </x:c>
    </x:row>
    <x:row r="280" ht="15" hidden="0" customHeight="1">
      <x:c r="A280" s="12" t="n">
        <x:v>27</x:v>
      </x:c>
      <x:c r="B280" s="6" t="str">
        <x:v>Synthetic biology and biomanufacturing</x:v>
      </x:c>
      <x:c r="C280" s="6" t="str">
        <x:v>Bio &amp; production</x:v>
      </x:c>
      <x:c r="D280" s="6" t="str">
        <x:v>Danaher</x:v>
      </x:c>
      <x:c r="E280" s="6" t="str">
        <x:v>Public</x:v>
      </x:c>
      <x:c r="F280" s="6" t="str">
        <x:v>NYSE:DHR</x:v>
      </x:c>
      <x:c r="G280" s="6" t="str">
        <x:v>Bioprocess equipment and analytical tools.</x:v>
      </x:c>
      <x:c r="H280" s="6" t="str">
        <x:v>https://www.danaher.com/</x:v>
      </x:c>
      <x:c r="I280" s="6" t="str">
        <x:v>https://www.danaher.com/</x:v>
      </x:c>
    </x:row>
    <x:row r="281" ht="15" hidden="0" customHeight="1">
      <x:c r="A281" s="12" t="n">
        <x:v>27</x:v>
      </x:c>
      <x:c r="B281" s="6" t="str">
        <x:v>Synthetic biology and biomanufacturing</x:v>
      </x:c>
      <x:c r="C281" s="6" t="str">
        <x:v>Bio &amp; production</x:v>
      </x:c>
      <x:c r="D281" s="6" t="str">
        <x:v>Sartorius</x:v>
      </x:c>
      <x:c r="E281" s="6" t="str">
        <x:v>Public</x:v>
      </x:c>
      <x:c r="F281" s="6" t="str">
        <x:v>XETRA:SRT3</x:v>
      </x:c>
      <x:c r="G281" s="6" t="str">
        <x:v>Bioreactors and bioprocess systems.</x:v>
      </x:c>
      <x:c r="H281" s="6" t="str">
        <x:v>https://www.sartorius.com/</x:v>
      </x:c>
      <x:c r="I281" s="6" t="str">
        <x:v>https://www.sartorius.com/</x:v>
      </x:c>
    </x:row>
    <x:row r="282" ht="15" hidden="0" customHeight="1">
      <x:c r="A282" s="12" t="n">
        <x:v>27</x:v>
      </x:c>
      <x:c r="B282" s="6" t="str">
        <x:v>Synthetic biology and biomanufacturing</x:v>
      </x:c>
      <x:c r="C282" s="6" t="str">
        <x:v>Bio &amp; production</x:v>
      </x:c>
      <x:c r="D282" s="6" t="str">
        <x:v>Merck KGaA</x:v>
      </x:c>
      <x:c r="E282" s="6" t="str">
        <x:v>Public</x:v>
      </x:c>
      <x:c r="F282" s="6" t="str">
        <x:v>XETRA:MRK</x:v>
      </x:c>
      <x:c r="G282" s="6" t="str">
        <x:v>Life-science inputs and bioprocess technology.</x:v>
      </x:c>
      <x:c r="H282" s="6" t="str">
        <x:v>https://www.merckgroup.com/</x:v>
      </x:c>
      <x:c r="I282" s="6" t="str">
        <x:v>https://www.merckgroup.com/</x:v>
      </x:c>
    </x:row>
    <x:row r="283" ht="15" hidden="0" customHeight="1">
      <x:c r="A283" s="12" t="n">
        <x:v>27</x:v>
      </x:c>
      <x:c r="B283" s="6" t="str">
        <x:v>Synthetic biology and biomanufacturing</x:v>
      </x:c>
      <x:c r="C283" s="6" t="str">
        <x:v>Bio &amp; production</x:v>
      </x:c>
      <x:c r="D283" s="6" t="str">
        <x:v>Novonesis</x:v>
      </x:c>
      <x:c r="E283" s="6" t="str">
        <x:v>Public</x:v>
      </x:c>
      <x:c r="F283" s="6" t="str">
        <x:v>CPH:NSIS-B</x:v>
      </x:c>
      <x:c r="G283" s="6" t="str">
        <x:v>Industrial enzymes and microbial biosolutions.</x:v>
      </x:c>
      <x:c r="H283" s="6" t="str">
        <x:v>https://www.novonesis.com/</x:v>
      </x:c>
      <x:c r="I283" s="6" t="str">
        <x:v>https://www.novonesis.com/</x:v>
      </x:c>
    </x:row>
    <x:row r="284" ht="15" hidden="0" customHeight="1">
      <x:c r="A284" s="12" t="n">
        <x:v>27</x:v>
      </x:c>
      <x:c r="B284" s="6" t="str">
        <x:v>Synthetic biology and biomanufacturing</x:v>
      </x:c>
      <x:c r="C284" s="6" t="str">
        <x:v>Bio &amp; production</x:v>
      </x:c>
      <x:c r="D284" s="6" t="str">
        <x:v>Solugen</x:v>
      </x:c>
      <x:c r="E284" s="6" t="str">
        <x:v>Private</x:v>
      </x:c>
      <x:c r="F284" s="6" t="str"/>
      <x:c r="G284" s="6" t="str">
        <x:v>Engineered enzymes and chemical manufacturing processes.</x:v>
      </x:c>
      <x:c r="H284" s="6" t="str">
        <x:v>https://solugen.com/</x:v>
      </x:c>
      <x:c r="I284" s="6" t="str">
        <x:v>https://solugen.com/</x:v>
      </x:c>
    </x:row>
    <x:row r="285" ht="15" hidden="0" customHeight="1">
      <x:c r="A285" s="12" t="n">
        <x:v>27</x:v>
      </x:c>
      <x:c r="B285" s="6" t="str">
        <x:v>Synthetic biology and biomanufacturing</x:v>
      </x:c>
      <x:c r="C285" s="6" t="str">
        <x:v>Bio &amp; production</x:v>
      </x:c>
      <x:c r="D285" s="6" t="str">
        <x:v>Antheia</x:v>
      </x:c>
      <x:c r="E285" s="6" t="str">
        <x:v>Private</x:v>
      </x:c>
      <x:c r="F285" s="6" t="str"/>
      <x:c r="G285" s="6" t="str">
        <x:v>Engineered fermentation for pharmaceutical ingredients.</x:v>
      </x:c>
      <x:c r="H285" s="6" t="str">
        <x:v>https://antheia.bio/</x:v>
      </x:c>
      <x:c r="I285" s="6" t="str">
        <x:v>https://antheia.bio/</x:v>
      </x:c>
    </x:row>
    <x:row r="286" ht="15" hidden="0" customHeight="1">
      <x:c r="A286" s="12" t="n">
        <x:v>27</x:v>
      </x:c>
      <x:c r="B286" s="6" t="str">
        <x:v>Synthetic biology and biomanufacturing</x:v>
      </x:c>
      <x:c r="C286" s="6" t="str">
        <x:v>Bio &amp; production</x:v>
      </x:c>
      <x:c r="D286" s="6" t="str">
        <x:v>Asimov</x:v>
      </x:c>
      <x:c r="E286" s="6" t="str">
        <x:v>Private</x:v>
      </x:c>
      <x:c r="F286" s="6" t="str"/>
      <x:c r="G286" s="6" t="str">
        <x:v>Cell engineering and synthetic-biology tools.</x:v>
      </x:c>
      <x:c r="H286" s="6" t="str">
        <x:v>https://www.asimov.com/</x:v>
      </x:c>
      <x:c r="I286" s="6" t="str">
        <x:v>https://www.asimov.com/</x:v>
      </x:c>
    </x:row>
    <x:row r="287" ht="15" hidden="0" customHeight="1">
      <x:c r="A287" s="12" t="n">
        <x:v>28</x:v>
      </x:c>
      <x:c r="B287" s="6" t="str">
        <x:v>Precision fermentation for food</x:v>
      </x:c>
      <x:c r="C287" s="6" t="str">
        <x:v>Bio &amp; production</x:v>
      </x:c>
      <x:c r="D287" s="6" t="str">
        <x:v>Novonesis</x:v>
      </x:c>
      <x:c r="E287" s="6" t="str">
        <x:v>Public</x:v>
      </x:c>
      <x:c r="F287" s="6" t="str">
        <x:v>CPH:NSIS-B</x:v>
      </x:c>
      <x:c r="G287" s="6" t="str">
        <x:v>Microbial, enzyme and fermentation expertise; supplier and ingredient exposure.</x:v>
      </x:c>
      <x:c r="H287" s="6" t="str">
        <x:v>https://www.novonesis.com/</x:v>
      </x:c>
      <x:c r="I287" s="6" t="str">
        <x:v>https://www.novonesis.com/</x:v>
      </x:c>
    </x:row>
    <x:row r="288" ht="15" hidden="0" customHeight="1">
      <x:c r="A288" s="12" t="n">
        <x:v>28</x:v>
      </x:c>
      <x:c r="B288" s="6" t="str">
        <x:v>Precision fermentation for food</x:v>
      </x:c>
      <x:c r="C288" s="6" t="str">
        <x:v>Bio &amp; production</x:v>
      </x:c>
      <x:c r="D288" s="6" t="str">
        <x:v>dsm-firmenich</x:v>
      </x:c>
      <x:c r="E288" s="6" t="str">
        <x:v>Public</x:v>
      </x:c>
      <x:c r="F288" s="6" t="str">
        <x:v>AMS:DSFIR</x:v>
      </x:c>
      <x:c r="G288" s="6" t="str">
        <x:v>Food ingredient development and commercial partnerships.</x:v>
      </x:c>
      <x:c r="H288" s="6" t="str">
        <x:v>https://www.dsm-firmenich.com/</x:v>
      </x:c>
      <x:c r="I288" s="6" t="str">
        <x:v>https://www.dsm-firmenich.com/</x:v>
      </x:c>
    </x:row>
    <x:row r="289" ht="15" hidden="0" customHeight="1">
      <x:c r="A289" s="12" t="n">
        <x:v>28</x:v>
      </x:c>
      <x:c r="B289" s="6" t="str">
        <x:v>Precision fermentation for food</x:v>
      </x:c>
      <x:c r="C289" s="6" t="str">
        <x:v>Bio &amp; production</x:v>
      </x:c>
      <x:c r="D289" s="6" t="str">
        <x:v>GEA Group</x:v>
      </x:c>
      <x:c r="E289" s="6" t="str">
        <x:v>Public</x:v>
      </x:c>
      <x:c r="F289" s="6" t="str">
        <x:v>XETRA:G1A</x:v>
      </x:c>
      <x:c r="G289" s="6" t="str">
        <x:v>Fermentation and downstream processing equipment.</x:v>
      </x:c>
      <x:c r="H289" s="6" t="str">
        <x:v>https://www.gea.com/</x:v>
      </x:c>
      <x:c r="I289" s="6" t="str">
        <x:v>https://www.gea.com/</x:v>
      </x:c>
    </x:row>
    <x:row r="290" ht="15" hidden="0" customHeight="1">
      <x:c r="A290" s="12" t="n">
        <x:v>28</x:v>
      </x:c>
      <x:c r="B290" s="6" t="str">
        <x:v>Precision fermentation for food</x:v>
      </x:c>
      <x:c r="C290" s="6" t="str">
        <x:v>Bio &amp; production</x:v>
      </x:c>
      <x:c r="D290" s="6" t="str">
        <x:v>Danone</x:v>
      </x:c>
      <x:c r="E290" s="6" t="str">
        <x:v>Public</x:v>
      </x:c>
      <x:c r="F290" s="6" t="str">
        <x:v>EPA:BN</x:v>
      </x:c>
      <x:c r="G290" s="6" t="str">
        <x:v>Food formulation, investment and route-to-market exposure.</x:v>
      </x:c>
      <x:c r="H290" s="6" t="str">
        <x:v>https://www.danone.com/</x:v>
      </x:c>
      <x:c r="I290" s="6" t="str">
        <x:v>https://www.danone.com/</x:v>
      </x:c>
    </x:row>
    <x:row r="291" ht="15" hidden="0" customHeight="1">
      <x:c r="A291" s="12" t="n">
        <x:v>28</x:v>
      </x:c>
      <x:c r="B291" s="6" t="str">
        <x:v>Precision fermentation for food</x:v>
      </x:c>
      <x:c r="C291" s="6" t="str">
        <x:v>Bio &amp; production</x:v>
      </x:c>
      <x:c r="D291" s="6" t="str">
        <x:v>The EVERY Company</x:v>
      </x:c>
      <x:c r="E291" s="6" t="str">
        <x:v>Private</x:v>
      </x:c>
      <x:c r="F291" s="6" t="str"/>
      <x:c r="G291" s="6" t="str">
        <x:v>Precision-fermented egg proteins and functional ingredients.</x:v>
      </x:c>
      <x:c r="H291" s="6" t="str">
        <x:v>https://www.every.com/</x:v>
      </x:c>
      <x:c r="I291" s="6" t="str">
        <x:v>https://www.every.com/</x:v>
      </x:c>
    </x:row>
    <x:row r="292" ht="15" hidden="0" customHeight="1">
      <x:c r="A292" s="12" t="n">
        <x:v>28</x:v>
      </x:c>
      <x:c r="B292" s="6" t="str">
        <x:v>Precision fermentation for food</x:v>
      </x:c>
      <x:c r="C292" s="6" t="str">
        <x:v>Bio &amp; production</x:v>
      </x:c>
      <x:c r="D292" s="6" t="str">
        <x:v>Remilk</x:v>
      </x:c>
      <x:c r="E292" s="6" t="str">
        <x:v>Private</x:v>
      </x:c>
      <x:c r="F292" s="6" t="str"/>
      <x:c r="G292" s="6" t="str">
        <x:v>Fermentation-derived dairy proteins.</x:v>
      </x:c>
      <x:c r="H292" s="6" t="str">
        <x:v>https://www.remilk.com/</x:v>
      </x:c>
      <x:c r="I292" s="6" t="str">
        <x:v>https://www.remilk.com/</x:v>
      </x:c>
    </x:row>
    <x:row r="293" ht="15" hidden="0" customHeight="1">
      <x:c r="A293" s="12" t="n">
        <x:v>28</x:v>
      </x:c>
      <x:c r="B293" s="6" t="str">
        <x:v>Precision fermentation for food</x:v>
      </x:c>
      <x:c r="C293" s="6" t="str">
        <x:v>Bio &amp; production</x:v>
      </x:c>
      <x:c r="D293" s="6" t="str">
        <x:v>New Culture</x:v>
      </x:c>
      <x:c r="E293" s="6" t="str">
        <x:v>Private</x:v>
      </x:c>
      <x:c r="F293" s="6" t="str"/>
      <x:c r="G293" s="6" t="str">
        <x:v>Fermentation-derived casein for cheese.</x:v>
      </x:c>
      <x:c r="H293" s="6" t="str">
        <x:v>https://www.newculture.com/</x:v>
      </x:c>
      <x:c r="I293" s="6" t="str">
        <x:v>https://www.newculture.com/</x:v>
      </x:c>
    </x:row>
    <x:row r="294" ht="15" hidden="0" customHeight="1">
      <x:c r="A294" s="12" t="n">
        <x:v>28</x:v>
      </x:c>
      <x:c r="B294" s="6" t="str">
        <x:v>Precision fermentation for food</x:v>
      </x:c>
      <x:c r="C294" s="6" t="str">
        <x:v>Bio &amp; production</x:v>
      </x:c>
      <x:c r="D294" s="6" t="str">
        <x:v>Imagindairy</x:v>
      </x:c>
      <x:c r="E294" s="6" t="str">
        <x:v>Private</x:v>
      </x:c>
      <x:c r="F294" s="6" t="str"/>
      <x:c r="G294" s="6" t="str">
        <x:v>Dairy proteins produced by precision fermentation.</x:v>
      </x:c>
      <x:c r="H294" s="6" t="str">
        <x:v>https://imagindairy.com/</x:v>
      </x:c>
      <x:c r="I294" s="6" t="str">
        <x:v>https://imagindairy.com/</x:v>
      </x:c>
    </x:row>
    <x:row r="295" ht="15" hidden="0" customHeight="1">
      <x:c r="A295" s="12" t="n">
        <x:v>28</x:v>
      </x:c>
      <x:c r="B295" s="6" t="str">
        <x:v>Precision fermentation for food</x:v>
      </x:c>
      <x:c r="C295" s="6" t="str">
        <x:v>Bio &amp; production</x:v>
      </x:c>
      <x:c r="D295" s="6" t="str">
        <x:v>Vivici</x:v>
      </x:c>
      <x:c r="E295" s="6" t="str">
        <x:v>Private</x:v>
      </x:c>
      <x:c r="F295" s="6" t="str"/>
      <x:c r="G295" s="6" t="str">
        <x:v>Fermentation-derived protein ingredients.</x:v>
      </x:c>
      <x:c r="H295" s="6" t="str">
        <x:v>https://www.vivici.com/</x:v>
      </x:c>
      <x:c r="I295" s="6" t="str">
        <x:v>https://www.vivici.com/</x:v>
      </x:c>
    </x:row>
    <x:row r="296" ht="15" hidden="0" customHeight="1">
      <x:c r="A296" s="12" t="n">
        <x:v>28</x:v>
      </x:c>
      <x:c r="B296" s="6" t="str">
        <x:v>Precision fermentation for food</x:v>
      </x:c>
      <x:c r="C296" s="6" t="str">
        <x:v>Bio &amp; production</x:v>
      </x:c>
      <x:c r="D296" s="6" t="str">
        <x:v>Formo</x:v>
      </x:c>
      <x:c r="E296" s="6" t="str">
        <x:v>Private</x:v>
      </x:c>
      <x:c r="F296" s="6" t="str"/>
      <x:c r="G296" s="6" t="str">
        <x:v>Fermentation-based food ingredients and products; distinguish precision from biomass platforms.</x:v>
      </x:c>
      <x:c r="H296" s="6" t="str">
        <x:v>https://formo.bio/</x:v>
      </x:c>
      <x:c r="I296" s="6" t="str">
        <x:v>https://formo.bio/</x:v>
      </x:c>
    </x:row>
    <x:row r="297" ht="15" hidden="0" customHeight="1">
      <x:c r="A297" s="12" t="n">
        <x:v>29</x:v>
      </x:c>
      <x:c r="B297" s="6" t="str">
        <x:v>Organoids and organ-on-chip testing</x:v>
      </x:c>
      <x:c r="C297" s="6" t="str">
        <x:v>Bio &amp; production</x:v>
      </x:c>
      <x:c r="D297" s="6" t="str">
        <x:v>Thermo Fisher Scientific</x:v>
      </x:c>
      <x:c r="E297" s="6" t="str">
        <x:v>Public</x:v>
      </x:c>
      <x:c r="F297" s="6" t="str">
        <x:v>NYSE:TMO</x:v>
      </x:c>
      <x:c r="G297" s="6" t="str">
        <x:v>Cell culture reagents, analytical instruments and research workflows.</x:v>
      </x:c>
      <x:c r="H297" s="6" t="str">
        <x:v>https://www.thermofisher.com/</x:v>
      </x:c>
      <x:c r="I297" s="6" t="str">
        <x:v>https://www.thermofisher.com/</x:v>
      </x:c>
    </x:row>
    <x:row r="298" ht="15" hidden="0" customHeight="1">
      <x:c r="A298" s="12" t="n">
        <x:v>29</x:v>
      </x:c>
      <x:c r="B298" s="6" t="str">
        <x:v>Organoids and organ-on-chip testing</x:v>
      </x:c>
      <x:c r="C298" s="6" t="str">
        <x:v>Bio &amp; production</x:v>
      </x:c>
      <x:c r="D298" s="6" t="str">
        <x:v>Danaher / Molecular Devices</x:v>
      </x:c>
      <x:c r="E298" s="6" t="str">
        <x:v>Public</x:v>
      </x:c>
      <x:c r="F298" s="6" t="str">
        <x:v>NYSE:DHR</x:v>
      </x:c>
      <x:c r="G298" s="6" t="str">
        <x:v>Public parent; organoid imaging, automation and analytical instruments.</x:v>
      </x:c>
      <x:c r="H298" s="6" t="str">
        <x:v>https://www.moleculardevices.com/</x:v>
      </x:c>
      <x:c r="I298" s="6" t="str">
        <x:v>https://www.moleculardevices.com/</x:v>
      </x:c>
    </x:row>
    <x:row r="299" ht="15" hidden="0" customHeight="1">
      <x:c r="A299" s="12" t="n">
        <x:v>29</x:v>
      </x:c>
      <x:c r="B299" s="6" t="str">
        <x:v>Organoids and organ-on-chip testing</x:v>
      </x:c>
      <x:c r="C299" s="6" t="str">
        <x:v>Bio &amp; production</x:v>
      </x:c>
      <x:c r="D299" s="6" t="str">
        <x:v>Sartorius</x:v>
      </x:c>
      <x:c r="E299" s="6" t="str">
        <x:v>Public</x:v>
      </x:c>
      <x:c r="F299" s="6" t="str">
        <x:v>XETRA:SRT3</x:v>
      </x:c>
      <x:c r="G299" s="6" t="str">
        <x:v>Cell analysis and culture process tools.</x:v>
      </x:c>
      <x:c r="H299" s="6" t="str">
        <x:v>https://www.sartorius.com/</x:v>
      </x:c>
      <x:c r="I299" s="6" t="str">
        <x:v>https://www.sartorius.com/</x:v>
      </x:c>
    </x:row>
    <x:row r="300" ht="15" hidden="0" customHeight="1">
      <x:c r="A300" s="12" t="n">
        <x:v>29</x:v>
      </x:c>
      <x:c r="B300" s="6" t="str">
        <x:v>Organoids and organ-on-chip testing</x:v>
      </x:c>
      <x:c r="C300" s="6" t="str">
        <x:v>Bio &amp; production</x:v>
      </x:c>
      <x:c r="D300" s="6" t="str">
        <x:v>Merck KGaA / HUB Organoids</x:v>
      </x:c>
      <x:c r="E300" s="6" t="str">
        <x:v>Public</x:v>
      </x:c>
      <x:c r="F300" s="6" t="str">
        <x:v>XETRA:MRK</x:v>
      </x:c>
      <x:c r="G300" s="6" t="str">
        <x:v>Public parent; organoid models, culture reagents and testing tools.</x:v>
      </x:c>
      <x:c r="H300" s="6" t="str">
        <x:v>https://www.merckgroup.com/</x:v>
      </x:c>
      <x:c r="I300" s="6" t="str">
        <x:v>https://www.merckgroup.com/</x:v>
      </x:c>
    </x:row>
    <x:row r="301" ht="15" hidden="0" customHeight="1">
      <x:c r="A301" s="12" t="n">
        <x:v>29</x:v>
      </x:c>
      <x:c r="B301" s="6" t="str">
        <x:v>Organoids and organ-on-chip testing</x:v>
      </x:c>
      <x:c r="C301" s="6" t="str">
        <x:v>Bio &amp; production</x:v>
      </x:c>
      <x:c r="D301" s="6" t="str">
        <x:v>Corning</x:v>
      </x:c>
      <x:c r="E301" s="6" t="str">
        <x:v>Public</x:v>
      </x:c>
      <x:c r="F301" s="6" t="str">
        <x:v>NYSE:GLW</x:v>
      </x:c>
      <x:c r="G301" s="6" t="str">
        <x:v>Matrices, culture vessels and organoid laboratory consumables.</x:v>
      </x:c>
      <x:c r="H301" s="6" t="str">
        <x:v>https://www.corning.com/lifesciences/</x:v>
      </x:c>
      <x:c r="I301" s="6" t="str">
        <x:v>https://www.corning.com/lifesciences/</x:v>
      </x:c>
    </x:row>
    <x:row r="302" ht="15" hidden="0" customHeight="1">
      <x:c r="A302" s="12" t="n">
        <x:v>29</x:v>
      </x:c>
      <x:c r="B302" s="6" t="str">
        <x:v>Organoids and organ-on-chip testing</x:v>
      </x:c>
      <x:c r="C302" s="6" t="str">
        <x:v>Bio &amp; production</x:v>
      </x:c>
      <x:c r="D302" s="6" t="str">
        <x:v>Emulate</x:v>
      </x:c>
      <x:c r="E302" s="6" t="str">
        <x:v>Private</x:v>
      </x:c>
      <x:c r="F302" s="6" t="str"/>
      <x:c r="G302" s="6" t="str">
        <x:v>Organ-on-chip instruments and consumables.</x:v>
      </x:c>
      <x:c r="H302" s="6" t="str">
        <x:v>https://emulatebio.com/</x:v>
      </x:c>
      <x:c r="I302" s="6" t="str">
        <x:v>https://emulatebio.com/</x:v>
      </x:c>
    </x:row>
    <x:row r="303" ht="15" hidden="0" customHeight="1">
      <x:c r="A303" s="12" t="n">
        <x:v>29</x:v>
      </x:c>
      <x:c r="B303" s="6" t="str">
        <x:v>Organoids and organ-on-chip testing</x:v>
      </x:c>
      <x:c r="C303" s="6" t="str">
        <x:v>Bio &amp; production</x:v>
      </x:c>
      <x:c r="D303" s="6" t="str">
        <x:v>MIMETAS</x:v>
      </x:c>
      <x:c r="E303" s="6" t="str">
        <x:v>Private</x:v>
      </x:c>
      <x:c r="F303" s="6" t="str"/>
      <x:c r="G303" s="6" t="str">
        <x:v>Microfluidic tissue models for drug discovery.</x:v>
      </x:c>
      <x:c r="H303" s="6" t="str">
        <x:v>https://www.mimetas.com/</x:v>
      </x:c>
      <x:c r="I303" s="6" t="str">
        <x:v>https://www.mimetas.com/</x:v>
      </x:c>
    </x:row>
    <x:row r="304" ht="15" hidden="0" customHeight="1">
      <x:c r="A304" s="12" t="n">
        <x:v>29</x:v>
      </x:c>
      <x:c r="B304" s="6" t="str">
        <x:v>Organoids and organ-on-chip testing</x:v>
      </x:c>
      <x:c r="C304" s="6" t="str">
        <x:v>Bio &amp; production</x:v>
      </x:c>
      <x:c r="D304" s="6" t="str">
        <x:v>InSphero</x:v>
      </x:c>
      <x:c r="E304" s="6" t="str">
        <x:v>Private</x:v>
      </x:c>
      <x:c r="F304" s="6" t="str"/>
      <x:c r="G304" s="6" t="str">
        <x:v>Three-dimensional microtissues and testing services.</x:v>
      </x:c>
      <x:c r="H304" s="6" t="str">
        <x:v>https://insphero.com/</x:v>
      </x:c>
      <x:c r="I304" s="6" t="str">
        <x:v>https://insphero.com/</x:v>
      </x:c>
    </x:row>
    <x:row r="305" ht="15" hidden="0" customHeight="1">
      <x:c r="A305" s="12" t="n">
        <x:v>29</x:v>
      </x:c>
      <x:c r="B305" s="6" t="str">
        <x:v>Organoids and organ-on-chip testing</x:v>
      </x:c>
      <x:c r="C305" s="6" t="str">
        <x:v>Bio &amp; production</x:v>
      </x:c>
      <x:c r="D305" s="6" t="str">
        <x:v>STEMCELL Technologies</x:v>
      </x:c>
      <x:c r="E305" s="6" t="str">
        <x:v>Private</x:v>
      </x:c>
      <x:c r="F305" s="6" t="str"/>
      <x:c r="G305" s="6" t="str">
        <x:v>Organoid culture media, reagents and research platforms.</x:v>
      </x:c>
      <x:c r="H305" s="6" t="str">
        <x:v>https://www.stemcell.com/</x:v>
      </x:c>
      <x:c r="I305" s="6" t="str">
        <x:v>https://www.stemcell.com/</x:v>
      </x:c>
    </x:row>
    <x:row r="306" ht="15" hidden="0" customHeight="1">
      <x:c r="A306" s="12" t="n">
        <x:v>29</x:v>
      </x:c>
      <x:c r="B306" s="6" t="str">
        <x:v>Organoids and organ-on-chip testing</x:v>
      </x:c>
      <x:c r="C306" s="6" t="str">
        <x:v>Bio &amp; production</x:v>
      </x:c>
      <x:c r="D306" s="6" t="str">
        <x:v>CN Bio</x:v>
      </x:c>
      <x:c r="E306" s="6" t="str">
        <x:v>Private</x:v>
      </x:c>
      <x:c r="F306" s="6" t="str"/>
      <x:c r="G306" s="6" t="str">
        <x:v>Microphysiological systems for drug development.</x:v>
      </x:c>
      <x:c r="H306" s="6" t="str">
        <x:v>https://cn-bio.com/</x:v>
      </x:c>
      <x:c r="I306" s="6" t="str">
        <x:v>https://cn-bio.com/</x:v>
      </x:c>
    </x:row>
    <x:row r="307" ht="15" hidden="0" customHeight="1">
      <x:c r="A307" s="12" t="n">
        <x:v>30</x:v>
      </x:c>
      <x:c r="B307" s="6" t="str">
        <x:v>Autonomous agriculture and precision farming</x:v>
      </x:c>
      <x:c r="C307" s="6" t="str">
        <x:v>Bio &amp; production</x:v>
      </x:c>
      <x:c r="D307" s="6" t="str">
        <x:v>Deere</x:v>
      </x:c>
      <x:c r="E307" s="6" t="str">
        <x:v>Public</x:v>
      </x:c>
      <x:c r="F307" s="6" t="str">
        <x:v>NYSE:DE</x:v>
      </x:c>
      <x:c r="G307" s="6" t="str">
        <x:v>Precision spraying, guidance and automated agricultural machinery.</x:v>
      </x:c>
      <x:c r="H307" s="6" t="str">
        <x:v>https://www.deere.com/</x:v>
      </x:c>
      <x:c r="I307" s="6" t="str">
        <x:v>https://www.deere.com/</x:v>
      </x:c>
    </x:row>
    <x:row r="308" ht="15" hidden="0" customHeight="1">
      <x:c r="A308" s="12" t="n">
        <x:v>30</x:v>
      </x:c>
      <x:c r="B308" s="6" t="str">
        <x:v>Autonomous agriculture and precision farming</x:v>
      </x:c>
      <x:c r="C308" s="6" t="str">
        <x:v>Bio &amp; production</x:v>
      </x:c>
      <x:c r="D308" s="6" t="str">
        <x:v>AGCO</x:v>
      </x:c>
      <x:c r="E308" s="6" t="str">
        <x:v>Public</x:v>
      </x:c>
      <x:c r="F308" s="6" t="str">
        <x:v>NYSE:AGCO</x:v>
      </x:c>
      <x:c r="G308" s="6" t="str">
        <x:v>Farm machinery and precision-agriculture systems including PTx.</x:v>
      </x:c>
      <x:c r="H308" s="6" t="str">
        <x:v>https://www.agcocorp.com/</x:v>
      </x:c>
      <x:c r="I308" s="6" t="str">
        <x:v>https://www.agcocorp.com/</x:v>
      </x:c>
    </x:row>
    <x:row r="309" ht="15" hidden="0" customHeight="1">
      <x:c r="A309" s="12" t="n">
        <x:v>30</x:v>
      </x:c>
      <x:c r="B309" s="6" t="str">
        <x:v>Autonomous agriculture and precision farming</x:v>
      </x:c>
      <x:c r="C309" s="6" t="str">
        <x:v>Bio &amp; production</x:v>
      </x:c>
      <x:c r="D309" s="6" t="str">
        <x:v>CNH Industrial</x:v>
      </x:c>
      <x:c r="E309" s="6" t="str">
        <x:v>Public</x:v>
      </x:c>
      <x:c r="F309" s="6" t="str">
        <x:v>NYSE:CNH</x:v>
      </x:c>
      <x:c r="G309" s="6" t="str">
        <x:v>Precision agriculture, connected equipment and automation.</x:v>
      </x:c>
      <x:c r="H309" s="6" t="str">
        <x:v>https://www.cnh.com/</x:v>
      </x:c>
      <x:c r="I309" s="6" t="str">
        <x:v>https://www.cnh.com/</x:v>
      </x:c>
    </x:row>
    <x:row r="310" ht="15" hidden="0" customHeight="1">
      <x:c r="A310" s="12" t="n">
        <x:v>30</x:v>
      </x:c>
      <x:c r="B310" s="6" t="str">
        <x:v>Autonomous agriculture and precision farming</x:v>
      </x:c>
      <x:c r="C310" s="6" t="str">
        <x:v>Bio &amp; production</x:v>
      </x:c>
      <x:c r="D310" s="6" t="str">
        <x:v>Kubota</x:v>
      </x:c>
      <x:c r="E310" s="6" t="str">
        <x:v>Public</x:v>
      </x:c>
      <x:c r="F310" s="6" t="str">
        <x:v>TYO:6326</x:v>
      </x:c>
      <x:c r="G310" s="6" t="str">
        <x:v>Agricultural machinery and automated farm systems.</x:v>
      </x:c>
      <x:c r="H310" s="6" t="str">
        <x:v>https://www.kubota.com/</x:v>
      </x:c>
      <x:c r="I310" s="6" t="str">
        <x:v>https://www.kubota.com/</x:v>
      </x:c>
    </x:row>
    <x:row r="311" ht="15" hidden="0" customHeight="1">
      <x:c r="A311" s="12" t="n">
        <x:v>30</x:v>
      </x:c>
      <x:c r="B311" s="6" t="str">
        <x:v>Autonomous agriculture and precision farming</x:v>
      </x:c>
      <x:c r="C311" s="6" t="str">
        <x:v>Bio &amp; production</x:v>
      </x:c>
      <x:c r="D311" s="6" t="str">
        <x:v>Trimble</x:v>
      </x:c>
      <x:c r="E311" s="6" t="str">
        <x:v>Public</x:v>
      </x:c>
      <x:c r="F311" s="6" t="str">
        <x:v>NASDAQ:TRMB</x:v>
      </x:c>
      <x:c r="G311" s="6" t="str">
        <x:v>Positioning and precision technology; retained minority PTx exposure.</x:v>
      </x:c>
      <x:c r="H311" s="6" t="str">
        <x:v>https://www.trimble.com/</x:v>
      </x:c>
      <x:c r="I311" s="6" t="str">
        <x:v>https://www.trimble.com/</x:v>
      </x:c>
    </x:row>
    <x:row r="312" ht="15" hidden="0" customHeight="1">
      <x:c r="A312" s="12" t="n">
        <x:v>30</x:v>
      </x:c>
      <x:c r="B312" s="6" t="str">
        <x:v>Autonomous agriculture and precision farming</x:v>
      </x:c>
      <x:c r="C312" s="6" t="str">
        <x:v>Bio &amp; production</x:v>
      </x:c>
      <x:c r="D312" s="6" t="str">
        <x:v>Bayer</x:v>
      </x:c>
      <x:c r="E312" s="6" t="str">
        <x:v>Public</x:v>
      </x:c>
      <x:c r="F312" s="6" t="str">
        <x:v>XETRA:BAYN</x:v>
      </x:c>
      <x:c r="G312" s="6" t="str">
        <x:v>Digital agronomy and input optimisation; indirect software/data exposure.</x:v>
      </x:c>
      <x:c r="H312" s="6" t="str">
        <x:v>https://www.bayer.com/</x:v>
      </x:c>
      <x:c r="I312" s="6" t="str">
        <x:v>https://www.bayer.com/</x:v>
      </x:c>
    </x:row>
    <x:row r="313" ht="15" hidden="0" customHeight="1">
      <x:c r="A313" s="12" t="n">
        <x:v>30</x:v>
      </x:c>
      <x:c r="B313" s="6" t="str">
        <x:v>Autonomous agriculture and precision farming</x:v>
      </x:c>
      <x:c r="C313" s="6" t="str">
        <x:v>Bio &amp; production</x:v>
      </x:c>
      <x:c r="D313" s="6" t="str">
        <x:v>Carbon Robotics</x:v>
      </x:c>
      <x:c r="E313" s="6" t="str">
        <x:v>Private</x:v>
      </x:c>
      <x:c r="F313" s="6" t="str"/>
      <x:c r="G313" s="6" t="str">
        <x:v>Computer-vision-guided laser weed control.</x:v>
      </x:c>
      <x:c r="H313" s="6" t="str">
        <x:v>https://carbonrobotics.com/</x:v>
      </x:c>
      <x:c r="I313" s="6" t="str">
        <x:v>https://carbonrobotics.com/</x:v>
      </x:c>
    </x:row>
    <x:row r="314" ht="15" hidden="0" customHeight="1">
      <x:c r="A314" s="12" t="n">
        <x:v>30</x:v>
      </x:c>
      <x:c r="B314" s="6" t="str">
        <x:v>Autonomous agriculture and precision farming</x:v>
      </x:c>
      <x:c r="C314" s="6" t="str">
        <x:v>Bio &amp; production</x:v>
      </x:c>
      <x:c r="D314" s="6" t="str">
        <x:v>Burro</x:v>
      </x:c>
      <x:c r="E314" s="6" t="str">
        <x:v>Private</x:v>
      </x:c>
      <x:c r="F314" s="6" t="str"/>
      <x:c r="G314" s="6" t="str">
        <x:v>Autonomous agricultural material-transport robots.</x:v>
      </x:c>
      <x:c r="H314" s="6" t="str">
        <x:v>https://burro.ai/</x:v>
      </x:c>
      <x:c r="I314" s="6" t="str">
        <x:v>https://burro.ai/</x:v>
      </x:c>
    </x:row>
    <x:row r="315" ht="15" hidden="0" customHeight="1">
      <x:c r="A315" s="12" t="n">
        <x:v>30</x:v>
      </x:c>
      <x:c r="B315" s="6" t="str">
        <x:v>Autonomous agriculture and precision farming</x:v>
      </x:c>
      <x:c r="C315" s="6" t="str">
        <x:v>Bio &amp; production</x:v>
      </x:c>
      <x:c r="D315" s="6" t="str">
        <x:v>Agtonomy</x:v>
      </x:c>
      <x:c r="E315" s="6" t="str">
        <x:v>Private</x:v>
      </x:c>
      <x:c r="F315" s="6" t="str"/>
      <x:c r="G315" s="6" t="str">
        <x:v>Autonomy and remote-management systems for agricultural equipment.</x:v>
      </x:c>
      <x:c r="H315" s="6" t="str">
        <x:v>https://www.agtonomy.com/</x:v>
      </x:c>
      <x:c r="I315" s="6" t="str">
        <x:v>https://www.agtonomy.com/</x:v>
      </x:c>
    </x:row>
    <x:row r="316" ht="15" hidden="0" customHeight="1">
      <x:c r="A316" s="12" t="n">
        <x:v>30</x:v>
      </x:c>
      <x:c r="B316" s="6" t="str">
        <x:v>Autonomous agriculture and precision farming</x:v>
      </x:c>
      <x:c r="C316" s="6" t="str">
        <x:v>Bio &amp; production</x:v>
      </x:c>
      <x:c r="D316" s="6" t="str">
        <x:v>Solinftec</x:v>
      </x:c>
      <x:c r="E316" s="6" t="str">
        <x:v>Private</x:v>
      </x:c>
      <x:c r="F316" s="6" t="str"/>
      <x:c r="G316" s="6" t="str">
        <x:v>Agricultural monitoring, robotics and precision application.</x:v>
      </x:c>
      <x:c r="H316" s="6" t="str">
        <x:v>https://www.solinftec.com/</x:v>
      </x:c>
      <x:c r="I316" s="6" t="str">
        <x:v>https://www.solinftec.com/</x:v>
      </x:c>
    </x:row>
    <x:row r="317" ht="15" hidden="0" customHeight="1">
      <x:c r="A317" s="12" t="n">
        <x:v>31</x:v>
      </x:c>
      <x:c r="B317" s="6" t="str">
        <x:v>Perovskite-silicon tandem solar</x:v>
      </x:c>
      <x:c r="C317" s="6" t="str">
        <x:v>Clean power</x:v>
      </x:c>
      <x:c r="D317" s="6" t="str">
        <x:v>LONGi</x:v>
      </x:c>
      <x:c r="E317" s="6" t="str">
        <x:v>Public</x:v>
      </x:c>
      <x:c r="F317" s="6" t="str">
        <x:v>SSE:601012</x:v>
      </x:c>
      <x:c r="G317" s="6" t="str">
        <x:v>Silicon and tandem solar research and manufacturing.</x:v>
      </x:c>
      <x:c r="H317" s="6" t="str">
        <x:v>https://www.longi.com/en/</x:v>
      </x:c>
      <x:c r="I317" s="6" t="str">
        <x:v>https://www.longi.com/en/</x:v>
      </x:c>
    </x:row>
    <x:row r="318" ht="15" hidden="0" customHeight="1">
      <x:c r="A318" s="12" t="n">
        <x:v>31</x:v>
      </x:c>
      <x:c r="B318" s="6" t="str">
        <x:v>Perovskite-silicon tandem solar</x:v>
      </x:c>
      <x:c r="C318" s="6" t="str">
        <x:v>Clean power</x:v>
      </x:c>
      <x:c r="D318" s="6" t="str">
        <x:v>JinkoSolar</x:v>
      </x:c>
      <x:c r="E318" s="6" t="str">
        <x:v>Public</x:v>
      </x:c>
      <x:c r="F318" s="6" t="str">
        <x:v>NYSE:JKS</x:v>
      </x:c>
      <x:c r="G318" s="6" t="str">
        <x:v>PV manufacturing and tandem cell development.</x:v>
      </x:c>
      <x:c r="H318" s="6" t="str">
        <x:v>https://www.jinkosolar.com/</x:v>
      </x:c>
      <x:c r="I318" s="6" t="str">
        <x:v>https://www.jinkosolar.com/</x:v>
      </x:c>
    </x:row>
    <x:row r="319" ht="15" hidden="0" customHeight="1">
      <x:c r="A319" s="12" t="n">
        <x:v>31</x:v>
      </x:c>
      <x:c r="B319" s="6" t="str">
        <x:v>Perovskite-silicon tandem solar</x:v>
      </x:c>
      <x:c r="C319" s="6" t="str">
        <x:v>Clean power</x:v>
      </x:c>
      <x:c r="D319" s="6" t="str">
        <x:v>Trina Solar</x:v>
      </x:c>
      <x:c r="E319" s="6" t="str">
        <x:v>Public</x:v>
      </x:c>
      <x:c r="F319" s="6" t="str">
        <x:v>SSE:688599</x:v>
      </x:c>
      <x:c r="G319" s="6" t="str">
        <x:v>PV manufacturing and tandem technology development.</x:v>
      </x:c>
      <x:c r="H319" s="6" t="str">
        <x:v>https://www.trinasolar.com/</x:v>
      </x:c>
      <x:c r="I319" s="6" t="str">
        <x:v>https://www.trinasolar.com/</x:v>
      </x:c>
    </x:row>
    <x:row r="320" ht="15" hidden="0" customHeight="1">
      <x:c r="A320" s="12" t="n">
        <x:v>31</x:v>
      </x:c>
      <x:c r="B320" s="6" t="str">
        <x:v>Perovskite-silicon tandem solar</x:v>
      </x:c>
      <x:c r="C320" s="6" t="str">
        <x:v>Clean power</x:v>
      </x:c>
      <x:c r="D320" s="6" t="str">
        <x:v>Hanwha Solutions / Qcells</x:v>
      </x:c>
      <x:c r="E320" s="6" t="str">
        <x:v>Public</x:v>
      </x:c>
      <x:c r="F320" s="6" t="str">
        <x:v>KRX:009830</x:v>
      </x:c>
      <x:c r="G320" s="6" t="str">
        <x:v>Public parent; tandem research and commercial solar manufacturing.</x:v>
      </x:c>
      <x:c r="H320" s="6" t="str">
        <x:v>https://www.qcells.com/</x:v>
      </x:c>
      <x:c r="I320" s="6" t="str">
        <x:v>https://www.qcells.com/</x:v>
      </x:c>
    </x:row>
    <x:row r="321" ht="15" hidden="0" customHeight="1">
      <x:c r="A321" s="12" t="n">
        <x:v>31</x:v>
      </x:c>
      <x:c r="B321" s="6" t="str">
        <x:v>Perovskite-silicon tandem solar</x:v>
      </x:c>
      <x:c r="C321" s="6" t="str">
        <x:v>Clean power</x:v>
      </x:c>
      <x:c r="D321" s="6" t="str">
        <x:v>First Solar</x:v>
      </x:c>
      <x:c r="E321" s="6" t="str">
        <x:v>Public</x:v>
      </x:c>
      <x:c r="F321" s="6" t="str">
        <x:v>NASDAQ:FSLR</x:v>
      </x:c>
      <x:c r="G321" s="6" t="str">
        <x:v>Perovskite research optionality; current core business is a different thin-film technology.</x:v>
      </x:c>
      <x:c r="H321" s="6" t="str">
        <x:v>https://www.firstsolar.com/</x:v>
      </x:c>
      <x:c r="I321" s="6" t="str">
        <x:v>https://www.firstsolar.com/</x:v>
      </x:c>
    </x:row>
    <x:row r="322" ht="15" hidden="0" customHeight="1">
      <x:c r="A322" s="12" t="n">
        <x:v>31</x:v>
      </x:c>
      <x:c r="B322" s="6" t="str">
        <x:v>Perovskite-silicon tandem solar</x:v>
      </x:c>
      <x:c r="C322" s="6" t="str">
        <x:v>Clean power</x:v>
      </x:c>
      <x:c r="D322" s="6" t="str">
        <x:v>Oxford PV</x:v>
      </x:c>
      <x:c r="E322" s="6" t="str">
        <x:v>Private</x:v>
      </x:c>
      <x:c r="F322" s="6" t="str"/>
      <x:c r="G322" s="6" t="str">
        <x:v>Perovskite-on-silicon tandem cells and initial commercial modules.</x:v>
      </x:c>
      <x:c r="H322" s="6" t="str">
        <x:v>https://www.oxfordpv.com/</x:v>
      </x:c>
      <x:c r="I322" s="6" t="str">
        <x:v>https://www.oxfordpv.com/</x:v>
      </x:c>
    </x:row>
    <x:row r="323" ht="15" hidden="0" customHeight="1">
      <x:c r="A323" s="12" t="n">
        <x:v>31</x:v>
      </x:c>
      <x:c r="B323" s="6" t="str">
        <x:v>Perovskite-silicon tandem solar</x:v>
      </x:c>
      <x:c r="C323" s="6" t="str">
        <x:v>Clean power</x:v>
      </x:c>
      <x:c r="D323" s="6" t="str">
        <x:v>Tandem PV</x:v>
      </x:c>
      <x:c r="E323" s="6" t="str">
        <x:v>Private</x:v>
      </x:c>
      <x:c r="F323" s="6" t="str"/>
      <x:c r="G323" s="6" t="str">
        <x:v>Commercial tandem solar development and manufacturing scale-up.</x:v>
      </x:c>
      <x:c r="H323" s="6" t="str">
        <x:v>https://www.tandempv.com/</x:v>
      </x:c>
      <x:c r="I323" s="6" t="str">
        <x:v>https://www.tandempv.com/</x:v>
      </x:c>
    </x:row>
    <x:row r="324" ht="15" hidden="0" customHeight="1">
      <x:c r="A324" s="12" t="n">
        <x:v>31</x:v>
      </x:c>
      <x:c r="B324" s="6" t="str">
        <x:v>Perovskite-silicon tandem solar</x:v>
      </x:c>
      <x:c r="C324" s="6" t="str">
        <x:v>Clean power</x:v>
      </x:c>
      <x:c r="D324" s="6" t="str">
        <x:v>CubicPV</x:v>
      </x:c>
      <x:c r="E324" s="6" t="str">
        <x:v>Private</x:v>
      </x:c>
      <x:c r="F324" s="6" t="str"/>
      <x:c r="G324" s="6" t="str">
        <x:v>Perovskite tandem materials and module development.</x:v>
      </x:c>
      <x:c r="H324" s="6" t="str">
        <x:v>https://cubicpv.com/</x:v>
      </x:c>
      <x:c r="I324" s="6" t="str">
        <x:v>https://cubicpv.com/</x:v>
      </x:c>
    </x:row>
    <x:row r="325" ht="15" hidden="0" customHeight="1">
      <x:c r="A325" s="12" t="n">
        <x:v>31</x:v>
      </x:c>
      <x:c r="B325" s="6" t="str">
        <x:v>Perovskite-silicon tandem solar</x:v>
      </x:c>
      <x:c r="C325" s="6" t="str">
        <x:v>Clean power</x:v>
      </x:c>
      <x:c r="D325" s="6" t="str">
        <x:v>Swift Solar</x:v>
      </x:c>
      <x:c r="E325" s="6" t="str">
        <x:v>Private</x:v>
      </x:c>
      <x:c r="F325" s="6" t="str"/>
      <x:c r="G325" s="6" t="str">
        <x:v>Perovskite tandem technology and manufacturing.</x:v>
      </x:c>
      <x:c r="H325" s="6" t="str">
        <x:v>https://www.swiftsolar.com/</x:v>
      </x:c>
      <x:c r="I325" s="6" t="str">
        <x:v>https://www.swiftsolar.com/</x:v>
      </x:c>
    </x:row>
    <x:row r="326" ht="15" hidden="0" customHeight="1">
      <x:c r="A326" s="12" t="n">
        <x:v>31</x:v>
      </x:c>
      <x:c r="B326" s="6" t="str">
        <x:v>Perovskite-silicon tandem solar</x:v>
      </x:c>
      <x:c r="C326" s="6" t="str">
        <x:v>Clean power</x:v>
      </x:c>
      <x:c r="D326" s="6" t="str">
        <x:v>UtmoLight</x:v>
      </x:c>
      <x:c r="E326" s="6" t="str">
        <x:v>Private</x:v>
      </x:c>
      <x:c r="F326" s="6" t="str"/>
      <x:c r="G326" s="6" t="str">
        <x:v>Perovskite manufacturing and tandem-related development; some products are standalone perovskite.</x:v>
      </x:c>
      <x:c r="H326" s="6" t="str">
        <x:v>https://www.utmolight.com/</x:v>
      </x:c>
      <x:c r="I326" s="6" t="str">
        <x:v>https://www.utmolight.com/</x:v>
      </x:c>
    </x:row>
    <x:row r="327" ht="15" hidden="0" customHeight="1">
      <x:c r="A327" s="12" t="n">
        <x:v>32</x:v>
      </x:c>
      <x:c r="B327" s="6" t="str">
        <x:v>Long-duration energy storage</x:v>
      </x:c>
      <x:c r="C327" s="6" t="str">
        <x:v>Clean power</x:v>
      </x:c>
      <x:c r="D327" s="6" t="str">
        <x:v>Eos Energy</x:v>
      </x:c>
      <x:c r="E327" s="6" t="str">
        <x:v>Public</x:v>
      </x:c>
      <x:c r="F327" s="6" t="str">
        <x:v>NASDAQ:EOSE</x:v>
      </x:c>
      <x:c r="G327" s="6" t="str">
        <x:v>Zinc-based stationary battery systems.</x:v>
      </x:c>
      <x:c r="H327" s="6" t="str">
        <x:v>https://www.eose.com/</x:v>
      </x:c>
      <x:c r="I327" s="6" t="str">
        <x:v>https://www.eose.com/</x:v>
      </x:c>
    </x:row>
    <x:row r="328" ht="15" hidden="0" customHeight="1">
      <x:c r="A328" s="12" t="n">
        <x:v>32</x:v>
      </x:c>
      <x:c r="B328" s="6" t="str">
        <x:v>Long-duration energy storage</x:v>
      </x:c>
      <x:c r="C328" s="6" t="str">
        <x:v>Clean power</x:v>
      </x:c>
      <x:c r="D328" s="6" t="str">
        <x:v>Invinity Energy Systems</x:v>
      </x:c>
      <x:c r="E328" s="6" t="str">
        <x:v>Public</x:v>
      </x:c>
      <x:c r="F328" s="6" t="str">
        <x:v>AIM:IES</x:v>
      </x:c>
      <x:c r="G328" s="6" t="str">
        <x:v>Vanadium flow batteries.</x:v>
      </x:c>
      <x:c r="H328" s="6" t="str">
        <x:v>https://invinity.com/</x:v>
      </x:c>
      <x:c r="I328" s="6" t="str">
        <x:v>https://invinity.com/</x:v>
      </x:c>
    </x:row>
    <x:row r="329" ht="15" hidden="0" customHeight="1">
      <x:c r="A329" s="12" t="n">
        <x:v>32</x:v>
      </x:c>
      <x:c r="B329" s="6" t="str">
        <x:v>Long-duration energy storage</x:v>
      </x:c>
      <x:c r="C329" s="6" t="str">
        <x:v>Clean power</x:v>
      </x:c>
      <x:c r="D329" s="6" t="str">
        <x:v>Sumitomo Electric</x:v>
      </x:c>
      <x:c r="E329" s="6" t="str">
        <x:v>Public</x:v>
      </x:c>
      <x:c r="F329" s="6" t="str">
        <x:v>TYO:5802</x:v>
      </x:c>
      <x:c r="G329" s="6" t="str">
        <x:v>Flow-battery systems and grid equipment.</x:v>
      </x:c>
      <x:c r="H329" s="6" t="str">
        <x:v>https://sumitomoelectric.com/</x:v>
      </x:c>
      <x:c r="I329" s="6" t="str">
        <x:v>https://sumitomoelectric.com/</x:v>
      </x:c>
    </x:row>
    <x:row r="330" ht="15" hidden="0" customHeight="1">
      <x:c r="A330" s="12" t="n">
        <x:v>32</x:v>
      </x:c>
      <x:c r="B330" s="6" t="str">
        <x:v>Long-duration energy storage</x:v>
      </x:c>
      <x:c r="C330" s="6" t="str">
        <x:v>Clean power</x:v>
      </x:c>
      <x:c r="D330" s="6" t="str">
        <x:v>Energy Vault</x:v>
      </x:c>
      <x:c r="E330" s="6" t="str">
        <x:v>Public</x:v>
      </x:c>
      <x:c r="F330" s="6" t="str">
        <x:v>NYSE:NRGV</x:v>
      </x:c>
      <x:c r="G330" s="6" t="str">
        <x:v>Gravity and other storage project development; mixed-technology exposure.</x:v>
      </x:c>
      <x:c r="H330" s="6" t="str">
        <x:v>https://www.energyvault.com/</x:v>
      </x:c>
      <x:c r="I330" s="6" t="str">
        <x:v>https://www.energyvault.com/</x:v>
      </x:c>
    </x:row>
    <x:row r="331" ht="15" hidden="0" customHeight="1">
      <x:c r="A331" s="12" t="n">
        <x:v>32</x:v>
      </x:c>
      <x:c r="B331" s="6" t="str">
        <x:v>Long-duration energy storage</x:v>
      </x:c>
      <x:c r="C331" s="6" t="str">
        <x:v>Clean power</x:v>
      </x:c>
      <x:c r="D331" s="6" t="str">
        <x:v>GE Vernova</x:v>
      </x:c>
      <x:c r="E331" s="6" t="str">
        <x:v>Public</x:v>
      </x:c>
      <x:c r="F331" s="6" t="str">
        <x:v>NYSE:GEV</x:v>
      </x:c>
      <x:c r="G331" s="6" t="str">
        <x:v>Hydropower and grid equipment; legacy pumped-storage exposure is adjacent to emerging LDES.</x:v>
      </x:c>
      <x:c r="H331" s="6" t="str">
        <x:v>https://www.gevernova.com/</x:v>
      </x:c>
      <x:c r="I331" s="6" t="str">
        <x:v>https://www.gevernova.com/</x:v>
      </x:c>
    </x:row>
    <x:row r="332" ht="15" hidden="0" customHeight="1">
      <x:c r="A332" s="12" t="n">
        <x:v>32</x:v>
      </x:c>
      <x:c r="B332" s="6" t="str">
        <x:v>Long-duration energy storage</x:v>
      </x:c>
      <x:c r="C332" s="6" t="str">
        <x:v>Clean power</x:v>
      </x:c>
      <x:c r="D332" s="6" t="str">
        <x:v>Form Energy</x:v>
      </x:c>
      <x:c r="E332" s="6" t="str">
        <x:v>Private</x:v>
      </x:c>
      <x:c r="F332" s="6" t="str"/>
      <x:c r="G332" s="6" t="str">
        <x:v>Multi-day iron-air storage systems.</x:v>
      </x:c>
      <x:c r="H332" s="6" t="str">
        <x:v>https://formenergy.com/</x:v>
      </x:c>
      <x:c r="I332" s="6" t="str">
        <x:v>https://formenergy.com/</x:v>
      </x:c>
    </x:row>
    <x:row r="333" ht="15" hidden="0" customHeight="1">
      <x:c r="A333" s="12" t="n">
        <x:v>32</x:v>
      </x:c>
      <x:c r="B333" s="6" t="str">
        <x:v>Long-duration energy storage</x:v>
      </x:c>
      <x:c r="C333" s="6" t="str">
        <x:v>Clean power</x:v>
      </x:c>
      <x:c r="D333" s="6" t="str">
        <x:v>Hydrostor</x:v>
      </x:c>
      <x:c r="E333" s="6" t="str">
        <x:v>Private</x:v>
      </x:c>
      <x:c r="F333" s="6" t="str"/>
      <x:c r="G333" s="6" t="str">
        <x:v>Advanced compressed-air energy storage.</x:v>
      </x:c>
      <x:c r="H333" s="6" t="str">
        <x:v>https://hydrostor.ca/</x:v>
      </x:c>
      <x:c r="I333" s="6" t="str">
        <x:v>https://hydrostor.ca/</x:v>
      </x:c>
    </x:row>
    <x:row r="334" ht="15" hidden="0" customHeight="1">
      <x:c r="A334" s="12" t="n">
        <x:v>32</x:v>
      </x:c>
      <x:c r="B334" s="6" t="str">
        <x:v>Long-duration energy storage</x:v>
      </x:c>
      <x:c r="C334" s="6" t="str">
        <x:v>Clean power</x:v>
      </x:c>
      <x:c r="D334" s="6" t="str">
        <x:v>Highview Power</x:v>
      </x:c>
      <x:c r="E334" s="6" t="str">
        <x:v>Private</x:v>
      </x:c>
      <x:c r="F334" s="6" t="str"/>
      <x:c r="G334" s="6" t="str">
        <x:v>Liquid-air energy storage.</x:v>
      </x:c>
      <x:c r="H334" s="6" t="str">
        <x:v>https://highviewpower.com/</x:v>
      </x:c>
      <x:c r="I334" s="6" t="str">
        <x:v>https://highviewpower.com/</x:v>
      </x:c>
    </x:row>
    <x:row r="335" ht="15" hidden="0" customHeight="1">
      <x:c r="A335" s="12" t="n">
        <x:v>32</x:v>
      </x:c>
      <x:c r="B335" s="6" t="str">
        <x:v>Long-duration energy storage</x:v>
      </x:c>
      <x:c r="C335" s="6" t="str">
        <x:v>Clean power</x:v>
      </x:c>
      <x:c r="D335" s="6" t="str">
        <x:v>Energy Dome</x:v>
      </x:c>
      <x:c r="E335" s="6" t="str">
        <x:v>Private</x:v>
      </x:c>
      <x:c r="F335" s="6" t="str"/>
      <x:c r="G335" s="6" t="str">
        <x:v>Closed-loop carbon-dioxide energy storage.</x:v>
      </x:c>
      <x:c r="H335" s="6" t="str">
        <x:v>https://energydome.com/</x:v>
      </x:c>
      <x:c r="I335" s="6" t="str">
        <x:v>https://energydome.com/</x:v>
      </x:c>
    </x:row>
    <x:row r="336" ht="15" hidden="0" customHeight="1">
      <x:c r="A336" s="12" t="n">
        <x:v>32</x:v>
      </x:c>
      <x:c r="B336" s="6" t="str">
        <x:v>Long-duration energy storage</x:v>
      </x:c>
      <x:c r="C336" s="6" t="str">
        <x:v>Clean power</x:v>
      </x:c>
      <x:c r="D336" s="6" t="str">
        <x:v>Rondo Energy</x:v>
      </x:c>
      <x:c r="E336" s="6" t="str">
        <x:v>Private</x:v>
      </x:c>
      <x:c r="F336" s="6" t="str"/>
      <x:c r="G336" s="6" t="str">
        <x:v>Industrial thermal energy storage.</x:v>
      </x:c>
      <x:c r="H336" s="6" t="str">
        <x:v>https://rondo.com/</x:v>
      </x:c>
      <x:c r="I336" s="6" t="str">
        <x:v>https://rondo.com/</x:v>
      </x:c>
    </x:row>
    <x:row r="337" ht="15" hidden="0" customHeight="1">
      <x:c r="A337" s="12" t="n">
        <x:v>33</x:v>
      </x:c>
      <x:c r="B337" s="6" t="str">
        <x:v>Sodium-ion batteries</x:v>
      </x:c>
      <x:c r="C337" s="6" t="str">
        <x:v>Clean power</x:v>
      </x:c>
      <x:c r="D337" s="6" t="str">
        <x:v>CATL</x:v>
      </x:c>
      <x:c r="E337" s="6" t="str">
        <x:v>Public</x:v>
      </x:c>
      <x:c r="F337" s="6" t="str">
        <x:v>SZSE:300750</x:v>
      </x:c>
      <x:c r="G337" s="6" t="str">
        <x:v>Sodium-ion cells and vehicle/storage supply relationships.</x:v>
      </x:c>
      <x:c r="H337" s="6" t="str">
        <x:v>https://www.catl.com/en/</x:v>
      </x:c>
      <x:c r="I337" s="6" t="str">
        <x:v>https://www.catl.com/en/</x:v>
      </x:c>
    </x:row>
    <x:row r="338" ht="15" hidden="0" customHeight="1">
      <x:c r="A338" s="12" t="n">
        <x:v>33</x:v>
      </x:c>
      <x:c r="B338" s="6" t="str">
        <x:v>Sodium-ion batteries</x:v>
      </x:c>
      <x:c r="C338" s="6" t="str">
        <x:v>Clean power</x:v>
      </x:c>
      <x:c r="D338" s="6" t="str">
        <x:v>BYD</x:v>
      </x:c>
      <x:c r="E338" s="6" t="str">
        <x:v>Public</x:v>
      </x:c>
      <x:c r="F338" s="6" t="str">
        <x:v>HKEX:1211</x:v>
      </x:c>
      <x:c r="G338" s="6" t="str">
        <x:v>Battery and vehicle manufacturing with sodium-ion development.</x:v>
      </x:c>
      <x:c r="H338" s="6" t="str">
        <x:v>https://www.bydglobal.com/</x:v>
      </x:c>
      <x:c r="I338" s="6" t="str">
        <x:v>https://www.bydglobal.com/</x:v>
      </x:c>
    </x:row>
    <x:row r="339" ht="15" hidden="0" customHeight="1">
      <x:c r="A339" s="12" t="n">
        <x:v>33</x:v>
      </x:c>
      <x:c r="B339" s="6" t="str">
        <x:v>Sodium-ion batteries</x:v>
      </x:c>
      <x:c r="C339" s="6" t="str">
        <x:v>Clean power</x:v>
      </x:c>
      <x:c r="D339" s="6" t="str">
        <x:v>Reliance Industries / Faradion</x:v>
      </x:c>
      <x:c r="E339" s="6" t="str">
        <x:v>Public</x:v>
      </x:c>
      <x:c r="F339" s="6" t="str">
        <x:v>NSE:RELIANCE</x:v>
      </x:c>
      <x:c r="G339" s="6" t="str">
        <x:v>Public parent; sodium-ion intellectual property and commercialisation.</x:v>
      </x:c>
      <x:c r="H339" s="6" t="str">
        <x:v>https://faradion.co.uk/</x:v>
      </x:c>
      <x:c r="I339" s="6" t="str">
        <x:v>https://faradion.co.uk/</x:v>
      </x:c>
    </x:row>
    <x:row r="340" ht="15" hidden="0" customHeight="1">
      <x:c r="A340" s="12" t="n">
        <x:v>33</x:v>
      </x:c>
      <x:c r="B340" s="6" t="str">
        <x:v>Sodium-ion batteries</x:v>
      </x:c>
      <x:c r="C340" s="6" t="str">
        <x:v>Clean power</x:v>
      </x:c>
      <x:c r="D340" s="6" t="str">
        <x:v>Changan Automobile</x:v>
      </x:c>
      <x:c r="E340" s="6" t="str">
        <x:v>Public</x:v>
      </x:c>
      <x:c r="F340" s="6" t="str">
        <x:v>SZSE:000625</x:v>
      </x:c>
      <x:c r="G340" s="6" t="str">
        <x:v>Vehicle integration and customer demand for sodium-ion packs.</x:v>
      </x:c>
      <x:c r="H340" s="6" t="str">
        <x:v>https://www.globalchangan.com/</x:v>
      </x:c>
      <x:c r="I340" s="6" t="str">
        <x:v>https://www.globalchangan.com/</x:v>
      </x:c>
    </x:row>
    <x:row r="341" ht="15" hidden="0" customHeight="1">
      <x:c r="A341" s="12" t="n">
        <x:v>33</x:v>
      </x:c>
      <x:c r="B341" s="6" t="str">
        <x:v>Sodium-ion batteries</x:v>
      </x:c>
      <x:c r="C341" s="6" t="str">
        <x:v>Clean power</x:v>
      </x:c>
      <x:c r="D341" s="6" t="str">
        <x:v>JAC Motors</x:v>
      </x:c>
      <x:c r="E341" s="6" t="str">
        <x:v>Public</x:v>
      </x:c>
      <x:c r="F341" s="6" t="str">
        <x:v>SSE:600418</x:v>
      </x:c>
      <x:c r="G341" s="6" t="str">
        <x:v>Vehicle integration of sodium-ion battery programmes.</x:v>
      </x:c>
      <x:c r="H341" s="6" t="str">
        <x:v>https://jacen.jac.com.cn/</x:v>
      </x:c>
      <x:c r="I341" s="6" t="str">
        <x:v>https://jacen.jac.com.cn/</x:v>
      </x:c>
    </x:row>
    <x:row r="342" ht="15" hidden="0" customHeight="1">
      <x:c r="A342" s="12" t="n">
        <x:v>33</x:v>
      </x:c>
      <x:c r="B342" s="6" t="str">
        <x:v>Sodium-ion batteries</x:v>
      </x:c>
      <x:c r="C342" s="6" t="str">
        <x:v>Clean power</x:v>
      </x:c>
      <x:c r="D342" s="6" t="str">
        <x:v>HiNa Battery</x:v>
      </x:c>
      <x:c r="E342" s="6" t="str">
        <x:v>Private</x:v>
      </x:c>
      <x:c r="F342" s="6" t="str"/>
      <x:c r="G342" s="6" t="str">
        <x:v>Sodium-ion cell development and manufacturing.</x:v>
      </x:c>
      <x:c r="H342" s="6" t="str">
        <x:v>https://www.hinabattery.com/</x:v>
      </x:c>
      <x:c r="I342" s="6" t="str">
        <x:v>https://www.hinabattery.com/</x:v>
      </x:c>
    </x:row>
    <x:row r="343" ht="15" hidden="0" customHeight="1">
      <x:c r="A343" s="12" t="n">
        <x:v>33</x:v>
      </x:c>
      <x:c r="B343" s="6" t="str">
        <x:v>Sodium-ion batteries</x:v>
      </x:c>
      <x:c r="C343" s="6" t="str">
        <x:v>Clean power</x:v>
      </x:c>
      <x:c r="D343" s="6" t="str">
        <x:v>Altris</x:v>
      </x:c>
      <x:c r="E343" s="6" t="str">
        <x:v>Private</x:v>
      </x:c>
      <x:c r="F343" s="6" t="str"/>
      <x:c r="G343" s="6" t="str">
        <x:v>Sodium-ion cathode materials and battery technology.</x:v>
      </x:c>
      <x:c r="H343" s="6" t="str">
        <x:v>https://www.altris.se/</x:v>
      </x:c>
      <x:c r="I343" s="6" t="str">
        <x:v>https://www.altris.se/</x:v>
      </x:c>
    </x:row>
    <x:row r="344" ht="15" hidden="0" customHeight="1">
      <x:c r="A344" s="12" t="n">
        <x:v>33</x:v>
      </x:c>
      <x:c r="B344" s="6" t="str">
        <x:v>Sodium-ion batteries</x:v>
      </x:c>
      <x:c r="C344" s="6" t="str">
        <x:v>Clean power</x:v>
      </x:c>
      <x:c r="D344" s="6" t="str">
        <x:v>Tiamat</x:v>
      </x:c>
      <x:c r="E344" s="6" t="str">
        <x:v>Private</x:v>
      </x:c>
      <x:c r="F344" s="6" t="str"/>
      <x:c r="G344" s="6" t="str">
        <x:v>Sodium-ion cells for power and industrial applications.</x:v>
      </x:c>
      <x:c r="H344" s="6" t="str">
        <x:v>https://www.tiamat-energy.com/</x:v>
      </x:c>
      <x:c r="I344" s="6" t="str">
        <x:v>https://www.tiamat-energy.com/</x:v>
      </x:c>
    </x:row>
    <x:row r="345" ht="15" hidden="0" customHeight="1">
      <x:c r="A345" s="12" t="n">
        <x:v>33</x:v>
      </x:c>
      <x:c r="B345" s="6" t="str">
        <x:v>Sodium-ion batteries</x:v>
      </x:c>
      <x:c r="C345" s="6" t="str">
        <x:v>Clean power</x:v>
      </x:c>
      <x:c r="D345" s="6" t="str">
        <x:v>Peak Energy</x:v>
      </x:c>
      <x:c r="E345" s="6" t="str">
        <x:v>Private</x:v>
      </x:c>
      <x:c r="F345" s="6" t="str"/>
      <x:c r="G345" s="6" t="str">
        <x:v>Sodium-ion stationary energy storage.</x:v>
      </x:c>
      <x:c r="H345" s="6" t="str">
        <x:v>https://www.peakenergy.com/</x:v>
      </x:c>
      <x:c r="I345" s="6" t="str">
        <x:v>https://www.peakenergy.com/</x:v>
      </x:c>
    </x:row>
    <x:row r="346" ht="15" hidden="0" customHeight="1">
      <x:c r="A346" s="12" t="n">
        <x:v>33</x:v>
      </x:c>
      <x:c r="B346" s="6" t="str">
        <x:v>Sodium-ion batteries</x:v>
      </x:c>
      <x:c r="C346" s="6" t="str">
        <x:v>Clean power</x:v>
      </x:c>
      <x:c r="D346" s="6" t="str">
        <x:v>Zoolnasm</x:v>
      </x:c>
      <x:c r="E346" s="6" t="str">
        <x:v>Private</x:v>
      </x:c>
      <x:c r="F346" s="6" t="str"/>
      <x:c r="G346" s="6" t="str">
        <x:v>Sodium-ion battery development and manufacturing.</x:v>
      </x:c>
      <x:c r="H346" s="6" t="str">
        <x:v>https://www.zoolnasm.com/</x:v>
      </x:c>
      <x:c r="I346" s="6" t="str">
        <x:v>https://www.zoolnasm.com/</x:v>
      </x:c>
    </x:row>
    <x:row r="347" ht="24" hidden="0" customHeight="1">
      <x:c r="A347" s="12" t="n">
        <x:v>34</x:v>
      </x:c>
      <x:c r="B347" s="6" t="str">
        <x:v>Advanced geothermal</x:v>
      </x:c>
      <x:c r="C347" s="6" t="str">
        <x:v>Clean power</x:v>
      </x:c>
      <x:c r="D347" s="6" t="str">
        <x:v>Fervo Energy</x:v>
      </x:c>
      <x:c r="E347" s="6" t="str">
        <x:v>Public</x:v>
      </x:c>
      <x:c r="F347" s="6" t="str">
        <x:v>NASDAQ:FRVO</x:v>
      </x:c>
      <x:c r="G347" s="6" t="str">
        <x:v>Direct developer of enhanced geothermal plants; IPO completed in May 2026.</x:v>
      </x:c>
      <x:c r="H347" s="6" t="str">
        <x:v>https://ir.fervoenergy.com/</x:v>
      </x:c>
      <x:c r="I347" s="6" t="str">
        <x:v>https://ir.fervoenergy.com/
https://ir.fervoenergy.com/news-releases/news-release-details/fervo-energy-declares-commercial-operation-cape-station-ahead</x:v>
      </x:c>
    </x:row>
    <x:row r="348" ht="15" hidden="0" customHeight="1">
      <x:c r="A348" s="12" t="n">
        <x:v>34</x:v>
      </x:c>
      <x:c r="B348" s="6" t="str">
        <x:v>Advanced geothermal</x:v>
      </x:c>
      <x:c r="C348" s="6" t="str">
        <x:v>Clean power</x:v>
      </x:c>
      <x:c r="D348" s="6" t="str">
        <x:v>Ormat Technologies</x:v>
      </x:c>
      <x:c r="E348" s="6" t="str">
        <x:v>Public</x:v>
      </x:c>
      <x:c r="F348" s="6" t="str">
        <x:v>NYSE:ORA</x:v>
      </x:c>
      <x:c r="G348" s="6" t="str">
        <x:v>Geothermal plant operator and supplier of binary-cycle power equipment; exposure includes conventional and next-generation projects.</x:v>
      </x:c>
      <x:c r="H348" s="6" t="str">
        <x:v>https://www.ormat.com/</x:v>
      </x:c>
      <x:c r="I348" s="6" t="str">
        <x:v>https://www.ormat.com/</x:v>
      </x:c>
    </x:row>
    <x:row r="349" ht="15" hidden="0" customHeight="1">
      <x:c r="A349" s="12" t="n">
        <x:v>34</x:v>
      </x:c>
      <x:c r="B349" s="6" t="str">
        <x:v>Advanced geothermal</x:v>
      </x:c>
      <x:c r="C349" s="6" t="str">
        <x:v>Clean power</x:v>
      </x:c>
      <x:c r="D349" s="6" t="str">
        <x:v>Baker Hughes</x:v>
      </x:c>
      <x:c r="E349" s="6" t="str">
        <x:v>Public</x:v>
      </x:c>
      <x:c r="F349" s="6" t="str">
        <x:v>NASDAQ:BKR</x:v>
      </x:c>
      <x:c r="G349" s="6" t="str">
        <x:v>Drilling, subsurface and turbomachinery supplier; geothermal is a portion of a diversified business.</x:v>
      </x:c>
      <x:c r="H349" s="6" t="str">
        <x:v>https://www.bakerhughes.com/geothermal-solutions</x:v>
      </x:c>
      <x:c r="I349" s="6" t="str">
        <x:v>https://www.bakerhughes.com/geothermal-solutions</x:v>
      </x:c>
    </x:row>
    <x:row r="350" ht="15" hidden="0" customHeight="1">
      <x:c r="A350" s="12" t="n">
        <x:v>34</x:v>
      </x:c>
      <x:c r="B350" s="6" t="str">
        <x:v>Advanced geothermal</x:v>
      </x:c>
      <x:c r="C350" s="6" t="str">
        <x:v>Clean power</x:v>
      </x:c>
      <x:c r="D350" s="6" t="str">
        <x:v>SLB</x:v>
      </x:c>
      <x:c r="E350" s="6" t="str">
        <x:v>Public</x:v>
      </x:c>
      <x:c r="F350" s="6" t="str">
        <x:v>NYSE:SLB</x:v>
      </x:c>
      <x:c r="G350" s="6" t="str">
        <x:v>Subsurface modelling, drilling and well construction; indirect equipment and services exposure.</x:v>
      </x:c>
      <x:c r="H350" s="6" t="str">
        <x:v>https://www.slb.com/</x:v>
      </x:c>
      <x:c r="I350" s="6" t="str">
        <x:v>https://www.slb.com/</x:v>
      </x:c>
    </x:row>
    <x:row r="351" ht="15" hidden="0" customHeight="1">
      <x:c r="A351" s="12" t="n">
        <x:v>34</x:v>
      </x:c>
      <x:c r="B351" s="6" t="str">
        <x:v>Advanced geothermal</x:v>
      </x:c>
      <x:c r="C351" s="6" t="str">
        <x:v>Clean power</x:v>
      </x:c>
      <x:c r="D351" s="6" t="str">
        <x:v>Halliburton</x:v>
      </x:c>
      <x:c r="E351" s="6" t="str">
        <x:v>Public</x:v>
      </x:c>
      <x:c r="F351" s="6" t="str">
        <x:v>NYSE:HAL</x:v>
      </x:c>
      <x:c r="G351" s="6" t="str">
        <x:v>Well construction and stimulation services used in geothermal development; diversified exposure.</x:v>
      </x:c>
      <x:c r="H351" s="6" t="str">
        <x:v>https://www.halliburton.com/</x:v>
      </x:c>
      <x:c r="I351" s="6" t="str">
        <x:v>https://www.halliburton.com/</x:v>
      </x:c>
    </x:row>
    <x:row r="352" ht="15" hidden="0" customHeight="1">
      <x:c r="A352" s="12" t="n">
        <x:v>34</x:v>
      </x:c>
      <x:c r="B352" s="6" t="str">
        <x:v>Advanced geothermal</x:v>
      </x:c>
      <x:c r="C352" s="6" t="str">
        <x:v>Clean power</x:v>
      </x:c>
      <x:c r="D352" s="6" t="str">
        <x:v>Mitsubishi Heavy Industries</x:v>
      </x:c>
      <x:c r="E352" s="6" t="str">
        <x:v>Public</x:v>
      </x:c>
      <x:c r="F352" s="6" t="str">
        <x:v>TSE:7011</x:v>
      </x:c>
      <x:c r="G352" s="6" t="str">
        <x:v>Parent of Turboden, supplying organic Rankine-cycle turbines for geothermal projects.</x:v>
      </x:c>
      <x:c r="H352" s="6" t="str">
        <x:v>https://www.mhi.com/</x:v>
      </x:c>
      <x:c r="I352" s="6" t="str">
        <x:v>https://www.mhi.com/</x:v>
      </x:c>
    </x:row>
    <x:row r="353" ht="15" hidden="0" customHeight="1">
      <x:c r="A353" s="12" t="n">
        <x:v>34</x:v>
      </x:c>
      <x:c r="B353" s="6" t="str">
        <x:v>Advanced geothermal</x:v>
      </x:c>
      <x:c r="C353" s="6" t="str">
        <x:v>Clean power</x:v>
      </x:c>
      <x:c r="D353" s="6" t="str">
        <x:v>Eavor</x:v>
      </x:c>
      <x:c r="E353" s="6" t="str">
        <x:v>Private</x:v>
      </x:c>
      <x:c r="F353" s="6" t="str"/>
      <x:c r="G353" s="6" t="str">
        <x:v>Closed-loop geothermal developer and licensor; Geretsried is its initial commercial demonstration.</x:v>
      </x:c>
      <x:c r="H353" s="6" t="str">
        <x:v>https://eavor.com/</x:v>
      </x:c>
      <x:c r="I353" s="6" t="str">
        <x:v>https://eavor.com/</x:v>
      </x:c>
    </x:row>
    <x:row r="354" ht="15" hidden="0" customHeight="1">
      <x:c r="A354" s="12" t="n">
        <x:v>34</x:v>
      </x:c>
      <x:c r="B354" s="6" t="str">
        <x:v>Advanced geothermal</x:v>
      </x:c>
      <x:c r="C354" s="6" t="str">
        <x:v>Clean power</x:v>
      </x:c>
      <x:c r="D354" s="6" t="str">
        <x:v>Quaise Energy</x:v>
      </x:c>
      <x:c r="E354" s="6" t="str">
        <x:v>Private</x:v>
      </x:c>
      <x:c r="F354" s="6" t="str"/>
      <x:c r="G354" s="6" t="str">
        <x:v>Develops millimetre-wave drilling for very deep, superhot geothermal; early technology risk.</x:v>
      </x:c>
      <x:c r="H354" s="6" t="str">
        <x:v>https://www.quaise.energy/</x:v>
      </x:c>
      <x:c r="I354" s="6" t="str">
        <x:v>https://www.quaise.energy/</x:v>
      </x:c>
    </x:row>
    <x:row r="355" ht="15" hidden="0" customHeight="1">
      <x:c r="A355" s="12" t="n">
        <x:v>34</x:v>
      </x:c>
      <x:c r="B355" s="6" t="str">
        <x:v>Advanced geothermal</x:v>
      </x:c>
      <x:c r="C355" s="6" t="str">
        <x:v>Clean power</x:v>
      </x:c>
      <x:c r="D355" s="6" t="str">
        <x:v>Sage Geosystems</x:v>
      </x:c>
      <x:c r="E355" s="6" t="str">
        <x:v>Private</x:v>
      </x:c>
      <x:c r="F355" s="6" t="str"/>
      <x:c r="G355" s="6" t="str">
        <x:v>Develops pressure-based geothermal power and subsurface energy storage.</x:v>
      </x:c>
      <x:c r="H355" s="6" t="str">
        <x:v>https://www.sagegeosystems.com/</x:v>
      </x:c>
      <x:c r="I355" s="6" t="str">
        <x:v>https://www.sagegeosystems.com/</x:v>
      </x:c>
    </x:row>
    <x:row r="356" ht="15" hidden="0" customHeight="1">
      <x:c r="A356" s="12" t="n">
        <x:v>34</x:v>
      </x:c>
      <x:c r="B356" s="6" t="str">
        <x:v>Advanced geothermal</x:v>
      </x:c>
      <x:c r="C356" s="6" t="str">
        <x:v>Clean power</x:v>
      </x:c>
      <x:c r="D356" s="6" t="str">
        <x:v>XGS Energy</x:v>
      </x:c>
      <x:c r="E356" s="6" t="str">
        <x:v>Private</x:v>
      </x:c>
      <x:c r="F356" s="6" t="str"/>
      <x:c r="G356" s="6" t="str">
        <x:v>Develops water-independent geothermal heat harvesting; an IPO being explored is not a completed listing.</x:v>
      </x:c>
      <x:c r="H356" s="6" t="str">
        <x:v>https://www.xgsenergy.com/</x:v>
      </x:c>
      <x:c r="I356" s="6" t="str">
        <x:v>https://www.xgsenergy.com/</x:v>
      </x:c>
    </x:row>
    <x:row r="357" ht="15" hidden="0" customHeight="1">
      <x:c r="A357" s="12" t="n">
        <x:v>34</x:v>
      </x:c>
      <x:c r="B357" s="6" t="str">
        <x:v>Advanced geothermal</x:v>
      </x:c>
      <x:c r="C357" s="6" t="str">
        <x:v>Clean power</x:v>
      </x:c>
      <x:c r="D357" s="6" t="str">
        <x:v>Zanskar</x:v>
      </x:c>
      <x:c r="E357" s="6" t="str">
        <x:v>Private</x:v>
      </x:c>
      <x:c r="F357" s="6" t="str"/>
      <x:c r="G357" s="6" t="str">
        <x:v>AI-assisted geothermal resource discovery and project development.</x:v>
      </x:c>
      <x:c r="H357" s="6" t="str">
        <x:v>https://www.zanskar.com/</x:v>
      </x:c>
      <x:c r="I357" s="6" t="str">
        <x:v>https://www.zanskar.com/</x:v>
      </x:c>
    </x:row>
    <x:row r="358" ht="15" hidden="0" customHeight="1">
      <x:c r="A358" s="12" t="n">
        <x:v>35</x:v>
      </x:c>
      <x:c r="B358" s="6" t="str">
        <x:v>Small modular nuclear reactors</x:v>
      </x:c>
      <x:c r="C358" s="6" t="str">
        <x:v>Clean power</x:v>
      </x:c>
      <x:c r="D358" s="6" t="str">
        <x:v>GE Vernova</x:v>
      </x:c>
      <x:c r="E358" s="6" t="str">
        <x:v>Public</x:v>
      </x:c>
      <x:c r="F358" s="6" t="str">
        <x:v>NYSE:GEV</x:v>
      </x:c>
      <x:c r="G358" s="6" t="str">
        <x:v>GE Vernova Hitachi nuclear reactor design and services, including BWRX-300.</x:v>
      </x:c>
      <x:c r="H358" s="6" t="str">
        <x:v>https://www.gevernova.com/nuclear/</x:v>
      </x:c>
      <x:c r="I358" s="6" t="str">
        <x:v>https://www.gevernova.com/nuclear/</x:v>
      </x:c>
    </x:row>
    <x:row r="359" ht="15" hidden="0" customHeight="1">
      <x:c r="A359" s="12" t="n">
        <x:v>35</x:v>
      </x:c>
      <x:c r="B359" s="6" t="str">
        <x:v>Small modular nuclear reactors</x:v>
      </x:c>
      <x:c r="C359" s="6" t="str">
        <x:v>Clean power</x:v>
      </x:c>
      <x:c r="D359" s="6" t="str">
        <x:v>Hitachi</x:v>
      </x:c>
      <x:c r="E359" s="6" t="str">
        <x:v>Public</x:v>
      </x:c>
      <x:c r="F359" s="6" t="str">
        <x:v>TSE:6501</x:v>
      </x:c>
      <x:c r="G359" s="6" t="str">
        <x:v>Nuclear joint ventures and supply chain; BWRX-300 exposure through GE Vernova Hitachi.</x:v>
      </x:c>
      <x:c r="H359" s="6" t="str">
        <x:v>https://www.hitachi.com/</x:v>
      </x:c>
      <x:c r="I359" s="6" t="str">
        <x:v>https://www.hitachi.com/</x:v>
      </x:c>
    </x:row>
    <x:row r="360" ht="15" hidden="0" customHeight="1">
      <x:c r="A360" s="12" t="n">
        <x:v>35</x:v>
      </x:c>
      <x:c r="B360" s="6" t="str">
        <x:v>Small modular nuclear reactors</x:v>
      </x:c>
      <x:c r="C360" s="6" t="str">
        <x:v>Clean power</x:v>
      </x:c>
      <x:c r="D360" s="6" t="str">
        <x:v>BWX Technologies</x:v>
      </x:c>
      <x:c r="E360" s="6" t="str">
        <x:v>Public</x:v>
      </x:c>
      <x:c r="F360" s="6" t="str">
        <x:v>NYSE:BWXT</x:v>
      </x:c>
      <x:c r="G360" s="6" t="str">
        <x:v>Nuclear components, fuel and reactor engineering; diversified nuclear supplier.</x:v>
      </x:c>
      <x:c r="H360" s="6" t="str">
        <x:v>https://www.bwxt.com/</x:v>
      </x:c>
      <x:c r="I360" s="6" t="str">
        <x:v>https://www.bwxt.com/</x:v>
      </x:c>
    </x:row>
    <x:row r="361" ht="15" hidden="0" customHeight="1">
      <x:c r="A361" s="12" t="n">
        <x:v>35</x:v>
      </x:c>
      <x:c r="B361" s="6" t="str">
        <x:v>Small modular nuclear reactors</x:v>
      </x:c>
      <x:c r="C361" s="6" t="str">
        <x:v>Clean power</x:v>
      </x:c>
      <x:c r="D361" s="6" t="str">
        <x:v>NuScale Power</x:v>
      </x:c>
      <x:c r="E361" s="6" t="str">
        <x:v>Public</x:v>
      </x:c>
      <x:c r="F361" s="6" t="str">
        <x:v>NYSE:SMR</x:v>
      </x:c>
      <x:c r="G361" s="6" t="str">
        <x:v>Modular light-water reactor design and licensing; development exposure before fleet-scale deployment.</x:v>
      </x:c>
      <x:c r="H361" s="6" t="str">
        <x:v>https://www.nuscalepower.com/</x:v>
      </x:c>
      <x:c r="I361" s="6" t="str">
        <x:v>https://www.nuscalepower.com/</x:v>
      </x:c>
    </x:row>
    <x:row r="362" ht="15" hidden="0" customHeight="1">
      <x:c r="A362" s="12" t="n">
        <x:v>35</x:v>
      </x:c>
      <x:c r="B362" s="6" t="str">
        <x:v>Small modular nuclear reactors</x:v>
      </x:c>
      <x:c r="C362" s="6" t="str">
        <x:v>Clean power</x:v>
      </x:c>
      <x:c r="D362" s="6" t="str">
        <x:v>Oklo</x:v>
      </x:c>
      <x:c r="E362" s="6" t="str">
        <x:v>Public</x:v>
      </x:c>
      <x:c r="F362" s="6" t="str">
        <x:v>NYSE:OKLO</x:v>
      </x:c>
      <x:c r="G362" s="6" t="str">
        <x:v>Advanced fast-reactor developer; material licensing, fuel and construction risks remain.</x:v>
      </x:c>
      <x:c r="H362" s="6" t="str">
        <x:v>https://oklo.com/</x:v>
      </x:c>
      <x:c r="I362" s="6" t="str">
        <x:v>https://oklo.com/</x:v>
      </x:c>
    </x:row>
    <x:row r="363" ht="15" hidden="0" customHeight="1">
      <x:c r="A363" s="12" t="n">
        <x:v>35</x:v>
      </x:c>
      <x:c r="B363" s="6" t="str">
        <x:v>Small modular nuclear reactors</x:v>
      </x:c>
      <x:c r="C363" s="6" t="str">
        <x:v>Clean power</x:v>
      </x:c>
      <x:c r="D363" s="6" t="str">
        <x:v>X-energy</x:v>
      </x:c>
      <x:c r="E363" s="6" t="str">
        <x:v>Public</x:v>
      </x:c>
      <x:c r="F363" s="6" t="str">
        <x:v>NASDAQ:XE</x:v>
      </x:c>
      <x:c r="G363" s="6" t="str">
        <x:v>Xe-100 reactor and TRISO fuel developer; publicly listed since April 2026.</x:v>
      </x:c>
      <x:c r="H363" s="6" t="str">
        <x:v>https://investors.x-energy.com/stock</x:v>
      </x:c>
      <x:c r="I363" s="6" t="str">
        <x:v>https://investors.x-energy.com/stock</x:v>
      </x:c>
    </x:row>
    <x:row r="364" ht="15" hidden="0" customHeight="1">
      <x:c r="A364" s="12" t="n">
        <x:v>35</x:v>
      </x:c>
      <x:c r="B364" s="6" t="str">
        <x:v>Small modular nuclear reactors</x:v>
      </x:c>
      <x:c r="C364" s="6" t="str">
        <x:v>Clean power</x:v>
      </x:c>
      <x:c r="D364" s="6" t="str">
        <x:v>Rolls-Royce Holdings</x:v>
      </x:c>
      <x:c r="E364" s="6" t="str">
        <x:v>Public</x:v>
      </x:c>
      <x:c r="F364" s="6" t="str">
        <x:v>LSE:RR.</x:v>
      </x:c>
      <x:c r="G364" s="6" t="str">
        <x:v>Parent/shareholder exposure to Rolls-Royce SMR, alongside a much larger aerospace business.</x:v>
      </x:c>
      <x:c r="H364" s="6" t="str">
        <x:v>https://www.rolls-royce.com/</x:v>
      </x:c>
      <x:c r="I364" s="6" t="str">
        <x:v>https://www.rolls-royce.com/</x:v>
      </x:c>
    </x:row>
    <x:row r="365" ht="15" hidden="0" customHeight="1">
      <x:c r="A365" s="12" t="n">
        <x:v>35</x:v>
      </x:c>
      <x:c r="B365" s="6" t="str">
        <x:v>Small modular nuclear reactors</x:v>
      </x:c>
      <x:c r="C365" s="6" t="str">
        <x:v>Clean power</x:v>
      </x:c>
      <x:c r="D365" s="6" t="str">
        <x:v>TerraPower</x:v>
      </x:c>
      <x:c r="E365" s="6" t="str">
        <x:v>Private</x:v>
      </x:c>
      <x:c r="F365" s="6" t="str"/>
      <x:c r="G365" s="6" t="str">
        <x:v>Developer of the Natrium reactor and thermal-storage project.</x:v>
      </x:c>
      <x:c r="H365" s="6" t="str">
        <x:v>https://www.terrapower.com/</x:v>
      </x:c>
      <x:c r="I365" s="6" t="str">
        <x:v>https://www.terrapower.com/</x:v>
      </x:c>
    </x:row>
    <x:row r="366" ht="15" hidden="0" customHeight="1">
      <x:c r="A366" s="12" t="n">
        <x:v>35</x:v>
      </x:c>
      <x:c r="B366" s="6" t="str">
        <x:v>Small modular nuclear reactors</x:v>
      </x:c>
      <x:c r="C366" s="6" t="str">
        <x:v>Clean power</x:v>
      </x:c>
      <x:c r="D366" s="6" t="str">
        <x:v>Kairos Power</x:v>
      </x:c>
      <x:c r="E366" s="6" t="str">
        <x:v>Private</x:v>
      </x:c>
      <x:c r="F366" s="6" t="str"/>
      <x:c r="G366" s="6" t="str">
        <x:v>Fluoride-salt-cooled advanced reactor developer pursuing staged demonstration.</x:v>
      </x:c>
      <x:c r="H366" s="6" t="str">
        <x:v>https://kairospower.com/</x:v>
      </x:c>
      <x:c r="I366" s="6" t="str">
        <x:v>https://kairospower.com/</x:v>
      </x:c>
    </x:row>
    <x:row r="367" ht="15" hidden="0" customHeight="1">
      <x:c r="A367" s="12" t="n">
        <x:v>35</x:v>
      </x:c>
      <x:c r="B367" s="6" t="str">
        <x:v>Small modular nuclear reactors</x:v>
      </x:c>
      <x:c r="C367" s="6" t="str">
        <x:v>Clean power</x:v>
      </x:c>
      <x:c r="D367" s="6" t="str">
        <x:v>Holtec International</x:v>
      </x:c>
      <x:c r="E367" s="6" t="str">
        <x:v>Private</x:v>
      </x:c>
      <x:c r="F367" s="6" t="str"/>
      <x:c r="G367" s="6" t="str">
        <x:v>SMR-300 developer and nuclear equipment supplier.</x:v>
      </x:c>
      <x:c r="H367" s="6" t="str">
        <x:v>https://holtecinternational.com/</x:v>
      </x:c>
      <x:c r="I367" s="6" t="str">
        <x:v>https://holtecinternational.com/</x:v>
      </x:c>
    </x:row>
    <x:row r="368" ht="15" hidden="0" customHeight="1">
      <x:c r="A368" s="12" t="n">
        <x:v>35</x:v>
      </x:c>
      <x:c r="B368" s="6" t="str">
        <x:v>Small modular nuclear reactors</x:v>
      </x:c>
      <x:c r="C368" s="6" t="str">
        <x:v>Clean power</x:v>
      </x:c>
      <x:c r="D368" s="6" t="str">
        <x:v>newcleo</x:v>
      </x:c>
      <x:c r="E368" s="6" t="str">
        <x:v>Private</x:v>
      </x:c>
      <x:c r="F368" s="6" t="str"/>
      <x:c r="G368" s="6" t="str">
        <x:v>Lead-cooled reactor and recycled-fuel developer; long technology and qualification timeline.</x:v>
      </x:c>
      <x:c r="H368" s="6" t="str">
        <x:v>https://www.newcleo.com/</x:v>
      </x:c>
      <x:c r="I368" s="6" t="str">
        <x:v>https://www.newcleo.com/</x:v>
      </x:c>
    </x:row>
    <x:row r="369" ht="15" hidden="0" customHeight="1">
      <x:c r="A369" s="12" t="n">
        <x:v>36</x:v>
      </x:c>
      <x:c r="B369" s="6" t="str">
        <x:v>High-temperature and industrial heat pumps</x:v>
      </x:c>
      <x:c r="C369" s="6" t="str">
        <x:v>Electrification</x:v>
      </x:c>
      <x:c r="D369" s="6" t="str">
        <x:v>GEA Group</x:v>
      </x:c>
      <x:c r="E369" s="6" t="str">
        <x:v>Public</x:v>
      </x:c>
      <x:c r="F369" s="6" t="str">
        <x:v>XETRA:G1A</x:v>
      </x:c>
      <x:c r="G369" s="6" t="str">
        <x:v>Industrial heat pumps and integrated heating/refrigeration equipment.</x:v>
      </x:c>
      <x:c r="H369" s="6" t="str">
        <x:v>https://www.gea.com/en/products/heat-pumps/</x:v>
      </x:c>
      <x:c r="I369" s="6" t="str">
        <x:v>https://www.gea.com/en/products/heat-pumps/</x:v>
      </x:c>
    </x:row>
    <x:row r="370" ht="15" hidden="0" customHeight="1">
      <x:c r="A370" s="12" t="n">
        <x:v>36</x:v>
      </x:c>
      <x:c r="B370" s="6" t="str">
        <x:v>High-temperature and industrial heat pumps</x:v>
      </x:c>
      <x:c r="C370" s="6" t="str">
        <x:v>Electrification</x:v>
      </x:c>
      <x:c r="D370" s="6" t="str">
        <x:v>Johnson Controls</x:v>
      </x:c>
      <x:c r="E370" s="6" t="str">
        <x:v>Public</x:v>
      </x:c>
      <x:c r="F370" s="6" t="str">
        <x:v>NYSE:JCI</x:v>
      </x:c>
      <x:c r="G370" s="6" t="str">
        <x:v>Sabroe and other industrial high-temperature heat-pump systems and controls.</x:v>
      </x:c>
      <x:c r="H370" s="6" t="str">
        <x:v>https://www.johnsoncontrols.com/</x:v>
      </x:c>
      <x:c r="I370" s="6" t="str">
        <x:v>https://www.johnsoncontrols.com/</x:v>
      </x:c>
    </x:row>
    <x:row r="371" ht="15" hidden="0" customHeight="1">
      <x:c r="A371" s="12" t="n">
        <x:v>36</x:v>
      </x:c>
      <x:c r="B371" s="6" t="str">
        <x:v>High-temperature and industrial heat pumps</x:v>
      </x:c>
      <x:c r="C371" s="6" t="str">
        <x:v>Electrification</x:v>
      </x:c>
      <x:c r="D371" s="6" t="str">
        <x:v>Trane Technologies</x:v>
      </x:c>
      <x:c r="E371" s="6" t="str">
        <x:v>Public</x:v>
      </x:c>
      <x:c r="F371" s="6" t="str">
        <x:v>NYSE:TT</x:v>
      </x:c>
      <x:c r="G371" s="6" t="str">
        <x:v>Large commercial and industrial heat pumps and heat-recovery systems.</x:v>
      </x:c>
      <x:c r="H371" s="6" t="str">
        <x:v>https://www.tranetechnologies.com/</x:v>
      </x:c>
      <x:c r="I371" s="6" t="str">
        <x:v>https://www.tranetechnologies.com/</x:v>
      </x:c>
    </x:row>
    <x:row r="372" ht="15" hidden="0" customHeight="1">
      <x:c r="A372" s="12" t="n">
        <x:v>36</x:v>
      </x:c>
      <x:c r="B372" s="6" t="str">
        <x:v>High-temperature and industrial heat pumps</x:v>
      </x:c>
      <x:c r="C372" s="6" t="str">
        <x:v>Electrification</x:v>
      </x:c>
      <x:c r="D372" s="6" t="str">
        <x:v>Daikin Industries</x:v>
      </x:c>
      <x:c r="E372" s="6" t="str">
        <x:v>Public</x:v>
      </x:c>
      <x:c r="F372" s="6" t="str">
        <x:v>TSE:6367</x:v>
      </x:c>
      <x:c r="G372" s="6" t="str">
        <x:v>Heat-pump equipment and compressors; industrial exposure within a broad HVAC business.</x:v>
      </x:c>
      <x:c r="H372" s="6" t="str">
        <x:v>https://www.daikin.com/</x:v>
      </x:c>
      <x:c r="I372" s="6" t="str">
        <x:v>https://www.daikin.com/</x:v>
      </x:c>
    </x:row>
    <x:row r="373" ht="15" hidden="0" customHeight="1">
      <x:c r="A373" s="12" t="n">
        <x:v>36</x:v>
      </x:c>
      <x:c r="B373" s="6" t="str">
        <x:v>High-temperature and industrial heat pumps</x:v>
      </x:c>
      <x:c r="C373" s="6" t="str">
        <x:v>Electrification</x:v>
      </x:c>
      <x:c r="D373" s="6" t="str">
        <x:v>Mitsubishi Electric</x:v>
      </x:c>
      <x:c r="E373" s="6" t="str">
        <x:v>Public</x:v>
      </x:c>
      <x:c r="F373" s="6" t="str">
        <x:v>TSE:6503</x:v>
      </x:c>
      <x:c r="G373" s="6" t="str">
        <x:v>Heat pumps, compressors and industrial electrification components; diversified exposure.</x:v>
      </x:c>
      <x:c r="H373" s="6" t="str">
        <x:v>https://www.mitsubishielectric.com/</x:v>
      </x:c>
      <x:c r="I373" s="6" t="str">
        <x:v>https://www.mitsubishielectric.com/</x:v>
      </x:c>
    </x:row>
    <x:row r="374" ht="15" hidden="0" customHeight="1">
      <x:c r="A374" s="12" t="n">
        <x:v>36</x:v>
      </x:c>
      <x:c r="B374" s="6" t="str">
        <x:v>High-temperature and industrial heat pumps</x:v>
      </x:c>
      <x:c r="C374" s="6" t="str">
        <x:v>Electrification</x:v>
      </x:c>
      <x:c r="D374" s="6" t="str">
        <x:v>Danfoss</x:v>
      </x:c>
      <x:c r="E374" s="6" t="str">
        <x:v>Private</x:v>
      </x:c>
      <x:c r="F374" s="6" t="str"/>
      <x:c r="G374" s="6" t="str">
        <x:v>Compressors, drives, heat exchangers and controls that enable industrial heat pumps.</x:v>
      </x:c>
      <x:c r="H374" s="6" t="str">
        <x:v>https://www.danfoss.com/</x:v>
      </x:c>
      <x:c r="I374" s="6" t="str">
        <x:v>https://www.danfoss.com/</x:v>
      </x:c>
    </x:row>
    <x:row r="375" ht="15" hidden="0" customHeight="1">
      <x:c r="A375" s="12" t="n">
        <x:v>36</x:v>
      </x:c>
      <x:c r="B375" s="6" t="str">
        <x:v>High-temperature and industrial heat pumps</x:v>
      </x:c>
      <x:c r="C375" s="6" t="str">
        <x:v>Electrification</x:v>
      </x:c>
      <x:c r="D375" s="6" t="str">
        <x:v>Mayekawa</x:v>
      </x:c>
      <x:c r="E375" s="6" t="str">
        <x:v>Private</x:v>
      </x:c>
      <x:c r="F375" s="6" t="str"/>
      <x:c r="G375" s="6" t="str">
        <x:v>Industrial refrigeration and heat-pump systems using natural refrigerants.</x:v>
      </x:c>
      <x:c r="H375" s="6" t="str">
        <x:v>https://www.mayekawa.com/</x:v>
      </x:c>
      <x:c r="I375" s="6" t="str">
        <x:v>https://www.mayekawa.com/</x:v>
      </x:c>
    </x:row>
    <x:row r="376" ht="15" hidden="0" customHeight="1">
      <x:c r="A376" s="12" t="n">
        <x:v>36</x:v>
      </x:c>
      <x:c r="B376" s="6" t="str">
        <x:v>High-temperature and industrial heat pumps</x:v>
      </x:c>
      <x:c r="C376" s="6" t="str">
        <x:v>Electrification</x:v>
      </x:c>
      <x:c r="D376" s="6" t="str">
        <x:v>Oilon</x:v>
      </x:c>
      <x:c r="E376" s="6" t="str">
        <x:v>Private</x:v>
      </x:c>
      <x:c r="F376" s="6" t="str"/>
      <x:c r="G376" s="6" t="str">
        <x:v>Industrial and district-heating heat pumps and thermal engineering.</x:v>
      </x:c>
      <x:c r="H376" s="6" t="str">
        <x:v>https://oilon.com/</x:v>
      </x:c>
      <x:c r="I376" s="6" t="str">
        <x:v>https://oilon.com/</x:v>
      </x:c>
    </x:row>
    <x:row r="377" ht="15" hidden="0" customHeight="1">
      <x:c r="A377" s="12" t="n">
        <x:v>36</x:v>
      </x:c>
      <x:c r="B377" s="6" t="str">
        <x:v>High-temperature and industrial heat pumps</x:v>
      </x:c>
      <x:c r="C377" s="6" t="str">
        <x:v>Electrification</x:v>
      </x:c>
      <x:c r="D377" s="6" t="str">
        <x:v>Skyven Technologies</x:v>
      </x:c>
      <x:c r="E377" s="6" t="str">
        <x:v>Private</x:v>
      </x:c>
      <x:c r="F377" s="6" t="str"/>
      <x:c r="G377" s="6" t="str">
        <x:v>Steam-generating industrial heat pumps and heat-as-a-service projects.</x:v>
      </x:c>
      <x:c r="H377" s="6" t="str">
        <x:v>https://www.skyven.co/</x:v>
      </x:c>
      <x:c r="I377" s="6" t="str">
        <x:v>https://www.skyven.co/</x:v>
      </x:c>
    </x:row>
    <x:row r="378" ht="15" hidden="0" customHeight="1">
      <x:c r="A378" s="12" t="n">
        <x:v>36</x:v>
      </x:c>
      <x:c r="B378" s="6" t="str">
        <x:v>High-temperature and industrial heat pumps</x:v>
      </x:c>
      <x:c r="C378" s="6" t="str">
        <x:v>Electrification</x:v>
      </x:c>
      <x:c r="D378" s="6" t="str">
        <x:v>Futraheat</x:v>
      </x:c>
      <x:c r="E378" s="6" t="str">
        <x:v>Private</x:v>
      </x:c>
      <x:c r="F378" s="6" t="str"/>
      <x:c r="G378" s="6" t="str">
        <x:v>High-temperature heat-pump technology designed to supply industrial steam.</x:v>
      </x:c>
      <x:c r="H378" s="6" t="str">
        <x:v>https://www.futraheat.com/</x:v>
      </x:c>
      <x:c r="I378" s="6" t="str">
        <x:v>https://www.futraheat.com/</x:v>
      </x:c>
    </x:row>
    <x:row r="379" ht="15" hidden="0" customHeight="1">
      <x:c r="A379" s="12" t="n">
        <x:v>37</x:v>
      </x:c>
      <x:c r="B379" s="6" t="str">
        <x:v>Virtual power plants and demand flexibility</x:v>
      </x:c>
      <x:c r="C379" s="6" t="str">
        <x:v>Electrification</x:v>
      </x:c>
      <x:c r="D379" s="6" t="str">
        <x:v>Tesla</x:v>
      </x:c>
      <x:c r="E379" s="6" t="str">
        <x:v>Public</x:v>
      </x:c>
      <x:c r="F379" s="6" t="str">
        <x:v>NASDAQ:TSLA</x:v>
      </x:c>
      <x:c r="G379" s="6" t="str">
        <x:v>Powerwall batteries and VPP orchestration; exposure within automotive and energy businesses.</x:v>
      </x:c>
      <x:c r="H379" s="6" t="str">
        <x:v>https://www.tesla.com/virtual-power-plant</x:v>
      </x:c>
      <x:c r="I379" s="6" t="str">
        <x:v>https://www.tesla.com/virtual-power-plant</x:v>
      </x:c>
    </x:row>
    <x:row r="380" ht="15" hidden="0" customHeight="1">
      <x:c r="A380" s="12" t="n">
        <x:v>37</x:v>
      </x:c>
      <x:c r="B380" s="6" t="str">
        <x:v>Virtual power plants and demand flexibility</x:v>
      </x:c>
      <x:c r="C380" s="6" t="str">
        <x:v>Electrification</x:v>
      </x:c>
      <x:c r="D380" s="6" t="str">
        <x:v>Sunrun</x:v>
      </x:c>
      <x:c r="E380" s="6" t="str">
        <x:v>Public</x:v>
      </x:c>
      <x:c r="F380" s="6" t="str">
        <x:v>NASDAQ:RUN</x:v>
      </x:c>
      <x:c r="G380" s="6" t="str">
        <x:v>Distributed solar/battery fleet and utility grid-service contracts.</x:v>
      </x:c>
      <x:c r="H380" s="6" t="str">
        <x:v>https://www.sunrun.com/</x:v>
      </x:c>
      <x:c r="I380" s="6" t="str">
        <x:v>https://www.sunrun.com/</x:v>
      </x:c>
    </x:row>
    <x:row r="381" ht="15" hidden="0" customHeight="1">
      <x:c r="A381" s="12" t="n">
        <x:v>37</x:v>
      </x:c>
      <x:c r="B381" s="6" t="str">
        <x:v>Virtual power plants and demand flexibility</x:v>
      </x:c>
      <x:c r="C381" s="6" t="str">
        <x:v>Electrification</x:v>
      </x:c>
      <x:c r="D381" s="6" t="str">
        <x:v>Enphase Energy</x:v>
      </x:c>
      <x:c r="E381" s="6" t="str">
        <x:v>Public</x:v>
      </x:c>
      <x:c r="F381" s="6" t="str">
        <x:v>NASDAQ:ENPH</x:v>
      </x:c>
      <x:c r="G381" s="6" t="str">
        <x:v>Home batteries, inverters and distributed-energy control technology.</x:v>
      </x:c>
      <x:c r="H381" s="6" t="str">
        <x:v>https://enphase.com/</x:v>
      </x:c>
      <x:c r="I381" s="6" t="str">
        <x:v>https://enphase.com/</x:v>
      </x:c>
    </x:row>
    <x:row r="382" ht="15" hidden="0" customHeight="1">
      <x:c r="A382" s="12" t="n">
        <x:v>37</x:v>
      </x:c>
      <x:c r="B382" s="6" t="str">
        <x:v>Virtual power plants and demand flexibility</x:v>
      </x:c>
      <x:c r="C382" s="6" t="str">
        <x:v>Electrification</x:v>
      </x:c>
      <x:c r="D382" s="6" t="str">
        <x:v>Generac</x:v>
      </x:c>
      <x:c r="E382" s="6" t="str">
        <x:v>Public</x:v>
      </x:c>
      <x:c r="F382" s="6" t="str">
        <x:v>NYSE:GNRC</x:v>
      </x:c>
      <x:c r="G382" s="6" t="str">
        <x:v>Connected storage, backup power and energy management through grid-service capabilities.</x:v>
      </x:c>
      <x:c r="H382" s="6" t="str">
        <x:v>https://www.generac.com/</x:v>
      </x:c>
      <x:c r="I382" s="6" t="str">
        <x:v>https://www.generac.com/</x:v>
      </x:c>
    </x:row>
    <x:row r="383" ht="15" hidden="0" customHeight="1">
      <x:c r="A383" s="12" t="n">
        <x:v>37</x:v>
      </x:c>
      <x:c r="B383" s="6" t="str">
        <x:v>Virtual power plants and demand flexibility</x:v>
      </x:c>
      <x:c r="C383" s="6" t="str">
        <x:v>Electrification</x:v>
      </x:c>
      <x:c r="D383" s="6" t="str">
        <x:v>Schneider Electric</x:v>
      </x:c>
      <x:c r="E383" s="6" t="str">
        <x:v>Public</x:v>
      </x:c>
      <x:c r="F383" s="6" t="str">
        <x:v>EPA:SU</x:v>
      </x:c>
      <x:c r="G383" s="6" t="str">
        <x:v>Distributed-energy, building and microgrid controls; diversified enabling supplier.</x:v>
      </x:c>
      <x:c r="H383" s="6" t="str">
        <x:v>https://www.se.com/</x:v>
      </x:c>
      <x:c r="I383" s="6" t="str">
        <x:v>https://www.se.com/</x:v>
      </x:c>
    </x:row>
    <x:row r="384" ht="15" hidden="0" customHeight="1">
      <x:c r="A384" s="12" t="n">
        <x:v>37</x:v>
      </x:c>
      <x:c r="B384" s="6" t="str">
        <x:v>Virtual power plants and demand flexibility</x:v>
      </x:c>
      <x:c r="C384" s="6" t="str">
        <x:v>Electrification</x:v>
      </x:c>
      <x:c r="D384" s="6" t="str">
        <x:v>Alarm.com / EnergyHub</x:v>
      </x:c>
      <x:c r="E384" s="6" t="str">
        <x:v>Public parent</x:v>
      </x:c>
      <x:c r="F384" s="6" t="str">
        <x:v>NASDAQ:ALRM</x:v>
      </x:c>
      <x:c r="G384" s="6" t="str">
        <x:v>EnergyHub is a subsidiary providing distributed-energy-resource aggregation software.</x:v>
      </x:c>
      <x:c r="H384" s="6" t="str">
        <x:v>https://www.energyhub.com/</x:v>
      </x:c>
      <x:c r="I384" s="6" t="str">
        <x:v>https://www.energyhub.com/</x:v>
      </x:c>
    </x:row>
    <x:row r="385" ht="15" hidden="0" customHeight="1">
      <x:c r="A385" s="12" t="n">
        <x:v>37</x:v>
      </x:c>
      <x:c r="B385" s="6" t="str">
        <x:v>Virtual power plants and demand flexibility</x:v>
      </x:c>
      <x:c r="C385" s="6" t="str">
        <x:v>Electrification</x:v>
      </x:c>
      <x:c r="D385" s="6" t="str">
        <x:v>Octopus Energy</x:v>
      </x:c>
      <x:c r="E385" s="6" t="str">
        <x:v>Private</x:v>
      </x:c>
      <x:c r="F385" s="6" t="str"/>
      <x:c r="G385" s="6" t="str">
        <x:v>Retail tariffs, asset optimisation and customer-device flexibility.</x:v>
      </x:c>
      <x:c r="H385" s="6" t="str">
        <x:v>https://octopusenergy.com/</x:v>
      </x:c>
      <x:c r="I385" s="6" t="str">
        <x:v>https://octopusenergy.com/</x:v>
      </x:c>
    </x:row>
    <x:row r="386" ht="15" hidden="0" customHeight="1">
      <x:c r="A386" s="12" t="n">
        <x:v>37</x:v>
      </x:c>
      <x:c r="B386" s="6" t="str">
        <x:v>Virtual power plants and demand flexibility</x:v>
      </x:c>
      <x:c r="C386" s="6" t="str">
        <x:v>Electrification</x:v>
      </x:c>
      <x:c r="D386" s="6" t="str">
        <x:v>Voltus</x:v>
      </x:c>
      <x:c r="E386" s="6" t="str">
        <x:v>Private</x:v>
      </x:c>
      <x:c r="F386" s="6" t="str"/>
      <x:c r="G386" s="6" t="str">
        <x:v>Aggregates commercial, industrial and distributed resources for grid programmes.</x:v>
      </x:c>
      <x:c r="H386" s="6" t="str">
        <x:v>https://www.voltus.co/</x:v>
      </x:c>
      <x:c r="I386" s="6" t="str">
        <x:v>https://www.voltus.co/</x:v>
      </x:c>
    </x:row>
    <x:row r="387" ht="15" hidden="0" customHeight="1">
      <x:c r="A387" s="12" t="n">
        <x:v>37</x:v>
      </x:c>
      <x:c r="B387" s="6" t="str">
        <x:v>Virtual power plants and demand flexibility</x:v>
      </x:c>
      <x:c r="C387" s="6" t="str">
        <x:v>Electrification</x:v>
      </x:c>
      <x:c r="D387" s="6" t="str">
        <x:v>CPower</x:v>
      </x:c>
      <x:c r="E387" s="6" t="str">
        <x:v>Private</x:v>
      </x:c>
      <x:c r="F387" s="6" t="str"/>
      <x:c r="G387" s="6" t="str">
        <x:v>Commercial and industrial demand response and DER aggregation.</x:v>
      </x:c>
      <x:c r="H387" s="6" t="str">
        <x:v>https://cpowerenergy.com/</x:v>
      </x:c>
      <x:c r="I387" s="6" t="str">
        <x:v>https://cpowerenergy.com/</x:v>
      </x:c>
    </x:row>
    <x:row r="388" ht="24" hidden="0" customHeight="1">
      <x:c r="A388" s="12" t="n">
        <x:v>37</x:v>
      </x:c>
      <x:c r="B388" s="6" t="str">
        <x:v>Virtual power plants and demand flexibility</x:v>
      </x:c>
      <x:c r="C388" s="6" t="str">
        <x:v>Electrification</x:v>
      </x:c>
      <x:c r="D388" s="6" t="str">
        <x:v>Everyday Electric</x:v>
      </x:c>
      <x:c r="E388" s="6" t="str">
        <x:v>Private</x:v>
      </x:c>
      <x:c r="F388" s="6" t="str"/>
      <x:c r="G388" s="6" t="str">
        <x:v>Residential VPP and whole-home energy platform, formerly Renew Home.</x:v>
      </x:c>
      <x:c r="H388" s="6" t="str">
        <x:v>https://www.everydayelectric.com/</x:v>
      </x:c>
      <x:c r="I388" s="6" t="str">
        <x:v>https://www.everydayelectric.com/
https://www.everydayelectric.com/news/renew-home-is-now-everyday-electric</x:v>
      </x:c>
    </x:row>
    <x:row r="389" ht="15" hidden="0" customHeight="1">
      <x:c r="A389" s="12" t="n">
        <x:v>38</x:v>
      </x:c>
      <x:c r="B389" s="6" t="str">
        <x:v>Advanced transmission and grid-enhancing technologies</x:v>
      </x:c>
      <x:c r="C389" s="6" t="str">
        <x:v>Electrification</x:v>
      </x:c>
      <x:c r="D389" s="6" t="str">
        <x:v>GE Vernova</x:v>
      </x:c>
      <x:c r="E389" s="6" t="str">
        <x:v>Public</x:v>
      </x:c>
      <x:c r="F389" s="6" t="str">
        <x:v>NYSE:GEV</x:v>
      </x:c>
      <x:c r="G389" s="6" t="str">
        <x:v>Grid equipment, digital controls and power-flow technology; broad transmission exposure.</x:v>
      </x:c>
      <x:c r="H389" s="6" t="str">
        <x:v>https://www.gevernova.com/</x:v>
      </x:c>
      <x:c r="I389" s="6" t="str">
        <x:v>https://www.gevernova.com/</x:v>
      </x:c>
    </x:row>
    <x:row r="390" ht="15" hidden="0" customHeight="1">
      <x:c r="A390" s="12" t="n">
        <x:v>38</x:v>
      </x:c>
      <x:c r="B390" s="6" t="str">
        <x:v>Advanced transmission and grid-enhancing technologies</x:v>
      </x:c>
      <x:c r="C390" s="6" t="str">
        <x:v>Electrification</x:v>
      </x:c>
      <x:c r="D390" s="6" t="str">
        <x:v>Hitachi</x:v>
      </x:c>
      <x:c r="E390" s="6" t="str">
        <x:v>Public</x:v>
      </x:c>
      <x:c r="F390" s="6" t="str">
        <x:v>TSE:6501</x:v>
      </x:c>
      <x:c r="G390" s="6" t="str">
        <x:v>Parent of Hitachi Energy, supplying transmission systems and grid controls.</x:v>
      </x:c>
      <x:c r="H390" s="6" t="str">
        <x:v>https://www.hitachienergy.com/</x:v>
      </x:c>
      <x:c r="I390" s="6" t="str">
        <x:v>https://www.hitachienergy.com/</x:v>
      </x:c>
    </x:row>
    <x:row r="391" ht="15" hidden="0" customHeight="1">
      <x:c r="A391" s="12" t="n">
        <x:v>38</x:v>
      </x:c>
      <x:c r="B391" s="6" t="str">
        <x:v>Advanced transmission and grid-enhancing technologies</x:v>
      </x:c>
      <x:c r="C391" s="6" t="str">
        <x:v>Electrification</x:v>
      </x:c>
      <x:c r="D391" s="6" t="str">
        <x:v>Siemens Energy</x:v>
      </x:c>
      <x:c r="E391" s="6" t="str">
        <x:v>Public</x:v>
      </x:c>
      <x:c r="F391" s="6" t="str">
        <x:v>XETRA:ENR</x:v>
      </x:c>
      <x:c r="G391" s="6" t="str">
        <x:v>Transmission equipment, substations and grid stabilisation technology.</x:v>
      </x:c>
      <x:c r="H391" s="6" t="str">
        <x:v>https://www.siemens-energy.com/</x:v>
      </x:c>
      <x:c r="I391" s="6" t="str">
        <x:v>https://www.siemens-energy.com/</x:v>
      </x:c>
    </x:row>
    <x:row r="392" ht="15" hidden="0" customHeight="1">
      <x:c r="A392" s="12" t="n">
        <x:v>38</x:v>
      </x:c>
      <x:c r="B392" s="6" t="str">
        <x:v>Advanced transmission and grid-enhancing technologies</x:v>
      </x:c>
      <x:c r="C392" s="6" t="str">
        <x:v>Electrification</x:v>
      </x:c>
      <x:c r="D392" s="6" t="str">
        <x:v>Prysmian</x:v>
      </x:c>
      <x:c r="E392" s="6" t="str">
        <x:v>Public</x:v>
      </x:c>
      <x:c r="F392" s="6" t="str">
        <x:v>BIT:PRY</x:v>
      </x:c>
      <x:c r="G392" s="6" t="str">
        <x:v>High-voltage cable and conductor systems for grid expansion and upgrades.</x:v>
      </x:c>
      <x:c r="H392" s="6" t="str">
        <x:v>https://www.prysmian.com/</x:v>
      </x:c>
      <x:c r="I392" s="6" t="str">
        <x:v>https://www.prysmian.com/</x:v>
      </x:c>
    </x:row>
    <x:row r="393" ht="15" hidden="0" customHeight="1">
      <x:c r="A393" s="12" t="n">
        <x:v>38</x:v>
      </x:c>
      <x:c r="B393" s="6" t="str">
        <x:v>Advanced transmission and grid-enhancing technologies</x:v>
      </x:c>
      <x:c r="C393" s="6" t="str">
        <x:v>Electrification</x:v>
      </x:c>
      <x:c r="D393" s="6" t="str">
        <x:v>Nexans</x:v>
      </x:c>
      <x:c r="E393" s="6" t="str">
        <x:v>Public</x:v>
      </x:c>
      <x:c r="F393" s="6" t="str">
        <x:v>EPA:NEX</x:v>
      </x:c>
      <x:c r="G393" s="6" t="str">
        <x:v>Electrification cable and grid infrastructure; indirect exposure to advanced-line adoption.</x:v>
      </x:c>
      <x:c r="H393" s="6" t="str">
        <x:v>https://www.nexans.com/</x:v>
      </x:c>
      <x:c r="I393" s="6" t="str">
        <x:v>https://www.nexans.com/</x:v>
      </x:c>
    </x:row>
    <x:row r="394" ht="15" hidden="0" customHeight="1">
      <x:c r="A394" s="12" t="n">
        <x:v>38</x:v>
      </x:c>
      <x:c r="B394" s="6" t="str">
        <x:v>Advanced transmission and grid-enhancing technologies</x:v>
      </x:c>
      <x:c r="C394" s="6" t="str">
        <x:v>Electrification</x:v>
      </x:c>
      <x:c r="D394" s="6" t="str">
        <x:v>Quanta Services</x:v>
      </x:c>
      <x:c r="E394" s="6" t="str">
        <x:v>Public</x:v>
      </x:c>
      <x:c r="F394" s="6" t="str">
        <x:v>NYSE:PWR</x:v>
      </x:c>
      <x:c r="G394" s="6" t="str">
        <x:v>Engineering and construction contractor for transmission upgrades and reconductoring.</x:v>
      </x:c>
      <x:c r="H394" s="6" t="str">
        <x:v>https://www.quantaservices.com/</x:v>
      </x:c>
      <x:c r="I394" s="6" t="str">
        <x:v>https://www.quantaservices.com/</x:v>
      </x:c>
    </x:row>
    <x:row r="395" ht="15" hidden="0" customHeight="1">
      <x:c r="A395" s="12" t="n">
        <x:v>38</x:v>
      </x:c>
      <x:c r="B395" s="6" t="str">
        <x:v>Advanced transmission and grid-enhancing technologies</x:v>
      </x:c>
      <x:c r="C395" s="6" t="str">
        <x:v>Electrification</x:v>
      </x:c>
      <x:c r="D395" s="6" t="str">
        <x:v>CTC Global</x:v>
      </x:c>
      <x:c r="E395" s="6" t="str">
        <x:v>Private</x:v>
      </x:c>
      <x:c r="F395" s="6" t="str"/>
      <x:c r="G395" s="6" t="str">
        <x:v>Composite-core ACCC conductor design and licensing.</x:v>
      </x:c>
      <x:c r="H395" s="6" t="str">
        <x:v>https://ctcglobal.com/</x:v>
      </x:c>
      <x:c r="I395" s="6" t="str">
        <x:v>https://ctcglobal.com/</x:v>
      </x:c>
    </x:row>
    <x:row r="396" ht="15" hidden="0" customHeight="1">
      <x:c r="A396" s="12" t="n">
        <x:v>38</x:v>
      </x:c>
      <x:c r="B396" s="6" t="str">
        <x:v>Advanced transmission and grid-enhancing technologies</x:v>
      </x:c>
      <x:c r="C396" s="6" t="str">
        <x:v>Electrification</x:v>
      </x:c>
      <x:c r="D396" s="6" t="str">
        <x:v>LineVision</x:v>
      </x:c>
      <x:c r="E396" s="6" t="str">
        <x:v>Private</x:v>
      </x:c>
      <x:c r="F396" s="6" t="str"/>
      <x:c r="G396" s="6" t="str">
        <x:v>Non-contact line monitoring and dynamic line rating software.</x:v>
      </x:c>
      <x:c r="H396" s="6" t="str">
        <x:v>https://www.linevisioninc.com/</x:v>
      </x:c>
      <x:c r="I396" s="6" t="str">
        <x:v>https://www.linevisioninc.com/</x:v>
      </x:c>
    </x:row>
    <x:row r="397" ht="15" hidden="0" customHeight="1">
      <x:c r="A397" s="12" t="n">
        <x:v>38</x:v>
      </x:c>
      <x:c r="B397" s="6" t="str">
        <x:v>Advanced transmission and grid-enhancing technologies</x:v>
      </x:c>
      <x:c r="C397" s="6" t="str">
        <x:v>Electrification</x:v>
      </x:c>
      <x:c r="D397" s="6" t="str">
        <x:v>Heimdall Power</x:v>
      </x:c>
      <x:c r="E397" s="6" t="str">
        <x:v>Private</x:v>
      </x:c>
      <x:c r="F397" s="6" t="str"/>
      <x:c r="G397" s="6" t="str">
        <x:v>Grid-line sensors and software for dynamic capacity management.</x:v>
      </x:c>
      <x:c r="H397" s="6" t="str">
        <x:v>https://heimdallpower.com/</x:v>
      </x:c>
      <x:c r="I397" s="6" t="str">
        <x:v>https://heimdallpower.com/</x:v>
      </x:c>
    </x:row>
    <x:row r="398" ht="15" hidden="0" customHeight="1">
      <x:c r="A398" s="12" t="n">
        <x:v>38</x:v>
      </x:c>
      <x:c r="B398" s="6" t="str">
        <x:v>Advanced transmission and grid-enhancing technologies</x:v>
      </x:c>
      <x:c r="C398" s="6" t="str">
        <x:v>Electrification</x:v>
      </x:c>
      <x:c r="D398" s="6" t="str">
        <x:v>Smart Wires</x:v>
      </x:c>
      <x:c r="E398" s="6" t="str">
        <x:v>Private</x:v>
      </x:c>
      <x:c r="F398" s="6" t="str"/>
      <x:c r="G398" s="6" t="str">
        <x:v>Modular power-flow control systems; no longer treated as an independently listed company.</x:v>
      </x:c>
      <x:c r="H398" s="6" t="str">
        <x:v>https://www.smartwires.com/</x:v>
      </x:c>
      <x:c r="I398" s="6" t="str">
        <x:v>https://www.smartwires.com/</x:v>
      </x:c>
    </x:row>
    <x:row r="399" ht="15" hidden="0" customHeight="1">
      <x:c r="A399" s="12" t="n">
        <x:v>39</x:v>
      </x:c>
      <x:c r="B399" s="6" t="str">
        <x:v>Smart and bidirectional EV charging</x:v>
      </x:c>
      <x:c r="C399" s="6" t="str">
        <x:v>Electrification</x:v>
      </x:c>
      <x:c r="D399" s="6" t="str">
        <x:v>Tesla</x:v>
      </x:c>
      <x:c r="E399" s="6" t="str">
        <x:v>Public</x:v>
      </x:c>
      <x:c r="F399" s="6" t="str">
        <x:v>NASDAQ:TSLA</x:v>
      </x:c>
      <x:c r="G399" s="6" t="str">
        <x:v>Vehicle, charging and energy ecosystem; bidirectional availability differs by model and product.</x:v>
      </x:c>
      <x:c r="H399" s="6" t="str">
        <x:v>https://www.tesla.com/</x:v>
      </x:c>
      <x:c r="I399" s="6" t="str">
        <x:v>https://www.tesla.com/</x:v>
      </x:c>
    </x:row>
    <x:row r="400" ht="15" hidden="0" customHeight="1">
      <x:c r="A400" s="12" t="n">
        <x:v>39</x:v>
      </x:c>
      <x:c r="B400" s="6" t="str">
        <x:v>Smart and bidirectional EV charging</x:v>
      </x:c>
      <x:c r="C400" s="6" t="str">
        <x:v>Electrification</x:v>
      </x:c>
      <x:c r="D400" s="6" t="str">
        <x:v>Ford Motor</x:v>
      </x:c>
      <x:c r="E400" s="6" t="str">
        <x:v>Public</x:v>
      </x:c>
      <x:c r="F400" s="6" t="str">
        <x:v>NYSE:F</x:v>
      </x:c>
      <x:c r="G400" s="6" t="str">
        <x:v>EVs and supported home-backup/charging systems; compatibility must be checked by model.</x:v>
      </x:c>
      <x:c r="H400" s="6" t="str">
        <x:v>https://www.ford.com/</x:v>
      </x:c>
      <x:c r="I400" s="6" t="str">
        <x:v>https://www.ford.com/</x:v>
      </x:c>
    </x:row>
    <x:row r="401" ht="15" hidden="0" customHeight="1">
      <x:c r="A401" s="12" t="n">
        <x:v>39</x:v>
      </x:c>
      <x:c r="B401" s="6" t="str">
        <x:v>Smart and bidirectional EV charging</x:v>
      </x:c>
      <x:c r="C401" s="6" t="str">
        <x:v>Electrification</x:v>
      </x:c>
      <x:c r="D401" s="6" t="str">
        <x:v>General Motors</x:v>
      </x:c>
      <x:c r="E401" s="6" t="str">
        <x:v>Public</x:v>
      </x:c>
      <x:c r="F401" s="6" t="str">
        <x:v>NYSE:GM</x:v>
      </x:c>
      <x:c r="G401" s="6" t="str">
        <x:v>GM Energy home charging and vehicle-to-home ecosystem.</x:v>
      </x:c>
      <x:c r="H401" s="6" t="str">
        <x:v>https://gmenergy.gm.com/</x:v>
      </x:c>
      <x:c r="I401" s="6" t="str">
        <x:v>https://gmenergy.gm.com/</x:v>
      </x:c>
    </x:row>
    <x:row r="402" ht="15" hidden="0" customHeight="1">
      <x:c r="A402" s="12" t="n">
        <x:v>39</x:v>
      </x:c>
      <x:c r="B402" s="6" t="str">
        <x:v>Smart and bidirectional EV charging</x:v>
      </x:c>
      <x:c r="C402" s="6" t="str">
        <x:v>Electrification</x:v>
      </x:c>
      <x:c r="D402" s="6" t="str">
        <x:v>Hyundai Motor</x:v>
      </x:c>
      <x:c r="E402" s="6" t="str">
        <x:v>Public</x:v>
      </x:c>
      <x:c r="F402" s="6" t="str">
        <x:v>KRX:005380</x:v>
      </x:c>
      <x:c r="G402" s="6" t="str">
        <x:v>EV platform and vehicle energy-service development; V2L is distinct from grid export.</x:v>
      </x:c>
      <x:c r="H402" s="6" t="str">
        <x:v>https://www.hyundai.com/worldwide/en/</x:v>
      </x:c>
      <x:c r="I402" s="6" t="str">
        <x:v>https://www.hyundai.com/worldwide/en/</x:v>
      </x:c>
    </x:row>
    <x:row r="403" ht="15" hidden="0" customHeight="1">
      <x:c r="A403" s="12" t="n">
        <x:v>39</x:v>
      </x:c>
      <x:c r="B403" s="6" t="str">
        <x:v>Smart and bidirectional EV charging</x:v>
      </x:c>
      <x:c r="C403" s="6" t="str">
        <x:v>Electrification</x:v>
      </x:c>
      <x:c r="D403" s="6" t="str">
        <x:v>Kia</x:v>
      </x:c>
      <x:c r="E403" s="6" t="str">
        <x:v>Public</x:v>
      </x:c>
      <x:c r="F403" s="6" t="str">
        <x:v>KRX:000270</x:v>
      </x:c>
      <x:c r="G403" s="6" t="str">
        <x:v>Compatible EVs and bidirectional charging partnerships.</x:v>
      </x:c>
      <x:c r="H403" s="6" t="str">
        <x:v>https://worldwide.kia.com/</x:v>
      </x:c>
      <x:c r="I403" s="6" t="str">
        <x:v>https://worldwide.kia.com/</x:v>
      </x:c>
    </x:row>
    <x:row r="404" ht="15" hidden="0" customHeight="1">
      <x:c r="A404" s="12" t="n">
        <x:v>39</x:v>
      </x:c>
      <x:c r="B404" s="6" t="str">
        <x:v>Smart and bidirectional EV charging</x:v>
      </x:c>
      <x:c r="C404" s="6" t="str">
        <x:v>Electrification</x:v>
      </x:c>
      <x:c r="D404" s="6" t="str">
        <x:v>ChargePoint</x:v>
      </x:c>
      <x:c r="E404" s="6" t="str">
        <x:v>Public</x:v>
      </x:c>
      <x:c r="F404" s="6" t="str">
        <x:v>NYSE:CHPT</x:v>
      </x:c>
      <x:c r="G404" s="6" t="str">
        <x:v>Charging networks, fleet software and managed charging; not all ports support V2G.</x:v>
      </x:c>
      <x:c r="H404" s="6" t="str">
        <x:v>https://www.chargepoint.com/</x:v>
      </x:c>
      <x:c r="I404" s="6" t="str">
        <x:v>https://www.chargepoint.com/</x:v>
      </x:c>
    </x:row>
    <x:row r="405" ht="15" hidden="0" customHeight="1">
      <x:c r="A405" s="12" t="n">
        <x:v>39</x:v>
      </x:c>
      <x:c r="B405" s="6" t="str">
        <x:v>Smart and bidirectional EV charging</x:v>
      </x:c>
      <x:c r="C405" s="6" t="str">
        <x:v>Electrification</x:v>
      </x:c>
      <x:c r="D405" s="6" t="str">
        <x:v>Enphase Energy</x:v>
      </x:c>
      <x:c r="E405" s="6" t="str">
        <x:v>Public</x:v>
      </x:c>
      <x:c r="F405" s="6" t="str">
        <x:v>NASDAQ:ENPH</x:v>
      </x:c>
      <x:c r="G405" s="6" t="str">
        <x:v>Home energy controls and bidirectional charging development.</x:v>
      </x:c>
      <x:c r="H405" s="6" t="str">
        <x:v>https://enphase.com/</x:v>
      </x:c>
      <x:c r="I405" s="6" t="str">
        <x:v>https://enphase.com/</x:v>
      </x:c>
    </x:row>
    <x:row r="406" ht="36" hidden="0" customHeight="1">
      <x:c r="A406" s="12" t="n">
        <x:v>39</x:v>
      </x:c>
      <x:c r="B406" s="6" t="str">
        <x:v>Smart and bidirectional EV charging</x:v>
      </x:c>
      <x:c r="C406" s="6" t="str">
        <x:v>Electrification</x:v>
      </x:c>
      <x:c r="D406" s="6" t="str">
        <x:v>The Mobility House</x:v>
      </x:c>
      <x:c r="E406" s="6" t="str">
        <x:v>Private</x:v>
      </x:c>
      <x:c r="F406" s="6" t="str"/>
      <x:c r="G406" s="6" t="str">
        <x:v>Energy optimisation and vehicle-to-grid operations; Solutions unit sale does not mean the entire energy business was acquired.</x:v>
      </x:c>
      <x:c r="H406" s="6" t="str">
        <x:v>https://www.mobilityhouse.com/</x:v>
      </x:c>
      <x:c r="I406" s="6" t="str">
        <x:v>https://www.mobilityhouse.com/
https://www.mobilityhouse.com/int_en/our-company/newsroom/article/the-mobility-house-ubergibt-business-unit-solutions-an-edenred-und-fokussiert-sich-starker-auf-das-energiegeschaft-der-zukunft</x:v>
      </x:c>
    </x:row>
    <x:row r="407" ht="15" hidden="0" customHeight="1">
      <x:c r="A407" s="12" t="n">
        <x:v>39</x:v>
      </x:c>
      <x:c r="B407" s="6" t="str">
        <x:v>Smart and bidirectional EV charging</x:v>
      </x:c>
      <x:c r="C407" s="6" t="str">
        <x:v>Electrification</x:v>
      </x:c>
      <x:c r="D407" s="6" t="str">
        <x:v>dcbel</x:v>
      </x:c>
      <x:c r="E407" s="6" t="str">
        <x:v>Private</x:v>
      </x:c>
      <x:c r="F407" s="6" t="str"/>
      <x:c r="G407" s="6" t="str">
        <x:v>Residential bidirectional charging and home energy orchestration.</x:v>
      </x:c>
      <x:c r="H407" s="6" t="str">
        <x:v>https://www.dcbel.energy/</x:v>
      </x:c>
      <x:c r="I407" s="6" t="str">
        <x:v>https://www.dcbel.energy/</x:v>
      </x:c>
    </x:row>
    <x:row r="408" ht="15" hidden="0" customHeight="1">
      <x:c r="A408" s="12" t="n">
        <x:v>39</x:v>
      </x:c>
      <x:c r="B408" s="6" t="str">
        <x:v>Smart and bidirectional EV charging</x:v>
      </x:c>
      <x:c r="C408" s="6" t="str">
        <x:v>Electrification</x:v>
      </x:c>
      <x:c r="D408" s="6" t="str">
        <x:v>We Drive Solar</x:v>
      </x:c>
      <x:c r="E408" s="6" t="str">
        <x:v>Private</x:v>
      </x:c>
      <x:c r="F408" s="6" t="str"/>
      <x:c r="G408" s="6" t="str">
        <x:v>Bidirectional charging infrastructure and shared-EV energy services.</x:v>
      </x:c>
      <x:c r="H408" s="6" t="str">
        <x:v>https://www.wedrivesolar.nl/</x:v>
      </x:c>
      <x:c r="I408" s="6" t="str">
        <x:v>https://www.wedrivesolar.nl/</x:v>
      </x:c>
    </x:row>
    <x:row r="409" ht="15" hidden="0" customHeight="1">
      <x:c r="A409" s="12" t="n">
        <x:v>40</x:v>
      </x:c>
      <x:c r="B409" s="6" t="str">
        <x:v>Battery recycling and materials recovery</x:v>
      </x:c>
      <x:c r="C409" s="6" t="str">
        <x:v>Electrification</x:v>
      </x:c>
      <x:c r="D409" s="6" t="str">
        <x:v>Umicore</x:v>
      </x:c>
      <x:c r="E409" s="6" t="str">
        <x:v>Public</x:v>
      </x:c>
      <x:c r="F409" s="6" t="str">
        <x:v>EBR:UMI</x:v>
      </x:c>
      <x:c r="G409" s="6" t="str">
        <x:v>Battery recycling and refining; exposure also includes materials and catalysts.</x:v>
      </x:c>
      <x:c r="H409" s="6" t="str">
        <x:v>https://www.umicore.com/</x:v>
      </x:c>
      <x:c r="I409" s="6" t="str">
        <x:v>https://www.umicore.com/</x:v>
      </x:c>
    </x:row>
    <x:row r="410" ht="15" hidden="0" customHeight="1">
      <x:c r="A410" s="12" t="n">
        <x:v>40</x:v>
      </x:c>
      <x:c r="B410" s="6" t="str">
        <x:v>Battery recycling and materials recovery</x:v>
      </x:c>
      <x:c r="C410" s="6" t="str">
        <x:v>Electrification</x:v>
      </x:c>
      <x:c r="D410" s="6" t="str">
        <x:v>BASF</x:v>
      </x:c>
      <x:c r="E410" s="6" t="str">
        <x:v>Public</x:v>
      </x:c>
      <x:c r="F410" s="6" t="str">
        <x:v>XETRA:BAS</x:v>
      </x:c>
      <x:c r="G410" s="6" t="str">
        <x:v>Battery recycling and battery-materials processing within a diversified chemical group.</x:v>
      </x:c>
      <x:c r="H410" s="6" t="str">
        <x:v>https://www.basf.com/</x:v>
      </x:c>
      <x:c r="I410" s="6" t="str">
        <x:v>https://www.basf.com/</x:v>
      </x:c>
    </x:row>
    <x:row r="411" ht="15" hidden="0" customHeight="1">
      <x:c r="A411" s="12" t="n">
        <x:v>40</x:v>
      </x:c>
      <x:c r="B411" s="6" t="str">
        <x:v>Battery recycling and materials recovery</x:v>
      </x:c>
      <x:c r="C411" s="6" t="str">
        <x:v>Electrification</x:v>
      </x:c>
      <x:c r="D411" s="6" t="str">
        <x:v>Fortum</x:v>
      </x:c>
      <x:c r="E411" s="6" t="str">
        <x:v>Public</x:v>
      </x:c>
      <x:c r="F411" s="6" t="str">
        <x:v>HEL:FORTUM</x:v>
      </x:c>
      <x:c r="G411" s="6" t="str">
        <x:v>Battery recycling and recovered materials; alongside a much larger energy business.</x:v>
      </x:c>
      <x:c r="H411" s="6" t="str">
        <x:v>https://www.fortum.com/</x:v>
      </x:c>
      <x:c r="I411" s="6" t="str">
        <x:v>https://www.fortum.com/</x:v>
      </x:c>
    </x:row>
    <x:row r="412" ht="15" hidden="0" customHeight="1">
      <x:c r="A412" s="12" t="n">
        <x:v>40</x:v>
      </x:c>
      <x:c r="B412" s="6" t="str">
        <x:v>Battery recycling and materials recovery</x:v>
      </x:c>
      <x:c r="C412" s="6" t="str">
        <x:v>Electrification</x:v>
      </x:c>
      <x:c r="D412" s="6" t="str">
        <x:v>GEM</x:v>
      </x:c>
      <x:c r="E412" s="6" t="str">
        <x:v>Public</x:v>
      </x:c>
      <x:c r="F412" s="6" t="str">
        <x:v>SZSE:002340</x:v>
      </x:c>
      <x:c r="G412" s="6" t="str">
        <x:v>Battery recycling and precursor materials; substantial Chinese operating exposure.</x:v>
      </x:c>
      <x:c r="H412" s="6" t="str">
        <x:v>https://en.gem.com.cn/</x:v>
      </x:c>
      <x:c r="I412" s="6" t="str">
        <x:v>https://en.gem.com.cn/</x:v>
      </x:c>
    </x:row>
    <x:row r="413" ht="15" hidden="0" customHeight="1">
      <x:c r="A413" s="12" t="n">
        <x:v>40</x:v>
      </x:c>
      <x:c r="B413" s="6" t="str">
        <x:v>Battery recycling and materials recovery</x:v>
      </x:c>
      <x:c r="C413" s="6" t="str">
        <x:v>Electrification</x:v>
      </x:c>
      <x:c r="D413" s="6" t="str">
        <x:v>CATL</x:v>
      </x:c>
      <x:c r="E413" s="6" t="str">
        <x:v>Public</x:v>
      </x:c>
      <x:c r="F413" s="6" t="str">
        <x:v>SZSE:300750</x:v>
      </x:c>
      <x:c r="G413" s="6" t="str">
        <x:v>Battery manufacturing and recycling exposure through its Brunp ecosystem.</x:v>
      </x:c>
      <x:c r="H413" s="6" t="str">
        <x:v>https://www.catl.com/en/</x:v>
      </x:c>
      <x:c r="I413" s="6" t="str">
        <x:v>https://www.catl.com/en/</x:v>
      </x:c>
    </x:row>
    <x:row r="414" ht="15" hidden="0" customHeight="1">
      <x:c r="A414" s="12" t="n">
        <x:v>40</x:v>
      </x:c>
      <x:c r="B414" s="6" t="str">
        <x:v>Battery recycling and materials recovery</x:v>
      </x:c>
      <x:c r="C414" s="6" t="str">
        <x:v>Electrification</x:v>
      </x:c>
      <x:c r="D414" s="6" t="str">
        <x:v>Redwood Materials</x:v>
      </x:c>
      <x:c r="E414" s="6" t="str">
        <x:v>Private</x:v>
      </x:c>
      <x:c r="F414" s="6" t="str"/>
      <x:c r="G414" s="6" t="str">
        <x:v>Battery recycling and domestic cathode/anode material supply.</x:v>
      </x:c>
      <x:c r="H414" s="6" t="str">
        <x:v>https://www.redwoodmaterials.com/</x:v>
      </x:c>
      <x:c r="I414" s="6" t="str">
        <x:v>https://www.redwoodmaterials.com/</x:v>
      </x:c>
    </x:row>
    <x:row r="415" ht="15" hidden="0" customHeight="1">
      <x:c r="A415" s="12" t="n">
        <x:v>40</x:v>
      </x:c>
      <x:c r="B415" s="6" t="str">
        <x:v>Battery recycling and materials recovery</x:v>
      </x:c>
      <x:c r="C415" s="6" t="str">
        <x:v>Electrification</x:v>
      </x:c>
      <x:c r="D415" s="6" t="str">
        <x:v>Cirba Solutions</x:v>
      </x:c>
      <x:c r="E415" s="6" t="str">
        <x:v>Private</x:v>
      </x:c>
      <x:c r="F415" s="6" t="str"/>
      <x:c r="G415" s="6" t="str">
        <x:v>Battery collection, sorting and recycling services.</x:v>
      </x:c>
      <x:c r="H415" s="6" t="str">
        <x:v>https://www.cirbasolutions.com/</x:v>
      </x:c>
      <x:c r="I415" s="6" t="str">
        <x:v>https://www.cirbasolutions.com/</x:v>
      </x:c>
    </x:row>
    <x:row r="416" ht="24" hidden="0" customHeight="1">
      <x:c r="A416" s="12" t="n">
        <x:v>40</x:v>
      </x:c>
      <x:c r="B416" s="6" t="str">
        <x:v>Battery recycling and materials recovery</x:v>
      </x:c>
      <x:c r="C416" s="6" t="str">
        <x:v>Electrification</x:v>
      </x:c>
      <x:c r="D416" s="6" t="str">
        <x:v>cylib</x:v>
      </x:c>
      <x:c r="E416" s="6" t="str">
        <x:v>Private</x:v>
      </x:c>
      <x:c r="F416" s="6" t="str"/>
      <x:c r="G416" s="6" t="str">
        <x:v>Lithium-ion battery recycling and recovery process developer scaling industrial capacity.</x:v>
      </x:c>
      <x:c r="H416" s="6" t="str">
        <x:v>https://www.cylib.de/</x:v>
      </x:c>
      <x:c r="I416" s="6" t="str">
        <x:v>https://www.cylib.de/
https://www.cylib.de/</x:v>
      </x:c>
    </x:row>
    <x:row r="417" ht="24" hidden="0" customHeight="1">
      <x:c r="A417" s="12" t="n">
        <x:v>40</x:v>
      </x:c>
      <x:c r="B417" s="6" t="str">
        <x:v>Battery recycling and materials recovery</x:v>
      </x:c>
      <x:c r="C417" s="6" t="str">
        <x:v>Electrification</x:v>
      </x:c>
      <x:c r="D417" s="6" t="str">
        <x:v>Altilium</x:v>
      </x:c>
      <x:c r="E417" s="6" t="str">
        <x:v>Private</x:v>
      </x:c>
      <x:c r="F417" s="6" t="str"/>
      <x:c r="G417" s="6" t="str">
        <x:v>UK battery recycling and recovered cathode-material development.</x:v>
      </x:c>
      <x:c r="H417" s="6" t="str">
        <x:v>https://altilium.tech/</x:v>
      </x:c>
      <x:c r="I417" s="6" t="str">
        <x:v>https://altilium.tech/
https://altilium.tech/2026/10/06/strategic-investors-sqm-and-marubeni-reaffirm-commitment-to-altilium-with-follow-on-investment-for-battery-materials-scale-up/</x:v>
      </x:c>
    </x:row>
    <x:row r="418" ht="15" hidden="0" customHeight="1">
      <x:c r="A418" s="12" t="n">
        <x:v>40</x:v>
      </x:c>
      <x:c r="B418" s="6" t="str">
        <x:v>Battery recycling and materials recovery</x:v>
      </x:c>
      <x:c r="C418" s="6" t="str">
        <x:v>Electrification</x:v>
      </x:c>
      <x:c r="D418" s="6" t="str">
        <x:v>Nth Cycle</x:v>
      </x:c>
      <x:c r="E418" s="6" t="str">
        <x:v>Private</x:v>
      </x:c>
      <x:c r="F418" s="6" t="str"/>
      <x:c r="G418" s="6" t="str">
        <x:v>Electrochemical metals recovery for battery and industrial feedstocks.</x:v>
      </x:c>
      <x:c r="H418" s="6" t="str">
        <x:v>https://nthcycle.com/</x:v>
      </x:c>
      <x:c r="I418" s="6" t="str">
        <x:v>https://nthcycle.com/</x:v>
      </x:c>
    </x:row>
    <x:row r="419" ht="15" hidden="0" customHeight="1">
      <x:c r="A419" s="12" t="n">
        <x:v>41</x:v>
      </x:c>
      <x:c r="B419" s="6" t="str">
        <x:v>Low-emissions hydrogen and electrolyzers</x:v>
      </x:c>
      <x:c r="C419" s="6" t="str">
        <x:v>Sustainable industry</x:v>
      </x:c>
      <x:c r="D419" s="6" t="str">
        <x:v>Linde</x:v>
      </x:c>
      <x:c r="E419" s="6" t="str">
        <x:v>Public</x:v>
      </x:c>
      <x:c r="F419" s="6" t="str">
        <x:v>NASDAQ:LIN</x:v>
      </x:c>
      <x:c r="G419" s="6" t="str">
        <x:v>Industrial hydrogen production, plant engineering and long-term supply contracts.</x:v>
      </x:c>
      <x:c r="H419" s="6" t="str">
        <x:v>https://www.linde.com/</x:v>
      </x:c>
      <x:c r="I419" s="6" t="str">
        <x:v>https://www.linde.com/</x:v>
      </x:c>
    </x:row>
    <x:row r="420" ht="15" hidden="0" customHeight="1">
      <x:c r="A420" s="12" t="n">
        <x:v>41</x:v>
      </x:c>
      <x:c r="B420" s="6" t="str">
        <x:v>Low-emissions hydrogen and electrolyzers</x:v>
      </x:c>
      <x:c r="C420" s="6" t="str">
        <x:v>Sustainable industry</x:v>
      </x:c>
      <x:c r="D420" s="6" t="str">
        <x:v>Air Liquide</x:v>
      </x:c>
      <x:c r="E420" s="6" t="str">
        <x:v>Public</x:v>
      </x:c>
      <x:c r="F420" s="6" t="str">
        <x:v>EPA:AI</x:v>
      </x:c>
      <x:c r="G420" s="6" t="str">
        <x:v>Industrial gases, electrolyzer projects and hydrogen supply networks.</x:v>
      </x:c>
      <x:c r="H420" s="6" t="str">
        <x:v>https://www.airliquide.com/</x:v>
      </x:c>
      <x:c r="I420" s="6" t="str">
        <x:v>https://www.airliquide.com/</x:v>
      </x:c>
    </x:row>
    <x:row r="421" ht="15" hidden="0" customHeight="1">
      <x:c r="A421" s="12" t="n">
        <x:v>41</x:v>
      </x:c>
      <x:c r="B421" s="6" t="str">
        <x:v>Low-emissions hydrogen and electrolyzers</x:v>
      </x:c>
      <x:c r="C421" s="6" t="str">
        <x:v>Sustainable industry</x:v>
      </x:c>
      <x:c r="D421" s="6" t="str">
        <x:v>Air Products</x:v>
      </x:c>
      <x:c r="E421" s="6" t="str">
        <x:v>Public</x:v>
      </x:c>
      <x:c r="F421" s="6" t="str">
        <x:v>NYSE:APD</x:v>
      </x:c>
      <x:c r="G421" s="6" t="str">
        <x:v>Hydrogen supply and large project development; exposure includes project execution risk.</x:v>
      </x:c>
      <x:c r="H421" s="6" t="str">
        <x:v>https://www.airproducts.com/</x:v>
      </x:c>
      <x:c r="I421" s="6" t="str">
        <x:v>https://www.airproducts.com/</x:v>
      </x:c>
    </x:row>
    <x:row r="422" ht="15" hidden="0" customHeight="1">
      <x:c r="A422" s="12" t="n">
        <x:v>41</x:v>
      </x:c>
      <x:c r="B422" s="6" t="str">
        <x:v>Low-emissions hydrogen and electrolyzers</x:v>
      </x:c>
      <x:c r="C422" s="6" t="str">
        <x:v>Sustainable industry</x:v>
      </x:c>
      <x:c r="D422" s="6" t="str">
        <x:v>Nel</x:v>
      </x:c>
      <x:c r="E422" s="6" t="str">
        <x:v>Public</x:v>
      </x:c>
      <x:c r="F422" s="6" t="str">
        <x:v>OSE:NEL</x:v>
      </x:c>
      <x:c r="G422" s="6" t="str">
        <x:v>Electrolyzer systems; demand depends on financed hydrogen projects.</x:v>
      </x:c>
      <x:c r="H422" s="6" t="str">
        <x:v>https://nelhydrogen.com/</x:v>
      </x:c>
      <x:c r="I422" s="6" t="str">
        <x:v>https://nelhydrogen.com/</x:v>
      </x:c>
    </x:row>
    <x:row r="423" ht="15" hidden="0" customHeight="1">
      <x:c r="A423" s="12" t="n">
        <x:v>41</x:v>
      </x:c>
      <x:c r="B423" s="6" t="str">
        <x:v>Low-emissions hydrogen and electrolyzers</x:v>
      </x:c>
      <x:c r="C423" s="6" t="str">
        <x:v>Sustainable industry</x:v>
      </x:c>
      <x:c r="D423" s="6" t="str">
        <x:v>ITM Power</x:v>
      </x:c>
      <x:c r="E423" s="6" t="str">
        <x:v>Public</x:v>
      </x:c>
      <x:c r="F423" s="6" t="str">
        <x:v>LSE:ITM</x:v>
      </x:c>
      <x:c r="G423" s="6" t="str">
        <x:v>PEM electrolyzer manufacturing and engineering.</x:v>
      </x:c>
      <x:c r="H423" s="6" t="str">
        <x:v>https://itm-power.com/</x:v>
      </x:c>
      <x:c r="I423" s="6" t="str">
        <x:v>https://itm-power.com/</x:v>
      </x:c>
    </x:row>
    <x:row r="424" ht="15" hidden="0" customHeight="1">
      <x:c r="A424" s="12" t="n">
        <x:v>41</x:v>
      </x:c>
      <x:c r="B424" s="6" t="str">
        <x:v>Low-emissions hydrogen and electrolyzers</x:v>
      </x:c>
      <x:c r="C424" s="6" t="str">
        <x:v>Sustainable industry</x:v>
      </x:c>
      <x:c r="D424" s="6" t="str">
        <x:v>thyssenkrupp nucera</x:v>
      </x:c>
      <x:c r="E424" s="6" t="str">
        <x:v>Public</x:v>
      </x:c>
      <x:c r="F424" s="6" t="str">
        <x:v>XETRA:NCH2</x:v>
      </x:c>
      <x:c r="G424" s="6" t="str">
        <x:v>Industrial-scale alkaline electrolysis systems.</x:v>
      </x:c>
      <x:c r="H424" s="6" t="str">
        <x:v>https://thyssenkrupp-nucera.com/</x:v>
      </x:c>
      <x:c r="I424" s="6" t="str">
        <x:v>https://thyssenkrupp-nucera.com/</x:v>
      </x:c>
    </x:row>
    <x:row r="425" ht="15" hidden="0" customHeight="1">
      <x:c r="A425" s="12" t="n">
        <x:v>41</x:v>
      </x:c>
      <x:c r="B425" s="6" t="str">
        <x:v>Low-emissions hydrogen and electrolyzers</x:v>
      </x:c>
      <x:c r="C425" s="6" t="str">
        <x:v>Sustainable industry</x:v>
      </x:c>
      <x:c r="D425" s="6" t="str">
        <x:v>Bloom Energy</x:v>
      </x:c>
      <x:c r="E425" s="6" t="str">
        <x:v>Public</x:v>
      </x:c>
      <x:c r="F425" s="6" t="str">
        <x:v>NYSE:BE</x:v>
      </x:c>
      <x:c r="G425" s="6" t="str">
        <x:v>Solid-oxide electrolysis technology alongside its larger fuel-cell power business.</x:v>
      </x:c>
      <x:c r="H425" s="6" t="str">
        <x:v>https://www.bloomenergy.com/</x:v>
      </x:c>
      <x:c r="I425" s="6" t="str">
        <x:v>https://www.bloomenergy.com/</x:v>
      </x:c>
    </x:row>
    <x:row r="426" ht="15" hidden="0" customHeight="1">
      <x:c r="A426" s="12" t="n">
        <x:v>41</x:v>
      </x:c>
      <x:c r="B426" s="6" t="str">
        <x:v>Low-emissions hydrogen and electrolyzers</x:v>
      </x:c>
      <x:c r="C426" s="6" t="str">
        <x:v>Sustainable industry</x:v>
      </x:c>
      <x:c r="D426" s="6" t="str">
        <x:v>Sunfire</x:v>
      </x:c>
      <x:c r="E426" s="6" t="str">
        <x:v>Private</x:v>
      </x:c>
      <x:c r="F426" s="6" t="str"/>
      <x:c r="G426" s="6" t="str">
        <x:v>Alkaline and solid-oxide electrolyzer development and manufacturing.</x:v>
      </x:c>
      <x:c r="H426" s="6" t="str">
        <x:v>https://sunfire.de/en/</x:v>
      </x:c>
      <x:c r="I426" s="6" t="str">
        <x:v>https://sunfire.de/en/</x:v>
      </x:c>
    </x:row>
    <x:row r="427" ht="15" hidden="0" customHeight="1">
      <x:c r="A427" s="12" t="n">
        <x:v>41</x:v>
      </x:c>
      <x:c r="B427" s="6" t="str">
        <x:v>Low-emissions hydrogen and electrolyzers</x:v>
      </x:c>
      <x:c r="C427" s="6" t="str">
        <x:v>Sustainable industry</x:v>
      </x:c>
      <x:c r="D427" s="6" t="str">
        <x:v>Topsoe</x:v>
      </x:c>
      <x:c r="E427" s="6" t="str">
        <x:v>Private</x:v>
      </x:c>
      <x:c r="F427" s="6" t="str"/>
      <x:c r="G427" s="6" t="str">
        <x:v>Catalysts, process technology and solid-oxide electrolysis; revised commercialisation schedule in 2026.</x:v>
      </x:c>
      <x:c r="H427" s="6" t="str">
        <x:v>https://www.topsoe.com/</x:v>
      </x:c>
      <x:c r="I427" s="6" t="str">
        <x:v>https://www.topsoe.com/</x:v>
      </x:c>
    </x:row>
    <x:row r="428" ht="15" hidden="0" customHeight="1">
      <x:c r="A428" s="12" t="n">
        <x:v>41</x:v>
      </x:c>
      <x:c r="B428" s="6" t="str">
        <x:v>Low-emissions hydrogen and electrolyzers</x:v>
      </x:c>
      <x:c r="C428" s="6" t="str">
        <x:v>Sustainable industry</x:v>
      </x:c>
      <x:c r="D428" s="6" t="str">
        <x:v>Electric Hydrogen</x:v>
      </x:c>
      <x:c r="E428" s="6" t="str">
        <x:v>Private</x:v>
      </x:c>
      <x:c r="F428" s="6" t="str"/>
      <x:c r="G428" s="6" t="str">
        <x:v>Large integrated electrolysis systems for industrial hydrogen projects.</x:v>
      </x:c>
      <x:c r="H428" s="6" t="str">
        <x:v>https://eh2.com/</x:v>
      </x:c>
      <x:c r="I428" s="6" t="str">
        <x:v>https://eh2.com/</x:v>
      </x:c>
    </x:row>
    <x:row r="429" ht="15" hidden="0" customHeight="1">
      <x:c r="A429" s="12" t="n">
        <x:v>42</x:v>
      </x:c>
      <x:c r="B429" s="6" t="str">
        <x:v>Industrial carbon capture and storage</x:v>
      </x:c>
      <x:c r="C429" s="6" t="str">
        <x:v>Sustainable industry</x:v>
      </x:c>
      <x:c r="D429" s="6" t="str">
        <x:v>SLB</x:v>
      </x:c>
      <x:c r="E429" s="6" t="str">
        <x:v>Public</x:v>
      </x:c>
      <x:c r="F429" s="6" t="str">
        <x:v>NYSE:SLB</x:v>
      </x:c>
      <x:c r="G429" s="6" t="str">
        <x:v>Subsurface services and SLB Capturi carbon capture; parent/JV exposure, not an independent Aker Carbon Capture listing.</x:v>
      </x:c>
      <x:c r="H429" s="6" t="str">
        <x:v>https://www.slb.com/</x:v>
      </x:c>
      <x:c r="I429" s="6" t="str">
        <x:v>https://www.slb.com/</x:v>
      </x:c>
    </x:row>
    <x:row r="430" ht="15" hidden="0" customHeight="1">
      <x:c r="A430" s="12" t="n">
        <x:v>42</x:v>
      </x:c>
      <x:c r="B430" s="6" t="str">
        <x:v>Industrial carbon capture and storage</x:v>
      </x:c>
      <x:c r="C430" s="6" t="str">
        <x:v>Sustainable industry</x:v>
      </x:c>
      <x:c r="D430" s="6" t="str">
        <x:v>Mitsubishi Heavy Industries</x:v>
      </x:c>
      <x:c r="E430" s="6" t="str">
        <x:v>Public</x:v>
      </x:c>
      <x:c r="F430" s="6" t="str">
        <x:v>TSE:7011</x:v>
      </x:c>
      <x:c r="G430" s="6" t="str">
        <x:v>Industrial CO₂ capture equipment and engineering.</x:v>
      </x:c>
      <x:c r="H430" s="6" t="str">
        <x:v>https://www.mhi.com/</x:v>
      </x:c>
      <x:c r="I430" s="6" t="str">
        <x:v>https://www.mhi.com/</x:v>
      </x:c>
    </x:row>
    <x:row r="431" ht="15" hidden="0" customHeight="1">
      <x:c r="A431" s="12" t="n">
        <x:v>42</x:v>
      </x:c>
      <x:c r="B431" s="6" t="str">
        <x:v>Industrial carbon capture and storage</x:v>
      </x:c>
      <x:c r="C431" s="6" t="str">
        <x:v>Sustainable industry</x:v>
      </x:c>
      <x:c r="D431" s="6" t="str">
        <x:v>Shell</x:v>
      </x:c>
      <x:c r="E431" s="6" t="str">
        <x:v>Public</x:v>
      </x:c>
      <x:c r="F431" s="6" t="str">
        <x:v>LSE:SHEL</x:v>
      </x:c>
      <x:c r="G431" s="6" t="str">
        <x:v>CCS project development, transport and storage; diversified energy exposure.</x:v>
      </x:c>
      <x:c r="H431" s="6" t="str">
        <x:v>https://www.shell.com/</x:v>
      </x:c>
      <x:c r="I431" s="6" t="str">
        <x:v>https://www.shell.com/</x:v>
      </x:c>
    </x:row>
    <x:row r="432" ht="15" hidden="0" customHeight="1">
      <x:c r="A432" s="12" t="n">
        <x:v>42</x:v>
      </x:c>
      <x:c r="B432" s="6" t="str">
        <x:v>Industrial carbon capture and storage</x:v>
      </x:c>
      <x:c r="C432" s="6" t="str">
        <x:v>Sustainable industry</x:v>
      </x:c>
      <x:c r="D432" s="6" t="str">
        <x:v>Equinor</x:v>
      </x:c>
      <x:c r="E432" s="6" t="str">
        <x:v>Public</x:v>
      </x:c>
      <x:c r="F432" s="6" t="str">
        <x:v>OSE:EQNR</x:v>
      </x:c>
      <x:c r="G432" s="6" t="str">
        <x:v>Offshore CO₂ storage and hub development, including Northern Lights participation.</x:v>
      </x:c>
      <x:c r="H432" s="6" t="str">
        <x:v>https://www.equinor.com/</x:v>
      </x:c>
      <x:c r="I432" s="6" t="str">
        <x:v>https://www.equinor.com/</x:v>
      </x:c>
    </x:row>
    <x:row r="433" ht="15" hidden="0" customHeight="1">
      <x:c r="A433" s="12" t="n">
        <x:v>42</x:v>
      </x:c>
      <x:c r="B433" s="6" t="str">
        <x:v>Industrial carbon capture and storage</x:v>
      </x:c>
      <x:c r="C433" s="6" t="str">
        <x:v>Sustainable industry</x:v>
      </x:c>
      <x:c r="D433" s="6" t="str">
        <x:v>TotalEnergies</x:v>
      </x:c>
      <x:c r="E433" s="6" t="str">
        <x:v>Public</x:v>
      </x:c>
      <x:c r="F433" s="6" t="str">
        <x:v>EPA:TTE</x:v>
      </x:c>
      <x:c r="G433" s="6" t="str">
        <x:v>Storage and industrial CCS investment; diversified exposure.</x:v>
      </x:c>
      <x:c r="H433" s="6" t="str">
        <x:v>https://totalenergies.com/</x:v>
      </x:c>
      <x:c r="I433" s="6" t="str">
        <x:v>https://totalenergies.com/</x:v>
      </x:c>
    </x:row>
    <x:row r="434" ht="15" hidden="0" customHeight="1">
      <x:c r="A434" s="12" t="n">
        <x:v>42</x:v>
      </x:c>
      <x:c r="B434" s="6" t="str">
        <x:v>Industrial carbon capture and storage</x:v>
      </x:c>
      <x:c r="C434" s="6" t="str">
        <x:v>Sustainable industry</x:v>
      </x:c>
      <x:c r="D434" s="6" t="str">
        <x:v>Exxon Mobil</x:v>
      </x:c>
      <x:c r="E434" s="6" t="str">
        <x:v>Public</x:v>
      </x:c>
      <x:c r="F434" s="6" t="str">
        <x:v>NYSE:XOM</x:v>
      </x:c>
      <x:c r="G434" s="6" t="str">
        <x:v>Industrial CO₂ transport and storage contracts and subsurface infrastructure.</x:v>
      </x:c>
      <x:c r="H434" s="6" t="str">
        <x:v>https://corporate.exxonmobil.com/</x:v>
      </x:c>
      <x:c r="I434" s="6" t="str">
        <x:v>https://corporate.exxonmobil.com/</x:v>
      </x:c>
    </x:row>
    <x:row r="435" ht="15" hidden="0" customHeight="1">
      <x:c r="A435" s="12" t="n">
        <x:v>42</x:v>
      </x:c>
      <x:c r="B435" s="6" t="str">
        <x:v>Industrial carbon capture and storage</x:v>
      </x:c>
      <x:c r="C435" s="6" t="str">
        <x:v>Sustainable industry</x:v>
      </x:c>
      <x:c r="D435" s="6" t="str">
        <x:v>Fluor</x:v>
      </x:c>
      <x:c r="E435" s="6" t="str">
        <x:v>Public</x:v>
      </x:c>
      <x:c r="F435" s="6" t="str">
        <x:v>NYSE:FLR</x:v>
      </x:c>
      <x:c r="G435" s="6" t="str">
        <x:v>Engineering and construction services for capture and industrial projects.</x:v>
      </x:c>
      <x:c r="H435" s="6" t="str">
        <x:v>https://www.fluor.com/</x:v>
      </x:c>
      <x:c r="I435" s="6" t="str">
        <x:v>https://www.fluor.com/</x:v>
      </x:c>
    </x:row>
    <x:row r="436" ht="15" hidden="0" customHeight="1">
      <x:c r="A436" s="12" t="n">
        <x:v>42</x:v>
      </x:c>
      <x:c r="B436" s="6" t="str">
        <x:v>Industrial carbon capture and storage</x:v>
      </x:c>
      <x:c r="C436" s="6" t="str">
        <x:v>Sustainable industry</x:v>
      </x:c>
      <x:c r="D436" s="6" t="str">
        <x:v>Technip Energies</x:v>
      </x:c>
      <x:c r="E436" s="6" t="str">
        <x:v>Public</x:v>
      </x:c>
      <x:c r="F436" s="6" t="str">
        <x:v>EPA:TE</x:v>
      </x:c>
      <x:c r="G436" s="6" t="str">
        <x:v>Process engineering and CO₂ capture solutions; EPC execution exposure.</x:v>
      </x:c>
      <x:c r="H436" s="6" t="str">
        <x:v>https://www.ten.com/</x:v>
      </x:c>
      <x:c r="I436" s="6" t="str">
        <x:v>https://www.ten.com/</x:v>
      </x:c>
    </x:row>
    <x:row r="437" ht="15" hidden="0" customHeight="1">
      <x:c r="A437" s="12" t="n">
        <x:v>42</x:v>
      </x:c>
      <x:c r="B437" s="6" t="str">
        <x:v>Industrial carbon capture and storage</x:v>
      </x:c>
      <x:c r="C437" s="6" t="str">
        <x:v>Sustainable industry</x:v>
      </x:c>
      <x:c r="D437" s="6" t="str">
        <x:v>Carbon Clean</x:v>
      </x:c>
      <x:c r="E437" s="6" t="str">
        <x:v>Private</x:v>
      </x:c>
      <x:c r="F437" s="6" t="str"/>
      <x:c r="G437" s="6" t="str">
        <x:v>Modular point-source industrial carbon capture technology.</x:v>
      </x:c>
      <x:c r="H437" s="6" t="str">
        <x:v>https://www.carbonclean.com/</x:v>
      </x:c>
      <x:c r="I437" s="6" t="str">
        <x:v>https://www.carbonclean.com/</x:v>
      </x:c>
    </x:row>
    <x:row r="438" ht="15" hidden="0" customHeight="1">
      <x:c r="A438" s="12" t="n">
        <x:v>42</x:v>
      </x:c>
      <x:c r="B438" s="6" t="str">
        <x:v>Industrial carbon capture and storage</x:v>
      </x:c>
      <x:c r="C438" s="6" t="str">
        <x:v>Sustainable industry</x:v>
      </x:c>
      <x:c r="D438" s="6" t="str">
        <x:v>Svante</x:v>
      </x:c>
      <x:c r="E438" s="6" t="str">
        <x:v>Private</x:v>
      </x:c>
      <x:c r="F438" s="6" t="str"/>
      <x:c r="G438" s="6" t="str">
        <x:v>Solid-sorbent filters and capture technology for industrial emissions.</x:v>
      </x:c>
      <x:c r="H438" s="6" t="str">
        <x:v>https://svanteinc.com/</x:v>
      </x:c>
      <x:c r="I438" s="6" t="str">
        <x:v>https://svanteinc.com/</x:v>
      </x:c>
    </x:row>
    <x:row r="439" ht="15" hidden="0" customHeight="1">
      <x:c r="A439" s="12" t="n">
        <x:v>42</x:v>
      </x:c>
      <x:c r="B439" s="6" t="str">
        <x:v>Industrial carbon capture and storage</x:v>
      </x:c>
      <x:c r="C439" s="6" t="str">
        <x:v>Sustainable industry</x:v>
      </x:c>
      <x:c r="D439" s="6" t="str">
        <x:v>CarbonFree</x:v>
      </x:c>
      <x:c r="E439" s="6" t="str">
        <x:v>Private</x:v>
      </x:c>
      <x:c r="F439" s="6" t="str"/>
      <x:c r="G439" s="6" t="str">
        <x:v>Industrial carbon capture and mineralisation; utilisation/permanence must be assessed by pathway.</x:v>
      </x:c>
      <x:c r="H439" s="6" t="str">
        <x:v>https://www.carbonfree.cc/</x:v>
      </x:c>
      <x:c r="I439" s="6" t="str">
        <x:v>https://www.carbonfree.cc/</x:v>
      </x:c>
    </x:row>
    <x:row r="440" ht="15" hidden="0" customHeight="1">
      <x:c r="A440" s="12" t="n">
        <x:v>43</x:v>
      </x:c>
      <x:c r="B440" s="6" t="str">
        <x:v>Low-carbon cement and concrete</x:v>
      </x:c>
      <x:c r="C440" s="6" t="str">
        <x:v>Sustainable industry</x:v>
      </x:c>
      <x:c r="D440" s="6" t="str">
        <x:v>Holcim</x:v>
      </x:c>
      <x:c r="E440" s="6" t="str">
        <x:v>Public</x:v>
      </x:c>
      <x:c r="F440" s="6" t="str">
        <x:v>SWX:HOLN</x:v>
      </x:c>
      <x:c r="G440" s="6" t="str">
        <x:v>Lower-clinker cement and concrete; Americas business separated into Amrize in 2025.</x:v>
      </x:c>
      <x:c r="H440" s="6" t="str">
        <x:v>https://www.holcim.com/</x:v>
      </x:c>
      <x:c r="I440" s="6" t="str">
        <x:v>https://www.holcim.com/</x:v>
      </x:c>
    </x:row>
    <x:row r="441" ht="15" hidden="0" customHeight="1">
      <x:c r="A441" s="12" t="n">
        <x:v>43</x:v>
      </x:c>
      <x:c r="B441" s="6" t="str">
        <x:v>Low-carbon cement and concrete</x:v>
      </x:c>
      <x:c r="C441" s="6" t="str">
        <x:v>Sustainable industry</x:v>
      </x:c>
      <x:c r="D441" s="6" t="str">
        <x:v>Heidelberg Materials</x:v>
      </x:c>
      <x:c r="E441" s="6" t="str">
        <x:v>Public</x:v>
      </x:c>
      <x:c r="F441" s="6" t="str">
        <x:v>XETRA:HEI</x:v>
      </x:c>
      <x:c r="G441" s="6" t="str">
        <x:v>Blended cements, low-carbon products and cement CCS integration.</x:v>
      </x:c>
      <x:c r="H441" s="6" t="str">
        <x:v>https://www.heidelbergmaterials.com/</x:v>
      </x:c>
      <x:c r="I441" s="6" t="str">
        <x:v>https://www.heidelbergmaterials.com/</x:v>
      </x:c>
    </x:row>
    <x:row r="442" ht="15" hidden="0" customHeight="1">
      <x:c r="A442" s="12" t="n">
        <x:v>43</x:v>
      </x:c>
      <x:c r="B442" s="6" t="str">
        <x:v>Low-carbon cement and concrete</x:v>
      </x:c>
      <x:c r="C442" s="6" t="str">
        <x:v>Sustainable industry</x:v>
      </x:c>
      <x:c r="D442" s="6" t="str">
        <x:v>Cemex</x:v>
      </x:c>
      <x:c r="E442" s="6" t="str">
        <x:v>Public</x:v>
      </x:c>
      <x:c r="F442" s="6" t="str">
        <x:v>NYSE:CX</x:v>
      </x:c>
      <x:c r="G442" s="6" t="str">
        <x:v>Lower-carbon concrete and cement products through a large existing production network.</x:v>
      </x:c>
      <x:c r="H442" s="6" t="str">
        <x:v>https://www.cemex.com/</x:v>
      </x:c>
      <x:c r="I442" s="6" t="str">
        <x:v>https://www.cemex.com/</x:v>
      </x:c>
    </x:row>
    <x:row r="443" ht="15" hidden="0" customHeight="1">
      <x:c r="A443" s="12" t="n">
        <x:v>43</x:v>
      </x:c>
      <x:c r="B443" s="6" t="str">
        <x:v>Low-carbon cement and concrete</x:v>
      </x:c>
      <x:c r="C443" s="6" t="str">
        <x:v>Sustainable industry</x:v>
      </x:c>
      <x:c r="D443" s="6" t="str">
        <x:v>CRH</x:v>
      </x:c>
      <x:c r="E443" s="6" t="str">
        <x:v>Public</x:v>
      </x:c>
      <x:c r="F443" s="6" t="str">
        <x:v>NYSE:CRH</x:v>
      </x:c>
      <x:c r="G443" s="6" t="str">
        <x:v>Cement, aggregates and concrete supplier implementing lower-carbon materials.</x:v>
      </x:c>
      <x:c r="H443" s="6" t="str">
        <x:v>https://www.crh.com/</x:v>
      </x:c>
      <x:c r="I443" s="6" t="str">
        <x:v>https://www.crh.com/</x:v>
      </x:c>
    </x:row>
    <x:row r="444" ht="15" hidden="0" customHeight="1">
      <x:c r="A444" s="12" t="n">
        <x:v>43</x:v>
      </x:c>
      <x:c r="B444" s="6" t="str">
        <x:v>Low-carbon cement and concrete</x:v>
      </x:c>
      <x:c r="C444" s="6" t="str">
        <x:v>Sustainable industry</x:v>
      </x:c>
      <x:c r="D444" s="6" t="str">
        <x:v>Amrize</x:v>
      </x:c>
      <x:c r="E444" s="6" t="str">
        <x:v>Public</x:v>
      </x:c>
      <x:c r="F444" s="6" t="str">
        <x:v>NYSE:AMRZ</x:v>
      </x:c>
      <x:c r="G444" s="6" t="str">
        <x:v>North American building materials group separated from Holcim; concrete and cement deployment channel.</x:v>
      </x:c>
      <x:c r="H444" s="6" t="str">
        <x:v>https://www.amrize.com/</x:v>
      </x:c>
      <x:c r="I444" s="6" t="str">
        <x:v>https://www.amrize.com/</x:v>
      </x:c>
    </x:row>
    <x:row r="445" ht="15" hidden="0" customHeight="1">
      <x:c r="A445" s="12" t="n">
        <x:v>43</x:v>
      </x:c>
      <x:c r="B445" s="6" t="str">
        <x:v>Low-carbon cement and concrete</x:v>
      </x:c>
      <x:c r="C445" s="6" t="str">
        <x:v>Sustainable industry</x:v>
      </x:c>
      <x:c r="D445" s="6" t="str">
        <x:v>Saint-Gobain</x:v>
      </x:c>
      <x:c r="E445" s="6" t="str">
        <x:v>Public</x:v>
      </x:c>
      <x:c r="F445" s="6" t="str">
        <x:v>EPA:SGO</x:v>
      </x:c>
      <x:c r="G445" s="6" t="str">
        <x:v>Chryso admixtures and construction chemicals that help qualify lower-clinker mixes.</x:v>
      </x:c>
      <x:c r="H445" s="6" t="str">
        <x:v>https://www.saint-gobain.com/</x:v>
      </x:c>
      <x:c r="I445" s="6" t="str">
        <x:v>https://www.saint-gobain.com/</x:v>
      </x:c>
    </x:row>
    <x:row r="446" ht="15" hidden="0" customHeight="1">
      <x:c r="A446" s="12" t="n">
        <x:v>43</x:v>
      </x:c>
      <x:c r="B446" s="6" t="str">
        <x:v>Low-carbon cement and concrete</x:v>
      </x:c>
      <x:c r="C446" s="6" t="str">
        <x:v>Sustainable industry</x:v>
      </x:c>
      <x:c r="D446" s="6" t="str">
        <x:v>Sika</x:v>
      </x:c>
      <x:c r="E446" s="6" t="str">
        <x:v>Public</x:v>
      </x:c>
      <x:c r="F446" s="6" t="str">
        <x:v>SWX:SIKA</x:v>
      </x:c>
      <x:c r="G446" s="6" t="str">
        <x:v>Admixtures and construction chemistry for lower-carbon concrete performance.</x:v>
      </x:c>
      <x:c r="H446" s="6" t="str">
        <x:v>https://www.sika.com/</x:v>
      </x:c>
      <x:c r="I446" s="6" t="str">
        <x:v>https://www.sika.com/</x:v>
      </x:c>
    </x:row>
    <x:row r="447" ht="15" hidden="0" customHeight="1">
      <x:c r="A447" s="12" t="n">
        <x:v>43</x:v>
      </x:c>
      <x:c r="B447" s="6" t="str">
        <x:v>Low-carbon cement and concrete</x:v>
      </x:c>
      <x:c r="C447" s="6" t="str">
        <x:v>Sustainable industry</x:v>
      </x:c>
      <x:c r="D447" s="6" t="str">
        <x:v>CarbonCure Technologies</x:v>
      </x:c>
      <x:c r="E447" s="6" t="str">
        <x:v>Private</x:v>
      </x:c>
      <x:c r="F447" s="6" t="str"/>
      <x:c r="G447" s="6" t="str">
        <x:v>CO₂ mineralisation technology integrated with concrete production.</x:v>
      </x:c>
      <x:c r="H447" s="6" t="str">
        <x:v>https://www.carboncure.com/</x:v>
      </x:c>
      <x:c r="I447" s="6" t="str">
        <x:v>https://www.carboncure.com/</x:v>
      </x:c>
    </x:row>
    <x:row r="448" ht="15" hidden="0" customHeight="1">
      <x:c r="A448" s="12" t="n">
        <x:v>43</x:v>
      </x:c>
      <x:c r="B448" s="6" t="str">
        <x:v>Low-carbon cement and concrete</x:v>
      </x:c>
      <x:c r="C448" s="6" t="str">
        <x:v>Sustainable industry</x:v>
      </x:c>
      <x:c r="D448" s="6" t="str">
        <x:v>Brimstone</x:v>
      </x:c>
      <x:c r="E448" s="6" t="str">
        <x:v>Private</x:v>
      </x:c>
      <x:c r="F448" s="6" t="str"/>
      <x:c r="G448" s="6" t="str">
        <x:v>Alternative cement manufacturing process; scaling and qualification risks remain.</x:v>
      </x:c>
      <x:c r="H448" s="6" t="str">
        <x:v>https://www.brimstone.com/</x:v>
      </x:c>
      <x:c r="I448" s="6" t="str">
        <x:v>https://www.brimstone.com/</x:v>
      </x:c>
    </x:row>
    <x:row r="449" ht="15" hidden="0" customHeight="1">
      <x:c r="A449" s="12" t="n">
        <x:v>43</x:v>
      </x:c>
      <x:c r="B449" s="6" t="str">
        <x:v>Low-carbon cement and concrete</x:v>
      </x:c>
      <x:c r="C449" s="6" t="str">
        <x:v>Sustainable industry</x:v>
      </x:c>
      <x:c r="D449" s="6" t="str">
        <x:v>Ecocem</x:v>
      </x:c>
      <x:c r="E449" s="6" t="str">
        <x:v>Private</x:v>
      </x:c>
      <x:c r="F449" s="6" t="str"/>
      <x:c r="G449" s="6" t="str">
        <x:v>Low-clinker cement technology and supplementary cementitious materials.</x:v>
      </x:c>
      <x:c r="H449" s="6" t="str">
        <x:v>https://www.ecocemglobal.com/</x:v>
      </x:c>
      <x:c r="I449" s="6" t="str">
        <x:v>https://www.ecocemglobal.com/</x:v>
      </x:c>
    </x:row>
    <x:row r="450" ht="15" hidden="0" customHeight="1">
      <x:c r="A450" s="12" t="n">
        <x:v>43</x:v>
      </x:c>
      <x:c r="B450" s="6" t="str">
        <x:v>Low-carbon cement and concrete</x:v>
      </x:c>
      <x:c r="C450" s="6" t="str">
        <x:v>Sustainable industry</x:v>
      </x:c>
      <x:c r="D450" s="6" t="str">
        <x:v>Fortera</x:v>
      </x:c>
      <x:c r="E450" s="6" t="str">
        <x:v>Private</x:v>
      </x:c>
      <x:c r="F450" s="6" t="str"/>
      <x:c r="G450" s="6" t="str">
        <x:v>Cement decarbonisation process and reactive calcium-carbonate materials.</x:v>
      </x:c>
      <x:c r="H450" s="6" t="str">
        <x:v>https://forteraglobal.com/</x:v>
      </x:c>
      <x:c r="I450" s="6" t="str">
        <x:v>https://forteraglobal.com/</x:v>
      </x:c>
    </x:row>
    <x:row r="451" ht="15" hidden="0" customHeight="1">
      <x:c r="A451" s="12" t="n">
        <x:v>43</x:v>
      </x:c>
      <x:c r="B451" s="6" t="str">
        <x:v>Low-carbon cement and concrete</x:v>
      </x:c>
      <x:c r="C451" s="6" t="str">
        <x:v>Sustainable industry</x:v>
      </x:c>
      <x:c r="D451" s="6" t="str">
        <x:v>Paebbl</x:v>
      </x:c>
      <x:c r="E451" s="6" t="str">
        <x:v>Private</x:v>
      </x:c>
      <x:c r="F451" s="6" t="str"/>
      <x:c r="G451" s="6" t="str">
        <x:v>CO₂-mineralised construction materials; early commercial scale-up.</x:v>
      </x:c>
      <x:c r="H451" s="6" t="str">
        <x:v>https://paebbl.com/</x:v>
      </x:c>
      <x:c r="I451" s="6" t="str">
        <x:v>https://paebbl.com/</x:v>
      </x:c>
    </x:row>
    <x:row r="452" ht="15" hidden="0" customHeight="1">
      <x:c r="A452" s="12" t="n">
        <x:v>44</x:v>
      </x:c>
      <x:c r="B452" s="6" t="str">
        <x:v>Sustainable aviation fuels</x:v>
      </x:c>
      <x:c r="C452" s="6" t="str">
        <x:v>Sustainable industry</x:v>
      </x:c>
      <x:c r="D452" s="6" t="str">
        <x:v>Neste</x:v>
      </x:c>
      <x:c r="E452" s="6" t="str">
        <x:v>Public</x:v>
      </x:c>
      <x:c r="F452" s="6" t="str">
        <x:v>HEL:NESTE</x:v>
      </x:c>
      <x:c r="G452" s="6" t="str">
        <x:v>Renewable-fuel producer with commercial SAF production and feedstock sourcing.</x:v>
      </x:c>
      <x:c r="H452" s="6" t="str">
        <x:v>https://www.neste.com/</x:v>
      </x:c>
      <x:c r="I452" s="6" t="str">
        <x:v>https://www.neste.com/</x:v>
      </x:c>
    </x:row>
    <x:row r="453" ht="15" hidden="0" customHeight="1">
      <x:c r="A453" s="12" t="n">
        <x:v>44</x:v>
      </x:c>
      <x:c r="B453" s="6" t="str">
        <x:v>Sustainable aviation fuels</x:v>
      </x:c>
      <x:c r="C453" s="6" t="str">
        <x:v>Sustainable industry</x:v>
      </x:c>
      <x:c r="D453" s="6" t="str">
        <x:v>TotalEnergies</x:v>
      </x:c>
      <x:c r="E453" s="6" t="str">
        <x:v>Public</x:v>
      </x:c>
      <x:c r="F453" s="6" t="str">
        <x:v>EPA:TTE</x:v>
      </x:c>
      <x:c r="G453" s="6" t="str">
        <x:v>Refinery conversion, SAF supply and offtake; diversified energy exposure.</x:v>
      </x:c>
      <x:c r="H453" s="6" t="str">
        <x:v>https://totalenergies.com/</x:v>
      </x:c>
      <x:c r="I453" s="6" t="str">
        <x:v>https://totalenergies.com/</x:v>
      </x:c>
    </x:row>
    <x:row r="454" ht="15" hidden="0" customHeight="1">
      <x:c r="A454" s="12" t="n">
        <x:v>44</x:v>
      </x:c>
      <x:c r="B454" s="6" t="str">
        <x:v>Sustainable aviation fuels</x:v>
      </x:c>
      <x:c r="C454" s="6" t="str">
        <x:v>Sustainable industry</x:v>
      </x:c>
      <x:c r="D454" s="6" t="str">
        <x:v>Valero Energy</x:v>
      </x:c>
      <x:c r="E454" s="6" t="str">
        <x:v>Public</x:v>
      </x:c>
      <x:c r="F454" s="6" t="str">
        <x:v>NYSE:VLO</x:v>
      </x:c>
      <x:c r="G454" s="6" t="str">
        <x:v>SAF exposure through Diamond Green Diesel joint venture.</x:v>
      </x:c>
      <x:c r="H454" s="6" t="str">
        <x:v>https://www.valero.com/</x:v>
      </x:c>
      <x:c r="I454" s="6" t="str">
        <x:v>https://www.valero.com/</x:v>
      </x:c>
    </x:row>
    <x:row r="455" ht="15" hidden="0" customHeight="1">
      <x:c r="A455" s="12" t="n">
        <x:v>44</x:v>
      </x:c>
      <x:c r="B455" s="6" t="str">
        <x:v>Sustainable aviation fuels</x:v>
      </x:c>
      <x:c r="C455" s="6" t="str">
        <x:v>Sustainable industry</x:v>
      </x:c>
      <x:c r="D455" s="6" t="str">
        <x:v>Darling Ingredients</x:v>
      </x:c>
      <x:c r="E455" s="6" t="str">
        <x:v>Public</x:v>
      </x:c>
      <x:c r="F455" s="6" t="str">
        <x:v>NYSE:DAR</x:v>
      </x:c>
      <x:c r="G455" s="6" t="str">
        <x:v>Feedstocks and Diamond Green Diesel joint-venture production exposure.</x:v>
      </x:c>
      <x:c r="H455" s="6" t="str">
        <x:v>https://www.darlingii.com/</x:v>
      </x:c>
      <x:c r="I455" s="6" t="str">
        <x:v>https://www.darlingii.com/</x:v>
      </x:c>
    </x:row>
    <x:row r="456" ht="15" hidden="0" customHeight="1">
      <x:c r="A456" s="12" t="n">
        <x:v>44</x:v>
      </x:c>
      <x:c r="B456" s="6" t="str">
        <x:v>Sustainable aviation fuels</x:v>
      </x:c>
      <x:c r="C456" s="6" t="str">
        <x:v>Sustainable industry</x:v>
      </x:c>
      <x:c r="D456" s="6" t="str">
        <x:v>Honeywell</x:v>
      </x:c>
      <x:c r="E456" s="6" t="str">
        <x:v>Public</x:v>
      </x:c>
      <x:c r="F456" s="6" t="str">
        <x:v>NASDAQ:HON</x:v>
      </x:c>
      <x:c r="G456" s="6" t="str">
        <x:v>UOP process technology and licensing for renewable jet-fuel pathways.</x:v>
      </x:c>
      <x:c r="H456" s="6" t="str">
        <x:v>https://www.honeywell.com/</x:v>
      </x:c>
      <x:c r="I456" s="6" t="str">
        <x:v>https://www.honeywell.com/</x:v>
      </x:c>
    </x:row>
    <x:row r="457" ht="15" hidden="0" customHeight="1">
      <x:c r="A457" s="12" t="n">
        <x:v>44</x:v>
      </x:c>
      <x:c r="B457" s="6" t="str">
        <x:v>Sustainable aviation fuels</x:v>
      </x:c>
      <x:c r="C457" s="6" t="str">
        <x:v>Sustainable industry</x:v>
      </x:c>
      <x:c r="D457" s="6" t="str">
        <x:v>Gevo</x:v>
      </x:c>
      <x:c r="E457" s="6" t="str">
        <x:v>Public</x:v>
      </x:c>
      <x:c r="F457" s="6" t="str">
        <x:v>NASDAQ:GEVO</x:v>
      </x:c>
      <x:c r="G457" s="6" t="str">
        <x:v>Low-carbon fuels and SAF project development; project and financing risk remains.</x:v>
      </x:c>
      <x:c r="H457" s="6" t="str">
        <x:v>https://gevo.com/</x:v>
      </x:c>
      <x:c r="I457" s="6" t="str">
        <x:v>https://gevo.com/</x:v>
      </x:c>
    </x:row>
    <x:row r="458" ht="15" hidden="0" customHeight="1">
      <x:c r="A458" s="12" t="n">
        <x:v>44</x:v>
      </x:c>
      <x:c r="B458" s="6" t="str">
        <x:v>Sustainable aviation fuels</x:v>
      </x:c>
      <x:c r="C458" s="6" t="str">
        <x:v>Sustainable industry</x:v>
      </x:c>
      <x:c r="D458" s="6" t="str">
        <x:v>Topsoe</x:v>
      </x:c>
      <x:c r="E458" s="6" t="str">
        <x:v>Private</x:v>
      </x:c>
      <x:c r="F458" s="6" t="str"/>
      <x:c r="G458" s="6" t="str">
        <x:v>Catalysts and process technology for bio-based and synthetic SAF.</x:v>
      </x:c>
      <x:c r="H458" s="6" t="str">
        <x:v>https://www.topsoe.com/</x:v>
      </x:c>
      <x:c r="I458" s="6" t="str">
        <x:v>https://www.topsoe.com/</x:v>
      </x:c>
    </x:row>
    <x:row r="459" ht="15" hidden="0" customHeight="1">
      <x:c r="A459" s="12" t="n">
        <x:v>44</x:v>
      </x:c>
      <x:c r="B459" s="6" t="str">
        <x:v>Sustainable aviation fuels</x:v>
      </x:c>
      <x:c r="C459" s="6" t="str">
        <x:v>Sustainable industry</x:v>
      </x:c>
      <x:c r="D459" s="6" t="str">
        <x:v>LanzaJet</x:v>
      </x:c>
      <x:c r="E459" s="6" t="str">
        <x:v>Private</x:v>
      </x:c>
      <x:c r="F459" s="6" t="str"/>
      <x:c r="G459" s="6" t="str">
        <x:v>Alcohol-to-jet technology and commercial project development.</x:v>
      </x:c>
      <x:c r="H459" s="6" t="str">
        <x:v>https://www.lanzajet.com/</x:v>
      </x:c>
      <x:c r="I459" s="6" t="str">
        <x:v>https://www.lanzajet.com/</x:v>
      </x:c>
    </x:row>
    <x:row r="460" ht="15" hidden="0" customHeight="1">
      <x:c r="A460" s="12" t="n">
        <x:v>44</x:v>
      </x:c>
      <x:c r="B460" s="6" t="str">
        <x:v>Sustainable aviation fuels</x:v>
      </x:c>
      <x:c r="C460" s="6" t="str">
        <x:v>Sustainable industry</x:v>
      </x:c>
      <x:c r="D460" s="6" t="str">
        <x:v>World Energy</x:v>
      </x:c>
      <x:c r="E460" s="6" t="str">
        <x:v>Private</x:v>
      </x:c>
      <x:c r="F460" s="6" t="str"/>
      <x:c r="G460" s="6" t="str">
        <x:v>Renewable fuel and SAF production and supply.</x:v>
      </x:c>
      <x:c r="H460" s="6" t="str">
        <x:v>https://www.worldenergy.net/</x:v>
      </x:c>
      <x:c r="I460" s="6" t="str">
        <x:v>https://www.worldenergy.net/</x:v>
      </x:c>
    </x:row>
    <x:row r="461" ht="15" hidden="0" customHeight="1">
      <x:c r="A461" s="12" t="n">
        <x:v>44</x:v>
      </x:c>
      <x:c r="B461" s="6" t="str">
        <x:v>Sustainable aviation fuels</x:v>
      </x:c>
      <x:c r="C461" s="6" t="str">
        <x:v>Sustainable industry</x:v>
      </x:c>
      <x:c r="D461" s="6" t="str">
        <x:v>SkyNRG</x:v>
      </x:c>
      <x:c r="E461" s="6" t="str">
        <x:v>Private</x:v>
      </x:c>
      <x:c r="F461" s="6" t="str"/>
      <x:c r="G461" s="6" t="str">
        <x:v>SAF supply, project development and corporate procurement programmes.</x:v>
      </x:c>
      <x:c r="H461" s="6" t="str">
        <x:v>https://skynrg.com/</x:v>
      </x:c>
      <x:c r="I461" s="6" t="str">
        <x:v>https://skynrg.com/</x:v>
      </x:c>
    </x:row>
    <x:row r="462" ht="15" hidden="0" customHeight="1">
      <x:c r="A462" s="12" t="n">
        <x:v>44</x:v>
      </x:c>
      <x:c r="B462" s="6" t="str">
        <x:v>Sustainable aviation fuels</x:v>
      </x:c>
      <x:c r="C462" s="6" t="str">
        <x:v>Sustainable industry</x:v>
      </x:c>
      <x:c r="D462" s="6" t="str">
        <x:v>Twelve</x:v>
      </x:c>
      <x:c r="E462" s="6" t="str">
        <x:v>Private</x:v>
      </x:c>
      <x:c r="F462" s="6" t="str"/>
      <x:c r="G462" s="6" t="str">
        <x:v>CO₂-to-fuels technology and synthetic fuel project development; earlier-stage pathway.</x:v>
      </x:c>
      <x:c r="H462" s="6" t="str">
        <x:v>https://www.twelve.co/</x:v>
      </x:c>
      <x:c r="I462" s="6" t="str">
        <x:v>https://www.twelve.co/</x:v>
      </x:c>
    </x:row>
    <x:row r="463" ht="15" hidden="0" customHeight="1">
      <x:c r="A463" s="12" t="n">
        <x:v>45</x:v>
      </x:c>
      <x:c r="B463" s="6" t="str">
        <x:v>Additive manufacturing for end-use production</x:v>
      </x:c>
      <x:c r="C463" s="6" t="str">
        <x:v>Sustainable industry</x:v>
      </x:c>
      <x:c r="D463" s="6" t="str">
        <x:v>HP</x:v>
      </x:c>
      <x:c r="E463" s="6" t="str">
        <x:v>Public</x:v>
      </x:c>
      <x:c r="F463" s="6" t="str">
        <x:v>NYSE:HPQ</x:v>
      </x:c>
      <x:c r="G463" s="6" t="str">
        <x:v>Polymer and metal additive-manufacturing systems and production services ecosystem.</x:v>
      </x:c>
      <x:c r="H463" s="6" t="str">
        <x:v>https://www.hp.com/us-en/printers/3d-printers.html</x:v>
      </x:c>
      <x:c r="I463" s="6" t="str">
        <x:v>https://www.hp.com/us-en/printers/3d-printers.html</x:v>
      </x:c>
    </x:row>
    <x:row r="464" ht="15" hidden="0" customHeight="1">
      <x:c r="A464" s="12" t="n">
        <x:v>45</x:v>
      </x:c>
      <x:c r="B464" s="6" t="str">
        <x:v>Additive manufacturing for end-use production</x:v>
      </x:c>
      <x:c r="C464" s="6" t="str">
        <x:v>Sustainable industry</x:v>
      </x:c>
      <x:c r="D464" s="6" t="str">
        <x:v>3D Systems</x:v>
      </x:c>
      <x:c r="E464" s="6" t="str">
        <x:v>Public</x:v>
      </x:c>
      <x:c r="F464" s="6" t="str">
        <x:v>NYSE:DDD</x:v>
      </x:c>
      <x:c r="G464" s="6" t="str">
        <x:v>Industrial and healthcare additive systems, materials and services.</x:v>
      </x:c>
      <x:c r="H464" s="6" t="str">
        <x:v>https://www.3dsystems.com/</x:v>
      </x:c>
      <x:c r="I464" s="6" t="str">
        <x:v>https://www.3dsystems.com/</x:v>
      </x:c>
    </x:row>
    <x:row r="465" ht="15" hidden="0" customHeight="1">
      <x:c r="A465" s="12" t="n">
        <x:v>45</x:v>
      </x:c>
      <x:c r="B465" s="6" t="str">
        <x:v>Additive manufacturing for end-use production</x:v>
      </x:c>
      <x:c r="C465" s="6" t="str">
        <x:v>Sustainable industry</x:v>
      </x:c>
      <x:c r="D465" s="6" t="str">
        <x:v>Stratasys</x:v>
      </x:c>
      <x:c r="E465" s="6" t="str">
        <x:v>Public</x:v>
      </x:c>
      <x:c r="F465" s="6" t="str">
        <x:v>NASDAQ:SSYS</x:v>
      </x:c>
      <x:c r="G465" s="6" t="str">
        <x:v>Polymer printing systems, materials and manufacturing applications.</x:v>
      </x:c>
      <x:c r="H465" s="6" t="str">
        <x:v>https://www.stratasys.com/</x:v>
      </x:c>
      <x:c r="I465" s="6" t="str">
        <x:v>https://www.stratasys.com/</x:v>
      </x:c>
    </x:row>
    <x:row r="466" ht="15" hidden="0" customHeight="1">
      <x:c r="A466" s="12" t="n">
        <x:v>45</x:v>
      </x:c>
      <x:c r="B466" s="6" t="str">
        <x:v>Additive manufacturing for end-use production</x:v>
      </x:c>
      <x:c r="C466" s="6" t="str">
        <x:v>Sustainable industry</x:v>
      </x:c>
      <x:c r="D466" s="6" t="str">
        <x:v>Materialise</x:v>
      </x:c>
      <x:c r="E466" s="6" t="str">
        <x:v>Public</x:v>
      </x:c>
      <x:c r="F466" s="6" t="str">
        <x:v>NASDAQ:MTLS</x:v>
      </x:c>
      <x:c r="G466" s="6" t="str">
        <x:v>AM software, medical applications and manufacturing services.</x:v>
      </x:c>
      <x:c r="H466" s="6" t="str">
        <x:v>https://www.materialise.com/</x:v>
      </x:c>
      <x:c r="I466" s="6" t="str">
        <x:v>https://www.materialise.com/</x:v>
      </x:c>
    </x:row>
    <x:row r="467" ht="15" hidden="0" customHeight="1">
      <x:c r="A467" s="12" t="n">
        <x:v>45</x:v>
      </x:c>
      <x:c r="B467" s="6" t="str">
        <x:v>Additive manufacturing for end-use production</x:v>
      </x:c>
      <x:c r="C467" s="6" t="str">
        <x:v>Sustainable industry</x:v>
      </x:c>
      <x:c r="D467" s="6" t="str">
        <x:v>Renishaw</x:v>
      </x:c>
      <x:c r="E467" s="6" t="str">
        <x:v>Public</x:v>
      </x:c>
      <x:c r="F467" s="6" t="str">
        <x:v>LSE:RSW</x:v>
      </x:c>
      <x:c r="G467" s="6" t="str">
        <x:v>Metal additive systems and metrology for production qualification.</x:v>
      </x:c>
      <x:c r="H467" s="6" t="str">
        <x:v>https://www.renishaw.com/</x:v>
      </x:c>
      <x:c r="I467" s="6" t="str">
        <x:v>https://www.renishaw.com/</x:v>
      </x:c>
    </x:row>
    <x:row r="468" ht="15" hidden="0" customHeight="1">
      <x:c r="A468" s="12" t="n">
        <x:v>45</x:v>
      </x:c>
      <x:c r="B468" s="6" t="str">
        <x:v>Additive manufacturing for end-use production</x:v>
      </x:c>
      <x:c r="C468" s="6" t="str">
        <x:v>Sustainable industry</x:v>
      </x:c>
      <x:c r="D468" s="6" t="str">
        <x:v>Nikon / Nikon SLM Solutions</x:v>
      </x:c>
      <x:c r="E468" s="6" t="str">
        <x:v>Public parent</x:v>
      </x:c>
      <x:c r="F468" s="6" t="str">
        <x:v>TSE:7731</x:v>
      </x:c>
      <x:c r="G468" s="6" t="str">
        <x:v>Nikon SLM Solutions supplies metal powder-bed-fusion systems; parent Nikon is the listed exposure.</x:v>
      </x:c>
      <x:c r="H468" s="6" t="str">
        <x:v>https://www.nikon-slm-solutions.com/</x:v>
      </x:c>
      <x:c r="I468" s="6" t="str">
        <x:v>https://www.nikon-slm-solutions.com/</x:v>
      </x:c>
    </x:row>
    <x:row r="469" ht="15" hidden="0" customHeight="1">
      <x:c r="A469" s="12" t="n">
        <x:v>45</x:v>
      </x:c>
      <x:c r="B469" s="6" t="str">
        <x:v>Additive manufacturing for end-use production</x:v>
      </x:c>
      <x:c r="C469" s="6" t="str">
        <x:v>Sustainable industry</x:v>
      </x:c>
      <x:c r="D469" s="6" t="str">
        <x:v>Xometry</x:v>
      </x:c>
      <x:c r="E469" s="6" t="str">
        <x:v>Public</x:v>
      </x:c>
      <x:c r="F469" s="6" t="str">
        <x:v>NASDAQ:XMTR</x:v>
      </x:c>
      <x:c r="G469" s="6" t="str">
        <x:v>Manufacturing marketplace including additive parts; exposure also includes many conventional processes.</x:v>
      </x:c>
      <x:c r="H469" s="6" t="str">
        <x:v>https://www.xometry.com/</x:v>
      </x:c>
      <x:c r="I469" s="6" t="str">
        <x:v>https://www.xometry.com/</x:v>
      </x:c>
    </x:row>
    <x:row r="470" ht="15" hidden="0" customHeight="1">
      <x:c r="A470" s="12" t="n">
        <x:v>45</x:v>
      </x:c>
      <x:c r="B470" s="6" t="str">
        <x:v>Additive manufacturing for end-use production</x:v>
      </x:c>
      <x:c r="C470" s="6" t="str">
        <x:v>Sustainable industry</x:v>
      </x:c>
      <x:c r="D470" s="6" t="str">
        <x:v>EOS</x:v>
      </x:c>
      <x:c r="E470" s="6" t="str">
        <x:v>Private</x:v>
      </x:c>
      <x:c r="F470" s="6" t="str"/>
      <x:c r="G470" s="6" t="str">
        <x:v>Industrial polymer and metal additive systems, materials and process expertise.</x:v>
      </x:c>
      <x:c r="H470" s="6" t="str">
        <x:v>https://www.eos.info/</x:v>
      </x:c>
      <x:c r="I470" s="6" t="str">
        <x:v>https://www.eos.info/</x:v>
      </x:c>
    </x:row>
    <x:row r="471" ht="15" hidden="0" customHeight="1">
      <x:c r="A471" s="12" t="n">
        <x:v>45</x:v>
      </x:c>
      <x:c r="B471" s="6" t="str">
        <x:v>Additive manufacturing for end-use production</x:v>
      </x:c>
      <x:c r="C471" s="6" t="str">
        <x:v>Sustainable industry</x:v>
      </x:c>
      <x:c r="D471" s="6" t="str">
        <x:v>Carbon</x:v>
      </x:c>
      <x:c r="E471" s="6" t="str">
        <x:v>Private</x:v>
      </x:c>
      <x:c r="F471" s="6" t="str"/>
      <x:c r="G471" s="6" t="str">
        <x:v>Resin additive-production platform, materials and production partnerships.</x:v>
      </x:c>
      <x:c r="H471" s="6" t="str">
        <x:v>https://www.carbon3d.com/</x:v>
      </x:c>
      <x:c r="I471" s="6" t="str">
        <x:v>https://www.carbon3d.com/</x:v>
      </x:c>
    </x:row>
    <x:row r="472" ht="15" hidden="0" customHeight="1">
      <x:c r="A472" s="12" t="n">
        <x:v>45</x:v>
      </x:c>
      <x:c r="B472" s="6" t="str">
        <x:v>Additive manufacturing for end-use production</x:v>
      </x:c>
      <x:c r="C472" s="6" t="str">
        <x:v>Sustainable industry</x:v>
      </x:c>
      <x:c r="D472" s="6" t="str">
        <x:v>Formlabs</x:v>
      </x:c>
      <x:c r="E472" s="6" t="str">
        <x:v>Private</x:v>
      </x:c>
      <x:c r="F472" s="6" t="str"/>
      <x:c r="G472" s="6" t="str">
        <x:v>Professional polymer printers and materials; some applications are end-use, others prototyping.</x:v>
      </x:c>
      <x:c r="H472" s="6" t="str">
        <x:v>https://formlabs.com/</x:v>
      </x:c>
      <x:c r="I472" s="6" t="str">
        <x:v>https://formlabs.com/</x:v>
      </x:c>
    </x:row>
    <x:row r="473" ht="15" hidden="0" customHeight="1">
      <x:c r="A473" s="12" t="n">
        <x:v>46</x:v>
      </x:c>
      <x:c r="B473" s="6" t="str">
        <x:v>Verifiable digital identity wallets</x:v>
      </x:c>
      <x:c r="C473" s="6" t="str">
        <x:v>Digital &amp; planetary systems</x:v>
      </x:c>
      <x:c r="D473" s="6" t="str">
        <x:v>Apple</x:v>
      </x:c>
      <x:c r="E473" s="6" t="str">
        <x:v>Public</x:v>
      </x:c>
      <x:c r="F473" s="6" t="str">
        <x:v>NASDAQ:AAPL</x:v>
      </x:c>
      <x:c r="G473" s="6" t="str">
        <x:v>Wallet and device security ecosystem; government-ID availability varies by jurisdiction.</x:v>
      </x:c>
      <x:c r="H473" s="6" t="str">
        <x:v>https://www.apple.com/wallet/</x:v>
      </x:c>
      <x:c r="I473" s="6" t="str">
        <x:v>https://www.apple.com/wallet/</x:v>
      </x:c>
    </x:row>
    <x:row r="474" ht="15" hidden="0" customHeight="1">
      <x:c r="A474" s="12" t="n">
        <x:v>46</x:v>
      </x:c>
      <x:c r="B474" s="6" t="str">
        <x:v>Verifiable digital identity wallets</x:v>
      </x:c>
      <x:c r="C474" s="6" t="str">
        <x:v>Digital &amp; planetary systems</x:v>
      </x:c>
      <x:c r="D474" s="6" t="str">
        <x:v>Alphabet / Google</x:v>
      </x:c>
      <x:c r="E474" s="6" t="str">
        <x:v>Public</x:v>
      </x:c>
      <x:c r="F474" s="6" t="str">
        <x:v>NASDAQ:GOOGL</x:v>
      </x:c>
      <x:c r="G474" s="6" t="str">
        <x:v>Google Wallet, Android identity interfaces and credential presentation.</x:v>
      </x:c>
      <x:c r="H474" s="6" t="str">
        <x:v>https://wallet.google/</x:v>
      </x:c>
      <x:c r="I474" s="6" t="str">
        <x:v>https://wallet.google/</x:v>
      </x:c>
    </x:row>
    <x:row r="475" ht="15" hidden="0" customHeight="1">
      <x:c r="A475" s="12" t="n">
        <x:v>46</x:v>
      </x:c>
      <x:c r="B475" s="6" t="str">
        <x:v>Verifiable digital identity wallets</x:v>
      </x:c>
      <x:c r="C475" s="6" t="str">
        <x:v>Digital &amp; planetary systems</x:v>
      </x:c>
      <x:c r="D475" s="6" t="str">
        <x:v>Microsoft</x:v>
      </x:c>
      <x:c r="E475" s="6" t="str">
        <x:v>Public</x:v>
      </x:c>
      <x:c r="F475" s="6" t="str">
        <x:v>NASDAQ:MSFT</x:v>
      </x:c>
      <x:c r="G475" s="6" t="str">
        <x:v>Entra Verified ID and enterprise credential verification infrastructure.</x:v>
      </x:c>
      <x:c r="H475" s="6" t="str">
        <x:v>https://www.microsoft.com/en-us/security/business/identity-access/microsoft-entra-verified-id</x:v>
      </x:c>
      <x:c r="I475" s="6" t="str">
        <x:v>https://www.microsoft.com/en-us/security/business/identity-access/microsoft-entra-verified-id</x:v>
      </x:c>
    </x:row>
    <x:row r="476" ht="15" hidden="0" customHeight="1">
      <x:c r="A476" s="12" t="n">
        <x:v>46</x:v>
      </x:c>
      <x:c r="B476" s="6" t="str">
        <x:v>Verifiable digital identity wallets</x:v>
      </x:c>
      <x:c r="C476" s="6" t="str">
        <x:v>Digital &amp; planetary systems</x:v>
      </x:c>
      <x:c r="D476" s="6" t="str">
        <x:v>Thales</x:v>
      </x:c>
      <x:c r="E476" s="6" t="str">
        <x:v>Public</x:v>
      </x:c>
      <x:c r="F476" s="6" t="str">
        <x:v>EPA:HO</x:v>
      </x:c>
      <x:c r="G476" s="6" t="str">
        <x:v>Government identity, digital credentials and wallet infrastructure.</x:v>
      </x:c>
      <x:c r="H476" s="6" t="str">
        <x:v>https://www.thalesgroup.com/</x:v>
      </x:c>
      <x:c r="I476" s="6" t="str">
        <x:v>https://www.thalesgroup.com/</x:v>
      </x:c>
    </x:row>
    <x:row r="477" ht="15" hidden="0" customHeight="1">
      <x:c r="A477" s="12" t="n">
        <x:v>46</x:v>
      </x:c>
      <x:c r="B477" s="6" t="str">
        <x:v>Verifiable digital identity wallets</x:v>
      </x:c>
      <x:c r="C477" s="6" t="str">
        <x:v>Digital &amp; planetary systems</x:v>
      </x:c>
      <x:c r="D477" s="6" t="str">
        <x:v>ASSA ABLOY / HID</x:v>
      </x:c>
      <x:c r="E477" s="6" t="str">
        <x:v>Public parent</x:v>
      </x:c>
      <x:c r="F477" s="6" t="str">
        <x:v>STO:ASSA-B</x:v>
      </x:c>
      <x:c r="G477" s="6" t="str">
        <x:v>HID identity and credential systems; parent-listed exposure to issuing and verifying credentials.</x:v>
      </x:c>
      <x:c r="H477" s="6" t="str">
        <x:v>https://www.hidglobal.com/</x:v>
      </x:c>
      <x:c r="I477" s="6" t="str">
        <x:v>https://www.hidglobal.com/</x:v>
      </x:c>
    </x:row>
    <x:row r="478" ht="15" hidden="0" customHeight="1">
      <x:c r="A478" s="12" t="n">
        <x:v>46</x:v>
      </x:c>
      <x:c r="B478" s="6" t="str">
        <x:v>Verifiable digital identity wallets</x:v>
      </x:c>
      <x:c r="C478" s="6" t="str">
        <x:v>Digital &amp; planetary systems</x:v>
      </x:c>
      <x:c r="D478" s="6" t="str">
        <x:v>Orell Füssli / Procivis</x:v>
      </x:c>
      <x:c r="E478" s="6" t="str">
        <x:v>Public parent</x:v>
      </x:c>
      <x:c r="F478" s="6" t="str">
        <x:v>SWX:OFN</x:v>
      </x:c>
      <x:c r="G478" s="6" t="str">
        <x:v>Procivis wallet and credential infrastructure, owned by Orell Füssli.</x:v>
      </x:c>
      <x:c r="H478" s="6" t="str">
        <x:v>https://www.procivis.ch/about-us</x:v>
      </x:c>
      <x:c r="I478" s="6" t="str">
        <x:v>https://www.procivis.ch/about-us</x:v>
      </x:c>
    </x:row>
    <x:row r="479" ht="15" hidden="0" customHeight="1">
      <x:c r="A479" s="12" t="n">
        <x:v>46</x:v>
      </x:c>
      <x:c r="B479" s="6" t="str">
        <x:v>Verifiable digital identity wallets</x:v>
      </x:c>
      <x:c r="C479" s="6" t="str">
        <x:v>Digital &amp; planetary systems</x:v>
      </x:c>
      <x:c r="D479" s="6" t="str">
        <x:v>Giesecke+Devrient</x:v>
      </x:c>
      <x:c r="E479" s="6" t="str">
        <x:v>Private</x:v>
      </x:c>
      <x:c r="F479" s="6" t="str"/>
      <x:c r="G479" s="6" t="str">
        <x:v>Digital identity, secure credentials and wallet-related infrastructure.</x:v>
      </x:c>
      <x:c r="H479" s="6" t="str">
        <x:v>https://www.gi-de.com/</x:v>
      </x:c>
      <x:c r="I479" s="6" t="str">
        <x:v>https://www.gi-de.com/</x:v>
      </x:c>
    </x:row>
    <x:row r="480" ht="15" hidden="0" customHeight="1">
      <x:c r="A480" s="12" t="n">
        <x:v>46</x:v>
      </x:c>
      <x:c r="B480" s="6" t="str">
        <x:v>Verifiable digital identity wallets</x:v>
      </x:c>
      <x:c r="C480" s="6" t="str">
        <x:v>Digital &amp; planetary systems</x:v>
      </x:c>
      <x:c r="D480" s="6" t="str">
        <x:v>IDEMIA</x:v>
      </x:c>
      <x:c r="E480" s="6" t="str">
        <x:v>Private</x:v>
      </x:c>
      <x:c r="F480" s="6" t="str"/>
      <x:c r="G480" s="6" t="str">
        <x:v>Government and enterprise identity technology; solutions vary by business unit.</x:v>
      </x:c>
      <x:c r="H480" s="6" t="str">
        <x:v>https://www.idemia.com/</x:v>
      </x:c>
      <x:c r="I480" s="6" t="str">
        <x:v>https://www.idemia.com/</x:v>
      </x:c>
    </x:row>
    <x:row r="481" ht="15" hidden="0" customHeight="1">
      <x:c r="A481" s="12" t="n">
        <x:v>46</x:v>
      </x:c>
      <x:c r="B481" s="6" t="str">
        <x:v>Verifiable digital identity wallets</x:v>
      </x:c>
      <x:c r="C481" s="6" t="str">
        <x:v>Digital &amp; planetary systems</x:v>
      </x:c>
      <x:c r="D481" s="6" t="str">
        <x:v>Signicat</x:v>
      </x:c>
      <x:c r="E481" s="6" t="str">
        <x:v>Private</x:v>
      </x:c>
      <x:c r="F481" s="6" t="str"/>
      <x:c r="G481" s="6" t="str">
        <x:v>Identity orchestration, authentication and digital-credential integration.</x:v>
      </x:c>
      <x:c r="H481" s="6" t="str">
        <x:v>https://www.signicat.com/</x:v>
      </x:c>
      <x:c r="I481" s="6" t="str">
        <x:v>https://www.signicat.com/</x:v>
      </x:c>
    </x:row>
    <x:row r="482" ht="15" hidden="0" customHeight="1">
      <x:c r="A482" s="12" t="n">
        <x:v>46</x:v>
      </x:c>
      <x:c r="B482" s="6" t="str">
        <x:v>Verifiable digital identity wallets</x:v>
      </x:c>
      <x:c r="C482" s="6" t="str">
        <x:v>Digital &amp; planetary systems</x:v>
      </x:c>
      <x:c r="D482" s="6" t="str">
        <x:v>SpruceID</x:v>
      </x:c>
      <x:c r="E482" s="6" t="str">
        <x:v>Private</x:v>
      </x:c>
      <x:c r="F482" s="6" t="str"/>
      <x:c r="G482" s="6" t="str">
        <x:v>Verifiable credential and digital identity wallet technology.</x:v>
      </x:c>
      <x:c r="H482" s="6" t="str">
        <x:v>https://www.spruceid.com/</x:v>
      </x:c>
      <x:c r="I482" s="6" t="str">
        <x:v>https://www.spruceid.com/</x:v>
      </x:c>
    </x:row>
    <x:row r="483" ht="15" hidden="0" customHeight="1">
      <x:c r="A483" s="12" t="n">
        <x:v>47</x:v>
      </x:c>
      <x:c r="B483" s="6" t="str">
        <x:v>Tokenized real-world assets</x:v>
      </x:c>
      <x:c r="C483" s="6" t="str">
        <x:v>Digital &amp; planetary systems</x:v>
      </x:c>
      <x:c r="D483" s="6" t="str">
        <x:v>BlackRock</x:v>
      </x:c>
      <x:c r="E483" s="6" t="str">
        <x:v>Public</x:v>
      </x:c>
      <x:c r="F483" s="6" t="str">
        <x:v>NYSE:BLK</x:v>
      </x:c>
      <x:c r="G483" s="6" t="str">
        <x:v>Tokenized fund management and institutional distribution; exposure small relative to total assets managed.</x:v>
      </x:c>
      <x:c r="H483" s="6" t="str">
        <x:v>https://www.blackrock.com/</x:v>
      </x:c>
      <x:c r="I483" s="6" t="str">
        <x:v>https://www.blackrock.com/</x:v>
      </x:c>
    </x:row>
    <x:row r="484" ht="15" hidden="0" customHeight="1">
      <x:c r="A484" s="12" t="n">
        <x:v>47</x:v>
      </x:c>
      <x:c r="B484" s="6" t="str">
        <x:v>Tokenized real-world assets</x:v>
      </x:c>
      <x:c r="C484" s="6" t="str">
        <x:v>Digital &amp; planetary systems</x:v>
      </x:c>
      <x:c r="D484" s="6" t="str">
        <x:v>Franklin Resources</x:v>
      </x:c>
      <x:c r="E484" s="6" t="str">
        <x:v>Public</x:v>
      </x:c>
      <x:c r="F484" s="6" t="str">
        <x:v>NYSE:BEN</x:v>
      </x:c>
      <x:c r="G484" s="6" t="str">
        <x:v>Franklin Templeton tokenized money-fund and digital-asset infrastructure.</x:v>
      </x:c>
      <x:c r="H484" s="6" t="str">
        <x:v>https://www.franklintempleton.com/</x:v>
      </x:c>
      <x:c r="I484" s="6" t="str">
        <x:v>https://www.franklintempleton.com/</x:v>
      </x:c>
    </x:row>
    <x:row r="485" ht="15" hidden="0" customHeight="1">
      <x:c r="A485" s="12" t="n">
        <x:v>47</x:v>
      </x:c>
      <x:c r="B485" s="6" t="str">
        <x:v>Tokenized real-world assets</x:v>
      </x:c>
      <x:c r="C485" s="6" t="str">
        <x:v>Digital &amp; planetary systems</x:v>
      </x:c>
      <x:c r="D485" s="6" t="str">
        <x:v>WisdomTree</x:v>
      </x:c>
      <x:c r="E485" s="6" t="str">
        <x:v>Public</x:v>
      </x:c>
      <x:c r="F485" s="6" t="str">
        <x:v>NYSE:WT</x:v>
      </x:c>
      <x:c r="G485" s="6" t="str">
        <x:v>Digital funds, tokenized assets and distribution platforms.</x:v>
      </x:c>
      <x:c r="H485" s="6" t="str">
        <x:v>https://www.wisdomtree.com/</x:v>
      </x:c>
      <x:c r="I485" s="6" t="str">
        <x:v>https://www.wisdomtree.com/</x:v>
      </x:c>
    </x:row>
    <x:row r="486" ht="15" hidden="0" customHeight="1">
      <x:c r="A486" s="12" t="n">
        <x:v>47</x:v>
      </x:c>
      <x:c r="B486" s="6" t="str">
        <x:v>Tokenized real-world assets</x:v>
      </x:c>
      <x:c r="C486" s="6" t="str">
        <x:v>Digital &amp; planetary systems</x:v>
      </x:c>
      <x:c r="D486" s="6" t="str">
        <x:v>JPMorgan Chase</x:v>
      </x:c>
      <x:c r="E486" s="6" t="str">
        <x:v>Public</x:v>
      </x:c>
      <x:c r="F486" s="6" t="str">
        <x:v>NYSE:JPM</x:v>
      </x:c>
      <x:c r="G486" s="6" t="str">
        <x:v>Institutional tokenization, collateral and bank-ledger infrastructure.</x:v>
      </x:c>
      <x:c r="H486" s="6" t="str">
        <x:v>https://www.jpmorgan.com/kinexys</x:v>
      </x:c>
      <x:c r="I486" s="6" t="str">
        <x:v>https://www.jpmorgan.com/kinexys</x:v>
      </x:c>
    </x:row>
    <x:row r="487" ht="15" hidden="0" customHeight="1">
      <x:c r="A487" s="12" t="n">
        <x:v>47</x:v>
      </x:c>
      <x:c r="B487" s="6" t="str">
        <x:v>Tokenized real-world assets</x:v>
      </x:c>
      <x:c r="C487" s="6" t="str">
        <x:v>Digital &amp; planetary systems</x:v>
      </x:c>
      <x:c r="D487" s="6" t="str">
        <x:v>BNY</x:v>
      </x:c>
      <x:c r="E487" s="6" t="str">
        <x:v>Public</x:v>
      </x:c>
      <x:c r="F487" s="6" t="str">
        <x:v>NYSE:BK</x:v>
      </x:c>
      <x:c r="G487" s="6" t="str">
        <x:v>Custody, fund services and digital-asset infrastructure; enabling exposure.</x:v>
      </x:c>
      <x:c r="H487" s="6" t="str">
        <x:v>https://www.bny.com/</x:v>
      </x:c>
      <x:c r="I487" s="6" t="str">
        <x:v>https://www.bny.com/</x:v>
      </x:c>
    </x:row>
    <x:row r="488" ht="15" hidden="0" customHeight="1">
      <x:c r="A488" s="12" t="n">
        <x:v>47</x:v>
      </x:c>
      <x:c r="B488" s="6" t="str">
        <x:v>Tokenized real-world assets</x:v>
      </x:c>
      <x:c r="C488" s="6" t="str">
        <x:v>Digital &amp; planetary systems</x:v>
      </x:c>
      <x:c r="D488" s="6" t="str">
        <x:v>Broadridge Financial Solutions</x:v>
      </x:c>
      <x:c r="E488" s="6" t="str">
        <x:v>Public</x:v>
      </x:c>
      <x:c r="F488" s="6" t="str">
        <x:v>NYSE:BR</x:v>
      </x:c>
      <x:c r="G488" s="6" t="str">
        <x:v>Distributed-ledger repo and post-trade processing infrastructure.</x:v>
      </x:c>
      <x:c r="H488" s="6" t="str">
        <x:v>https://www.broadridge.com/</x:v>
      </x:c>
      <x:c r="I488" s="6" t="str">
        <x:v>https://www.broadridge.com/</x:v>
      </x:c>
    </x:row>
    <x:row r="489" ht="24" hidden="0" customHeight="1">
      <x:c r="A489" s="12" t="n">
        <x:v>47</x:v>
      </x:c>
      <x:c r="B489" s="6" t="str">
        <x:v>Tokenized real-world assets</x:v>
      </x:c>
      <x:c r="C489" s="6" t="str">
        <x:v>Digital &amp; planetary systems</x:v>
      </x:c>
      <x:c r="D489" s="6" t="str">
        <x:v>Securitize</x:v>
      </x:c>
      <x:c r="E489" s="6" t="str">
        <x:v>Public</x:v>
      </x:c>
      <x:c r="F489" s="6" t="str">
        <x:v>NYSE:SECZ</x:v>
      </x:c>
      <x:c r="G489" s="6" t="str">
        <x:v>Tokenized securities issuance, transfer-agent and distribution technology; public since July 2026.</x:v>
      </x:c>
      <x:c r="H489" s="6" t="str">
        <x:v>https://securitize.io/</x:v>
      </x:c>
      <x:c r="I489" s="6" t="str">
        <x:v>https://securitize.io/
https://www.nasdaq.com/press-release/securitize-completes-business-combination-cantor-equity-partners-ii-2026-07-01</x:v>
      </x:c>
    </x:row>
    <x:row r="490" ht="15" hidden="0" customHeight="1">
      <x:c r="A490" s="12" t="n">
        <x:v>47</x:v>
      </x:c>
      <x:c r="B490" s="6" t="str">
        <x:v>Tokenized real-world assets</x:v>
      </x:c>
      <x:c r="C490" s="6" t="str">
        <x:v>Digital &amp; planetary systems</x:v>
      </x:c>
      <x:c r="D490" s="6" t="str">
        <x:v>Hamilton Lane</x:v>
      </x:c>
      <x:c r="E490" s="6" t="str">
        <x:v>Public</x:v>
      </x:c>
      <x:c r="F490" s="6" t="str">
        <x:v>NASDAQ:HLNE</x:v>
      </x:c>
      <x:c r="G490" s="6" t="str">
        <x:v>Alternative investment products distributed through tokenized access channels.</x:v>
      </x:c>
      <x:c r="H490" s="6" t="str">
        <x:v>https://www.hamiltonlane.com/</x:v>
      </x:c>
      <x:c r="I490" s="6" t="str">
        <x:v>https://www.hamiltonlane.com/</x:v>
      </x:c>
    </x:row>
    <x:row r="491" ht="15" hidden="0" customHeight="1">
      <x:c r="A491" s="12" t="n">
        <x:v>47</x:v>
      </x:c>
      <x:c r="B491" s="6" t="str">
        <x:v>Tokenized real-world assets</x:v>
      </x:c>
      <x:c r="C491" s="6" t="str">
        <x:v>Digital &amp; planetary systems</x:v>
      </x:c>
      <x:c r="D491" s="6" t="str">
        <x:v>Ondo Finance</x:v>
      </x:c>
      <x:c r="E491" s="6" t="str">
        <x:v>Private</x:v>
      </x:c>
      <x:c r="F491" s="6" t="str"/>
      <x:c r="G491" s="6" t="str">
        <x:v>Tokenized Treasury and asset products; ONDO token is not publicly listed company equity.</x:v>
      </x:c>
      <x:c r="H491" s="6" t="str">
        <x:v>https://ondo.finance/</x:v>
      </x:c>
      <x:c r="I491" s="6" t="str">
        <x:v>https://ondo.finance/</x:v>
      </x:c>
    </x:row>
    <x:row r="492" ht="15" hidden="0" customHeight="1">
      <x:c r="A492" s="12" t="n">
        <x:v>47</x:v>
      </x:c>
      <x:c r="B492" s="6" t="str">
        <x:v>Tokenized real-world assets</x:v>
      </x:c>
      <x:c r="C492" s="6" t="str">
        <x:v>Digital &amp; planetary systems</x:v>
      </x:c>
      <x:c r="D492" s="6" t="str">
        <x:v>Digital Asset</x:v>
      </x:c>
      <x:c r="E492" s="6" t="str">
        <x:v>Private</x:v>
      </x:c>
      <x:c r="F492" s="6" t="str"/>
      <x:c r="G492" s="6" t="str">
        <x:v>Institutional ledger and smart-contract infrastructure, including the Canton ecosystem.</x:v>
      </x:c>
      <x:c r="H492" s="6" t="str">
        <x:v>https://www.digitalasset.com/</x:v>
      </x:c>
      <x:c r="I492" s="6" t="str">
        <x:v>https://www.digitalasset.com/</x:v>
      </x:c>
    </x:row>
    <x:row r="493" ht="24" hidden="0" customHeight="1">
      <x:c r="A493" s="12" t="n">
        <x:v>47</x:v>
      </x:c>
      <x:c r="B493" s="6" t="str">
        <x:v>Tokenized real-world assets</x:v>
      </x:c>
      <x:c r="C493" s="6" t="str">
        <x:v>Digital &amp; planetary systems</x:v>
      </x:c>
      <x:c r="D493" s="6" t="str">
        <x:v>Tokeny / Apex Group</x:v>
      </x:c>
      <x:c r="E493" s="6" t="str">
        <x:v>Private subsidiary</x:v>
      </x:c>
      <x:c r="F493" s="6" t="str"/>
      <x:c r="G493" s="6" t="str">
        <x:v>Tokenization infrastructure; majority-owned by privately held Apex Group.</x:v>
      </x:c>
      <x:c r="H493" s="6" t="str">
        <x:v>https://tokeny.com/</x:v>
      </x:c>
      <x:c r="I493" s="6" t="str">
        <x:v>https://tokeny.com/
https://tokeny.com/apex-group-acquires-majority-stake-in-tokeny-to-catalyze-widespread-industry-tokenization-adoption/</x:v>
      </x:c>
    </x:row>
    <x:row r="494" ht="15" hidden="0" customHeight="1">
      <x:c r="A494" s="12" t="n">
        <x:v>47</x:v>
      </x:c>
      <x:c r="B494" s="6" t="str">
        <x:v>Tokenized real-world assets</x:v>
      </x:c>
      <x:c r="C494" s="6" t="str">
        <x:v>Digital &amp; planetary systems</x:v>
      </x:c>
      <x:c r="D494" s="6" t="str">
        <x:v>Fireblocks</x:v>
      </x:c>
      <x:c r="E494" s="6" t="str">
        <x:v>Private</x:v>
      </x:c>
      <x:c r="F494" s="6" t="str"/>
      <x:c r="G494" s="6" t="str">
        <x:v>Digital-asset custody and transaction infrastructure used by token issuers and institutions.</x:v>
      </x:c>
      <x:c r="H494" s="6" t="str">
        <x:v>https://www.fireblocks.com/</x:v>
      </x:c>
      <x:c r="I494" s="6" t="str">
        <x:v>https://www.fireblocks.com/</x:v>
      </x:c>
    </x:row>
    <x:row r="495" ht="15" hidden="0" customHeight="1">
      <x:c r="A495" s="12" t="n">
        <x:v>48</x:v>
      </x:c>
      <x:c r="B495" s="6" t="str">
        <x:v>Regulated stablecoin payment rails</x:v>
      </x:c>
      <x:c r="C495" s="6" t="str">
        <x:v>Digital &amp; planetary systems</x:v>
      </x:c>
      <x:c r="D495" s="6" t="str">
        <x:v>Circle Internet Group</x:v>
      </x:c>
      <x:c r="E495" s="6" t="str">
        <x:v>Public</x:v>
      </x:c>
      <x:c r="F495" s="6" t="str">
        <x:v>NYSE:CRCL</x:v>
      </x:c>
      <x:c r="G495" s="6" t="str">
        <x:v>USDC issuance, reserve income and institutional payment/network infrastructure.</x:v>
      </x:c>
      <x:c r="H495" s="6" t="str">
        <x:v>https://www.circle.com/</x:v>
      </x:c>
      <x:c r="I495" s="6" t="str">
        <x:v>https://www.circle.com/</x:v>
      </x:c>
    </x:row>
    <x:row r="496" ht="15" hidden="0" customHeight="1">
      <x:c r="A496" s="12" t="n">
        <x:v>48</x:v>
      </x:c>
      <x:c r="B496" s="6" t="str">
        <x:v>Regulated stablecoin payment rails</x:v>
      </x:c>
      <x:c r="C496" s="6" t="str">
        <x:v>Digital &amp; planetary systems</x:v>
      </x:c>
      <x:c r="D496" s="6" t="str">
        <x:v>Coinbase</x:v>
      </x:c>
      <x:c r="E496" s="6" t="str">
        <x:v>Public</x:v>
      </x:c>
      <x:c r="F496" s="6" t="str">
        <x:v>NASDAQ:COIN</x:v>
      </x:c>
      <x:c r="G496" s="6" t="str">
        <x:v>Stablecoin distribution, custody and transaction services; revenue-sharing exposure to USDC.</x:v>
      </x:c>
      <x:c r="H496" s="6" t="str">
        <x:v>https://www.coinbase.com/</x:v>
      </x:c>
      <x:c r="I496" s="6" t="str">
        <x:v>https://www.coinbase.com/</x:v>
      </x:c>
    </x:row>
    <x:row r="497" ht="15" hidden="0" customHeight="1">
      <x:c r="A497" s="12" t="n">
        <x:v>48</x:v>
      </x:c>
      <x:c r="B497" s="6" t="str">
        <x:v>Regulated stablecoin payment rails</x:v>
      </x:c>
      <x:c r="C497" s="6" t="str">
        <x:v>Digital &amp; planetary systems</x:v>
      </x:c>
      <x:c r="D497" s="6" t="str">
        <x:v>Visa</x:v>
      </x:c>
      <x:c r="E497" s="6" t="str">
        <x:v>Public</x:v>
      </x:c>
      <x:c r="F497" s="6" t="str">
        <x:v>NYSE:V</x:v>
      </x:c>
      <x:c r="G497" s="6" t="str">
        <x:v>Settlement and stablecoin integration with existing payment networks; diversified exposure.</x:v>
      </x:c>
      <x:c r="H497" s="6" t="str">
        <x:v>https://usa.visa.com/</x:v>
      </x:c>
      <x:c r="I497" s="6" t="str">
        <x:v>https://usa.visa.com/</x:v>
      </x:c>
    </x:row>
    <x:row r="498" ht="15" hidden="0" customHeight="1">
      <x:c r="A498" s="12" t="n">
        <x:v>48</x:v>
      </x:c>
      <x:c r="B498" s="6" t="str">
        <x:v>Regulated stablecoin payment rails</x:v>
      </x:c>
      <x:c r="C498" s="6" t="str">
        <x:v>Digital &amp; planetary systems</x:v>
      </x:c>
      <x:c r="D498" s="6" t="str">
        <x:v>Mastercard</x:v>
      </x:c>
      <x:c r="E498" s="6" t="str">
        <x:v>Public</x:v>
      </x:c>
      <x:c r="F498" s="6" t="str">
        <x:v>NYSE:MA</x:v>
      </x:c>
      <x:c r="G498" s="6" t="str">
        <x:v>Network, compliance and digital-asset payment integrations.</x:v>
      </x:c>
      <x:c r="H498" s="6" t="str">
        <x:v>https://www.mastercard.com/</x:v>
      </x:c>
      <x:c r="I498" s="6" t="str">
        <x:v>https://www.mastercard.com/</x:v>
      </x:c>
    </x:row>
    <x:row r="499" ht="15" hidden="0" customHeight="1">
      <x:c r="A499" s="12" t="n">
        <x:v>48</x:v>
      </x:c>
      <x:c r="B499" s="6" t="str">
        <x:v>Regulated stablecoin payment rails</x:v>
      </x:c>
      <x:c r="C499" s="6" t="str">
        <x:v>Digital &amp; planetary systems</x:v>
      </x:c>
      <x:c r="D499" s="6" t="str">
        <x:v>PayPal</x:v>
      </x:c>
      <x:c r="E499" s="6" t="str">
        <x:v>Public</x:v>
      </x:c>
      <x:c r="F499" s="6" t="str">
        <x:v>NASDAQ:PYPL</x:v>
      </x:c>
      <x:c r="G499" s="6" t="str">
        <x:v>PYUSD distribution and merchant/payment integrations; issuer arrangements matter.</x:v>
      </x:c>
      <x:c r="H499" s="6" t="str">
        <x:v>https://www.paypal.com/</x:v>
      </x:c>
      <x:c r="I499" s="6" t="str">
        <x:v>https://www.paypal.com/</x:v>
      </x:c>
    </x:row>
    <x:row r="500" ht="24" hidden="0" customHeight="1">
      <x:c r="A500" s="12" t="n">
        <x:v>48</x:v>
      </x:c>
      <x:c r="B500" s="6" t="str">
        <x:v>Regulated stablecoin payment rails</x:v>
      </x:c>
      <x:c r="C500" s="6" t="str">
        <x:v>Digital &amp; planetary systems</x:v>
      </x:c>
      <x:c r="D500" s="6" t="str">
        <x:v>Fiserv</x:v>
      </x:c>
      <x:c r="E500" s="6" t="str">
        <x:v>Public</x:v>
      </x:c>
      <x:c r="F500" s="6" t="str">
        <x:v>NASDAQ:FISV</x:v>
      </x:c>
      <x:c r="G500" s="6" t="str">
        <x:v>Bank and merchant digital-asset infrastructure; current ticker FISV, not the former FI.</x:v>
      </x:c>
      <x:c r="H500" s="6" t="str">
        <x:v>https://investors.fiserv.com/</x:v>
      </x:c>
      <x:c r="I500" s="6" t="str">
        <x:v>https://investors.fiserv.com/
https://investors.fiserv.com/news-releases/news-release-details/fiserv-digital-asset-platform-goes-live-financial-institution</x:v>
      </x:c>
    </x:row>
    <x:row r="501" ht="15" hidden="0" customHeight="1">
      <x:c r="A501" s="12" t="n">
        <x:v>48</x:v>
      </x:c>
      <x:c r="B501" s="6" t="str">
        <x:v>Regulated stablecoin payment rails</x:v>
      </x:c>
      <x:c r="C501" s="6" t="str">
        <x:v>Digital &amp; planetary systems</x:v>
      </x:c>
      <x:c r="D501" s="6" t="str">
        <x:v>Stripe / Bridge</x:v>
      </x:c>
      <x:c r="E501" s="6" t="str">
        <x:v>Private parent</x:v>
      </x:c>
      <x:c r="F501" s="6" t="str"/>
      <x:c r="G501" s="6" t="str">
        <x:v>Stripe-owned Bridge provides stablecoin infrastructure and payment orchestration.</x:v>
      </x:c>
      <x:c r="H501" s="6" t="str">
        <x:v>https://stripe.com/</x:v>
      </x:c>
      <x:c r="I501" s="6" t="str">
        <x:v>https://stripe.com/</x:v>
      </x:c>
    </x:row>
    <x:row r="502" ht="15" hidden="0" customHeight="1">
      <x:c r="A502" s="12" t="n">
        <x:v>48</x:v>
      </x:c>
      <x:c r="B502" s="6" t="str">
        <x:v>Regulated stablecoin payment rails</x:v>
      </x:c>
      <x:c r="C502" s="6" t="str">
        <x:v>Digital &amp; planetary systems</x:v>
      </x:c>
      <x:c r="D502" s="6" t="str">
        <x:v>Paxos</x:v>
      </x:c>
      <x:c r="E502" s="6" t="str">
        <x:v>Private</x:v>
      </x:c>
      <x:c r="F502" s="6" t="str"/>
      <x:c r="G502" s="6" t="str">
        <x:v>Regulated stablecoin issuance and infrastructure for partners.</x:v>
      </x:c>
      <x:c r="H502" s="6" t="str">
        <x:v>https://www.paxos.com/</x:v>
      </x:c>
      <x:c r="I502" s="6" t="str">
        <x:v>https://www.paxos.com/</x:v>
      </x:c>
    </x:row>
    <x:row r="503" ht="15" hidden="0" customHeight="1">
      <x:c r="A503" s="12" t="n">
        <x:v>48</x:v>
      </x:c>
      <x:c r="B503" s="6" t="str">
        <x:v>Regulated stablecoin payment rails</x:v>
      </x:c>
      <x:c r="C503" s="6" t="str">
        <x:v>Digital &amp; planetary systems</x:v>
      </x:c>
      <x:c r="D503" s="6" t="str">
        <x:v>Ripple</x:v>
      </x:c>
      <x:c r="E503" s="6" t="str">
        <x:v>Private</x:v>
      </x:c>
      <x:c r="F503" s="6" t="str"/>
      <x:c r="G503" s="6" t="str">
        <x:v>Institutional payment infrastructure and RLUSD stablecoin ecosystem; XRP is not company equity.</x:v>
      </x:c>
      <x:c r="H503" s="6" t="str">
        <x:v>https://ripple.com/</x:v>
      </x:c>
      <x:c r="I503" s="6" t="str">
        <x:v>https://ripple.com/</x:v>
      </x:c>
    </x:row>
    <x:row r="504" ht="15" hidden="0" customHeight="1">
      <x:c r="A504" s="12" t="n">
        <x:v>48</x:v>
      </x:c>
      <x:c r="B504" s="6" t="str">
        <x:v>Regulated stablecoin payment rails</x:v>
      </x:c>
      <x:c r="C504" s="6" t="str">
        <x:v>Digital &amp; planetary systems</x:v>
      </x:c>
      <x:c r="D504" s="6" t="str">
        <x:v>Fireblocks</x:v>
      </x:c>
      <x:c r="E504" s="6" t="str">
        <x:v>Private</x:v>
      </x:c>
      <x:c r="F504" s="6" t="str"/>
      <x:c r="G504" s="6" t="str">
        <x:v>Wallet, custody and transaction infrastructure for stablecoin operations.</x:v>
      </x:c>
      <x:c r="H504" s="6" t="str">
        <x:v>https://www.fireblocks.com/</x:v>
      </x:c>
      <x:c r="I504" s="6" t="str">
        <x:v>https://www.fireblocks.com/</x:v>
      </x:c>
    </x:row>
    <x:row r="505" ht="15" hidden="0" customHeight="1">
      <x:c r="A505" s="12" t="n">
        <x:v>49</x:v>
      </x:c>
      <x:c r="B505" s="6" t="str">
        <x:v>Earth-observation analytics</x:v>
      </x:c>
      <x:c r="C505" s="6" t="str">
        <x:v>Digital &amp; planetary systems</x:v>
      </x:c>
      <x:c r="D505" s="6" t="str">
        <x:v>Planet Labs</x:v>
      </x:c>
      <x:c r="E505" s="6" t="str">
        <x:v>Public</x:v>
      </x:c>
      <x:c r="F505" s="6" t="str">
        <x:v>NYSE:PL</x:v>
      </x:c>
      <x:c r="G505" s="6" t="str">
        <x:v>Recurring satellite imagery, analytics and satellite services.</x:v>
      </x:c>
      <x:c r="H505" s="6" t="str">
        <x:v>https://www.planet.com/</x:v>
      </x:c>
      <x:c r="I505" s="6" t="str">
        <x:v>https://www.planet.com/</x:v>
      </x:c>
    </x:row>
    <x:row r="506" ht="15" hidden="0" customHeight="1">
      <x:c r="A506" s="12" t="n">
        <x:v>49</x:v>
      </x:c>
      <x:c r="B506" s="6" t="str">
        <x:v>Earth-observation analytics</x:v>
      </x:c>
      <x:c r="C506" s="6" t="str">
        <x:v>Digital &amp; planetary systems</x:v>
      </x:c>
      <x:c r="D506" s="6" t="str">
        <x:v>BlackSky</x:v>
      </x:c>
      <x:c r="E506" s="6" t="str">
        <x:v>Public</x:v>
      </x:c>
      <x:c r="F506" s="6" t="str">
        <x:v>NYSE:BKSY</x:v>
      </x:c>
      <x:c r="G506" s="6" t="str">
        <x:v>High-revisit imagery and intelligence/analytics subscriptions.</x:v>
      </x:c>
      <x:c r="H506" s="6" t="str">
        <x:v>https://blacksky.com/</x:v>
      </x:c>
      <x:c r="I506" s="6" t="str">
        <x:v>https://blacksky.com/</x:v>
      </x:c>
    </x:row>
    <x:row r="507" ht="15" hidden="0" customHeight="1">
      <x:c r="A507" s="12" t="n">
        <x:v>49</x:v>
      </x:c>
      <x:c r="B507" s="6" t="str">
        <x:v>Earth-observation analytics</x:v>
      </x:c>
      <x:c r="C507" s="6" t="str">
        <x:v>Digital &amp; planetary systems</x:v>
      </x:c>
      <x:c r="D507" s="6" t="str">
        <x:v>MDA Space</x:v>
      </x:c>
      <x:c r="E507" s="6" t="str">
        <x:v>Public</x:v>
      </x:c>
      <x:c r="F507" s="6" t="str">
        <x:v>TSX:MDA</x:v>
      </x:c>
      <x:c r="G507" s="6" t="str">
        <x:v>Radar geospatial services, satellites and space infrastructure; diversified exposure.</x:v>
      </x:c>
      <x:c r="H507" s="6" t="str">
        <x:v>https://mda.space/</x:v>
      </x:c>
      <x:c r="I507" s="6" t="str">
        <x:v>https://mda.space/</x:v>
      </x:c>
    </x:row>
    <x:row r="508" ht="15" hidden="0" customHeight="1">
      <x:c r="A508" s="12" t="n">
        <x:v>49</x:v>
      </x:c>
      <x:c r="B508" s="6" t="str">
        <x:v>Earth-observation analytics</x:v>
      </x:c>
      <x:c r="C508" s="6" t="str">
        <x:v>Digital &amp; planetary systems</x:v>
      </x:c>
      <x:c r="D508" s="6" t="str">
        <x:v>Airbus</x:v>
      </x:c>
      <x:c r="E508" s="6" t="str">
        <x:v>Public</x:v>
      </x:c>
      <x:c r="F508" s="6" t="str">
        <x:v>EPA:AIR</x:v>
      </x:c>
      <x:c r="G508" s="6" t="str">
        <x:v>Optical/radar imagery and geospatial intelligence within a large aerospace group.</x:v>
      </x:c>
      <x:c r="H508" s="6" t="str">
        <x:v>https://www.airbus.com/</x:v>
      </x:c>
      <x:c r="I508" s="6" t="str">
        <x:v>https://www.airbus.com/</x:v>
      </x:c>
    </x:row>
    <x:row r="509" ht="15" hidden="0" customHeight="1">
      <x:c r="A509" s="12" t="n">
        <x:v>49</x:v>
      </x:c>
      <x:c r="B509" s="6" t="str">
        <x:v>Earth-observation analytics</x:v>
      </x:c>
      <x:c r="C509" s="6" t="str">
        <x:v>Digital &amp; planetary systems</x:v>
      </x:c>
      <x:c r="D509" s="6" t="str">
        <x:v>Thales</x:v>
      </x:c>
      <x:c r="E509" s="6" t="str">
        <x:v>Public</x:v>
      </x:c>
      <x:c r="F509" s="6" t="str">
        <x:v>EPA:HO</x:v>
      </x:c>
      <x:c r="G509" s="6" t="str">
        <x:v>Space and geospatial intelligence infrastructure, including joint ventures; indirect diversified exposure.</x:v>
      </x:c>
      <x:c r="H509" s="6" t="str">
        <x:v>https://www.thalesgroup.com/</x:v>
      </x:c>
      <x:c r="I509" s="6" t="str">
        <x:v>https://www.thalesgroup.com/</x:v>
      </x:c>
    </x:row>
    <x:row r="510" ht="24" hidden="0" customHeight="1">
      <x:c r="A510" s="12" t="n">
        <x:v>49</x:v>
      </x:c>
      <x:c r="B510" s="6" t="str">
        <x:v>Earth-observation analytics</x:v>
      </x:c>
      <x:c r="C510" s="6" t="str">
        <x:v>Digital &amp; planetary systems</x:v>
      </x:c>
      <x:c r="D510" s="6" t="str">
        <x:v>IonQ / Capella Space</x:v>
      </x:c>
      <x:c r="E510" s="6" t="str">
        <x:v>Public parent</x:v>
      </x:c>
      <x:c r="F510" s="6" t="str">
        <x:v>NYSE:IONQ</x:v>
      </x:c>
      <x:c r="G510" s="6" t="str">
        <x:v>Parent-listed exposure to Capella radar Earth-observation services following its 2025 acquisition.</x:v>
      </x:c>
      <x:c r="H510" s="6" t="str">
        <x:v>https://www.capellaspace.com/</x:v>
      </x:c>
      <x:c r="I510" s="6" t="str">
        <x:v>https://www.capellaspace.com/
https://www.ionq.com/news/ionq-completes-acquisition-of-capella-space-advancing-vision-for-space-based</x:v>
      </x:c>
    </x:row>
    <x:row r="511" ht="15" hidden="0" customHeight="1">
      <x:c r="A511" s="12" t="n">
        <x:v>49</x:v>
      </x:c>
      <x:c r="B511" s="6" t="str">
        <x:v>Earth-observation analytics</x:v>
      </x:c>
      <x:c r="C511" s="6" t="str">
        <x:v>Digital &amp; planetary systems</x:v>
      </x:c>
      <x:c r="D511" s="6" t="str">
        <x:v>Satellogic</x:v>
      </x:c>
      <x:c r="E511" s="6" t="str">
        <x:v>Public</x:v>
      </x:c>
      <x:c r="F511" s="6" t="str">
        <x:v>NASDAQ:SATL</x:v>
      </x:c>
      <x:c r="G511" s="6" t="str">
        <x:v>Earth-observation satellite imagery and monitoring services.</x:v>
      </x:c>
      <x:c r="H511" s="6" t="str">
        <x:v>https://satellogic.com/</x:v>
      </x:c>
      <x:c r="I511" s="6" t="str">
        <x:v>https://satellogic.com/</x:v>
      </x:c>
    </x:row>
    <x:row r="512" ht="15" hidden="0" customHeight="1">
      <x:c r="A512" s="12" t="n">
        <x:v>49</x:v>
      </x:c>
      <x:c r="B512" s="6" t="str">
        <x:v>Earth-observation analytics</x:v>
      </x:c>
      <x:c r="C512" s="6" t="str">
        <x:v>Digital &amp; planetary systems</x:v>
      </x:c>
      <x:c r="D512" s="6" t="str">
        <x:v>ICEYE</x:v>
      </x:c>
      <x:c r="E512" s="6" t="str">
        <x:v>Private</x:v>
      </x:c>
      <x:c r="F512" s="6" t="str"/>
      <x:c r="G512" s="6" t="str">
        <x:v>Radar satellite data, disaster monitoring and sovereign constellation services.</x:v>
      </x:c>
      <x:c r="H512" s="6" t="str">
        <x:v>https://www.iceye.com/</x:v>
      </x:c>
      <x:c r="I512" s="6" t="str">
        <x:v>https://www.iceye.com/</x:v>
      </x:c>
    </x:row>
    <x:row r="513" ht="24" hidden="0" customHeight="1">
      <x:c r="A513" s="12" t="n">
        <x:v>49</x:v>
      </x:c>
      <x:c r="B513" s="6" t="str">
        <x:v>Earth-observation analytics</x:v>
      </x:c>
      <x:c r="C513" s="6" t="str">
        <x:v>Digital &amp; planetary systems</x:v>
      </x:c>
      <x:c r="D513" s="6" t="str">
        <x:v>Vantor</x:v>
      </x:c>
      <x:c r="E513" s="6" t="str">
        <x:v>Private</x:v>
      </x:c>
      <x:c r="F513" s="6" t="str"/>
      <x:c r="G513" s="6" t="str">
        <x:v>Former Maxar Intelligence; satellite imagery and geospatial analytics platform.</x:v>
      </x:c>
      <x:c r="H513" s="6" t="str">
        <x:v>https://vantor.com/</x:v>
      </x:c>
      <x:c r="I513" s="6" t="str">
        <x:v>https://vantor.com/
https://vantor.com/blog/vantor-rebrands-from-maxar-intelligence-unveils-ai-powered-platform/</x:v>
      </x:c>
    </x:row>
    <x:row r="514" ht="15" hidden="0" customHeight="1">
      <x:c r="A514" s="12" t="n">
        <x:v>49</x:v>
      </x:c>
      <x:c r="B514" s="6" t="str">
        <x:v>Earth-observation analytics</x:v>
      </x:c>
      <x:c r="C514" s="6" t="str">
        <x:v>Digital &amp; planetary systems</x:v>
      </x:c>
      <x:c r="D514" s="6" t="str">
        <x:v>GHGSat</x:v>
      </x:c>
      <x:c r="E514" s="6" t="str">
        <x:v>Private</x:v>
      </x:c>
      <x:c r="F514" s="6" t="str"/>
      <x:c r="G514" s="6" t="str">
        <x:v>Satellite-based greenhouse-gas measurement and analytics.</x:v>
      </x:c>
      <x:c r="H514" s="6" t="str">
        <x:v>https://www.ghgsat.com/</x:v>
      </x:c>
      <x:c r="I514" s="6" t="str">
        <x:v>https://www.ghgsat.com/</x:v>
      </x:c>
    </x:row>
    <x:row r="515" ht="15" hidden="0" customHeight="1">
      <x:c r="A515" s="12" t="n">
        <x:v>49</x:v>
      </x:c>
      <x:c r="B515" s="6" t="str">
        <x:v>Earth-observation analytics</x:v>
      </x:c>
      <x:c r="C515" s="6" t="str">
        <x:v>Digital &amp; planetary systems</x:v>
      </x:c>
      <x:c r="D515" s="6" t="str">
        <x:v>Esri</x:v>
      </x:c>
      <x:c r="E515" s="6" t="str">
        <x:v>Private</x:v>
      </x:c>
      <x:c r="F515" s="6" t="str"/>
      <x:c r="G515" s="6" t="str">
        <x:v>Geospatial software and imagery analytics used to turn observations into workflows.</x:v>
      </x:c>
      <x:c r="H515" s="6" t="str">
        <x:v>https://www.esri.com/</x:v>
      </x:c>
      <x:c r="I515" s="6" t="str">
        <x:v>https://www.esri.com/</x:v>
      </x:c>
    </x:row>
    <x:row r="516" ht="15" hidden="0" customHeight="1">
      <x:c r="A516" s="12" t="n">
        <x:v>49</x:v>
      </x:c>
      <x:c r="B516" s="6" t="str">
        <x:v>Earth-observation analytics</x:v>
      </x:c>
      <x:c r="C516" s="6" t="str">
        <x:v>Digital &amp; planetary systems</x:v>
      </x:c>
      <x:c r="D516" s="6" t="str">
        <x:v>Satelligence</x:v>
      </x:c>
      <x:c r="E516" s="6" t="str">
        <x:v>Private</x:v>
      </x:c>
      <x:c r="F516" s="6" t="str"/>
      <x:c r="G516" s="6" t="str">
        <x:v>Satellite-based supply-chain and land-use monitoring.</x:v>
      </x:c>
      <x:c r="H516" s="6" t="str">
        <x:v>https://satelligence.com/</x:v>
      </x:c>
      <x:c r="I516" s="6" t="str">
        <x:v>https://satelligence.com/</x:v>
      </x:c>
    </x:row>
    <x:row r="517" ht="15" hidden="0" customHeight="1">
      <x:c r="A517" s="12" t="n">
        <x:v>50</x:v>
      </x:c>
      <x:c r="B517" s="6" t="str">
        <x:v>Advanced desalination and water reuse</x:v>
      </x:c>
      <x:c r="C517" s="6" t="str">
        <x:v>Digital &amp; planetary systems</x:v>
      </x:c>
      <x:c r="D517" s="6" t="str">
        <x:v>Xylem</x:v>
      </x:c>
      <x:c r="E517" s="6" t="str">
        <x:v>Public</x:v>
      </x:c>
      <x:c r="F517" s="6" t="str">
        <x:v>NYSE:XYL</x:v>
      </x:c>
      <x:c r="G517" s="6" t="str">
        <x:v>Water treatment, pumps, monitoring and reuse systems, including integrated industrial solutions.</x:v>
      </x:c>
      <x:c r="H517" s="6" t="str">
        <x:v>https://www.xylem.com/</x:v>
      </x:c>
      <x:c r="I517" s="6" t="str">
        <x:v>https://www.xylem.com/</x:v>
      </x:c>
    </x:row>
    <x:row r="518" ht="15" hidden="0" customHeight="1">
      <x:c r="A518" s="12" t="n">
        <x:v>50</x:v>
      </x:c>
      <x:c r="B518" s="6" t="str">
        <x:v>Advanced desalination and water reuse</x:v>
      </x:c>
      <x:c r="C518" s="6" t="str">
        <x:v>Digital &amp; planetary systems</x:v>
      </x:c>
      <x:c r="D518" s="6" t="str">
        <x:v>Veolia</x:v>
      </x:c>
      <x:c r="E518" s="6" t="str">
        <x:v>Public</x:v>
      </x:c>
      <x:c r="F518" s="6" t="str">
        <x:v>EPA:VIE</x:v>
      </x:c>
      <x:c r="G518" s="6" t="str">
        <x:v>Water operations, reuse and desalination engineering and services.</x:v>
      </x:c>
      <x:c r="H518" s="6" t="str">
        <x:v>https://www.veolia.com/</x:v>
      </x:c>
      <x:c r="I518" s="6" t="str">
        <x:v>https://www.veolia.com/</x:v>
      </x:c>
    </x:row>
    <x:row r="519" ht="15" hidden="0" customHeight="1">
      <x:c r="A519" s="12" t="n">
        <x:v>50</x:v>
      </x:c>
      <x:c r="B519" s="6" t="str">
        <x:v>Advanced desalination and water reuse</x:v>
      </x:c>
      <x:c r="C519" s="6" t="str">
        <x:v>Digital &amp; planetary systems</x:v>
      </x:c>
      <x:c r="D519" s="6" t="str">
        <x:v>Energy Recovery</x:v>
      </x:c>
      <x:c r="E519" s="6" t="str">
        <x:v>Public</x:v>
      </x:c>
      <x:c r="F519" s="6" t="str">
        <x:v>NASDAQ:ERII</x:v>
      </x:c>
      <x:c r="G519" s="6" t="str">
        <x:v>Pressure exchangers that recover energy in desalination and other high-pressure processes.</x:v>
      </x:c>
      <x:c r="H519" s="6" t="str">
        <x:v>https://energyrecovery.com/</x:v>
      </x:c>
      <x:c r="I519" s="6" t="str">
        <x:v>https://energyrecovery.com/</x:v>
      </x:c>
    </x:row>
    <x:row r="520" ht="15" hidden="0" customHeight="1">
      <x:c r="A520" s="12" t="n">
        <x:v>50</x:v>
      </x:c>
      <x:c r="B520" s="6" t="str">
        <x:v>Advanced desalination and water reuse</x:v>
      </x:c>
      <x:c r="C520" s="6" t="str">
        <x:v>Digital &amp; planetary systems</x:v>
      </x:c>
      <x:c r="D520" s="6" t="str">
        <x:v>Pentair</x:v>
      </x:c>
      <x:c r="E520" s="6" t="str">
        <x:v>Public</x:v>
      </x:c>
      <x:c r="F520" s="6" t="str">
        <x:v>NYSE:PNR</x:v>
      </x:c>
      <x:c r="G520" s="6" t="str">
        <x:v>Water filtration and treatment equipment; exposure spans many water applications.</x:v>
      </x:c>
      <x:c r="H520" s="6" t="str">
        <x:v>https://www.pentair.com/</x:v>
      </x:c>
      <x:c r="I520" s="6" t="str">
        <x:v>https://www.pentair.com/</x:v>
      </x:c>
    </x:row>
    <x:row r="521" ht="15" hidden="0" customHeight="1">
      <x:c r="A521" s="12" t="n">
        <x:v>50</x:v>
      </x:c>
      <x:c r="B521" s="6" t="str">
        <x:v>Advanced desalination and water reuse</x:v>
      </x:c>
      <x:c r="C521" s="6" t="str">
        <x:v>Digital &amp; planetary systems</x:v>
      </x:c>
      <x:c r="D521" s="6" t="str">
        <x:v>DuPont</x:v>
      </x:c>
      <x:c r="E521" s="6" t="str">
        <x:v>Public</x:v>
      </x:c>
      <x:c r="F521" s="6" t="str">
        <x:v>NYSE:DD</x:v>
      </x:c>
      <x:c r="G521" s="6" t="str">
        <x:v>Water separation membranes and treatment materials; broader industrial exposure.</x:v>
      </x:c>
      <x:c r="H521" s="6" t="str">
        <x:v>https://www.dupont.com/water.html</x:v>
      </x:c>
      <x:c r="I521" s="6" t="str">
        <x:v>https://www.dupont.com/water.html</x:v>
      </x:c>
    </x:row>
    <x:row r="522" ht="15" hidden="0" customHeight="1">
      <x:c r="A522" s="12" t="n">
        <x:v>50</x:v>
      </x:c>
      <x:c r="B522" s="6" t="str">
        <x:v>Advanced desalination and water reuse</x:v>
      </x:c>
      <x:c r="C522" s="6" t="str">
        <x:v>Digital &amp; planetary systems</x:v>
      </x:c>
      <x:c r="D522" s="6" t="str">
        <x:v>Toray Industries</x:v>
      </x:c>
      <x:c r="E522" s="6" t="str">
        <x:v>Public</x:v>
      </x:c>
      <x:c r="F522" s="6" t="str">
        <x:v>TSE:3402</x:v>
      </x:c>
      <x:c r="G522" s="6" t="str">
        <x:v>Reverse-osmosis membranes and water-treatment materials.</x:v>
      </x:c>
      <x:c r="H522" s="6" t="str">
        <x:v>https://www.toray.com/</x:v>
      </x:c>
      <x:c r="I522" s="6" t="str">
        <x:v>https://www.toray.com/</x:v>
      </x:c>
    </x:row>
    <x:row r="523" ht="15" hidden="0" customHeight="1">
      <x:c r="A523" s="12" t="n">
        <x:v>50</x:v>
      </x:c>
      <x:c r="B523" s="6" t="str">
        <x:v>Advanced desalination and water reuse</x:v>
      </x:c>
      <x:c r="C523" s="6" t="str">
        <x:v>Digital &amp; planetary systems</x:v>
      </x:c>
      <x:c r="D523" s="6" t="str">
        <x:v>Kurita Water Industries</x:v>
      </x:c>
      <x:c r="E523" s="6" t="str">
        <x:v>Public</x:v>
      </x:c>
      <x:c r="F523" s="6" t="str">
        <x:v>TSE:6370</x:v>
      </x:c>
      <x:c r="G523" s="6" t="str">
        <x:v>Industrial water treatment, recycling and water-management services.</x:v>
      </x:c>
      <x:c r="H523" s="6" t="str">
        <x:v>https://www.kurita-water.com/</x:v>
      </x:c>
      <x:c r="I523" s="6" t="str">
        <x:v>https://www.kurita-water.com/</x:v>
      </x:c>
    </x:row>
    <x:row r="524" ht="15" hidden="0" customHeight="1">
      <x:c r="A524" s="12" t="n">
        <x:v>50</x:v>
      </x:c>
      <x:c r="B524" s="6" t="str">
        <x:v>Advanced desalination and water reuse</x:v>
      </x:c>
      <x:c r="C524" s="6" t="str">
        <x:v>Digital &amp; planetary systems</x:v>
      </x:c>
      <x:c r="D524" s="6" t="str">
        <x:v>Acciona</x:v>
      </x:c>
      <x:c r="E524" s="6" t="str">
        <x:v>Public</x:v>
      </x:c>
      <x:c r="F524" s="6" t="str">
        <x:v>BME:ANA</x:v>
      </x:c>
      <x:c r="G524" s="6" t="str">
        <x:v>Desalination and water infrastructure development and operation.</x:v>
      </x:c>
      <x:c r="H524" s="6" t="str">
        <x:v>https://www.acciona.com/</x:v>
      </x:c>
      <x:c r="I524" s="6" t="str">
        <x:v>https://www.acciona.com/</x:v>
      </x:c>
    </x:row>
    <x:row r="525" ht="15" hidden="0" customHeight="1">
      <x:c r="A525" s="12" t="n">
        <x:v>50</x:v>
      </x:c>
      <x:c r="B525" s="6" t="str">
        <x:v>Advanced desalination and water reuse</x:v>
      </x:c>
      <x:c r="C525" s="6" t="str">
        <x:v>Digital &amp; planetary systems</x:v>
      </x:c>
      <x:c r="D525" s="6" t="str">
        <x:v>SUEZ</x:v>
      </x:c>
      <x:c r="E525" s="6" t="str">
        <x:v>Private</x:v>
      </x:c>
      <x:c r="F525" s="6" t="str"/>
      <x:c r="G525" s="6" t="str">
        <x:v>Water and wastewater treatment and reuse; current privately held group, not its former listing.</x:v>
      </x:c>
      <x:c r="H525" s="6" t="str">
        <x:v>https://www.suez.com/</x:v>
      </x:c>
      <x:c r="I525" s="6" t="str">
        <x:v>https://www.suez.com/</x:v>
      </x:c>
    </x:row>
    <x:row r="526" ht="15" hidden="0" customHeight="1">
      <x:c r="A526" s="12" t="n">
        <x:v>50</x:v>
      </x:c>
      <x:c r="B526" s="6" t="str">
        <x:v>Advanced desalination and water reuse</x:v>
      </x:c>
      <x:c r="C526" s="6" t="str">
        <x:v>Digital &amp; planetary systems</x:v>
      </x:c>
      <x:c r="D526" s="6" t="str">
        <x:v>IDE Technologies</x:v>
      </x:c>
      <x:c r="E526" s="6" t="str">
        <x:v>Private</x:v>
      </x:c>
      <x:c r="F526" s="6" t="str"/>
      <x:c r="G526" s="6" t="str">
        <x:v>Desalination, industrial water treatment and reuse plants.</x:v>
      </x:c>
      <x:c r="H526" s="6" t="str">
        <x:v>https://ide-tech.com/</x:v>
      </x:c>
      <x:c r="I526" s="6" t="str">
        <x:v>https://ide-tech.com/</x:v>
      </x:c>
    </x:row>
    <x:row r="527" ht="15" hidden="0" customHeight="1">
      <x:c r="A527" s="12" t="n">
        <x:v>50</x:v>
      </x:c>
      <x:c r="B527" s="6" t="str">
        <x:v>Advanced desalination and water reuse</x:v>
      </x:c>
      <x:c r="C527" s="6" t="str">
        <x:v>Digital &amp; planetary systems</x:v>
      </x:c>
      <x:c r="D527" s="6" t="str">
        <x:v>Gradiant</x:v>
      </x:c>
      <x:c r="E527" s="6" t="str">
        <x:v>Private</x:v>
      </x:c>
      <x:c r="F527" s="6" t="str"/>
      <x:c r="G527" s="6" t="str">
        <x:v>Advanced industrial water treatment, resource recovery and reuse.</x:v>
      </x:c>
      <x:c r="H527" s="6" t="str">
        <x:v>https://gradiant.com/</x:v>
      </x:c>
      <x:c r="I527" s="6" t="str">
        <x:v>https://gradiant.com/</x:v>
      </x:c>
    </x:row>
    <x:row r="528" ht="15" hidden="0" customHeight="1">
      <x:c r="A528" s="12" t="n">
        <x:v>50</x:v>
      </x:c>
      <x:c r="B528" s="6" t="str">
        <x:v>Advanced desalination and water reuse</x:v>
      </x:c>
      <x:c r="C528" s="6" t="str">
        <x:v>Digital &amp; planetary systems</x:v>
      </x:c>
      <x:c r="D528" s="6" t="str">
        <x:v>Aquatech</x:v>
      </x:c>
      <x:c r="E528" s="6" t="str">
        <x:v>Private</x:v>
      </x:c>
      <x:c r="F528" s="6" t="str"/>
      <x:c r="G528" s="6" t="str">
        <x:v>Industrial water reuse, desalination and zero-liquid-discharge systems.</x:v>
      </x:c>
      <x:c r="H528" s="6" t="str">
        <x:v>https://www.aquatech.com/</x:v>
      </x:c>
      <x:c r="I528" s="6" t="str">
        <x:v>https://www.aquatech.com/</x:v>
      </x:c>
    </x:row>
  </x:sheetData>
  <x:pageMargins left="0.7" right="0.7" top="0.75" bottom="0.75" header="0.3" footer="0.3"/>
  <x:tableParts count="1">
    <x:tablePart xmlns:r="http://schemas.openxmlformats.org/officeDocument/2006/relationships" r:id="R401dbb59e5b74f17"/>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2" hidden="0" customWidth="1"/>
    <x:col min="3" max="3" width="25" hidden="0" customWidth="1"/>
    <x:col min="4" max="4" width="35" hidden="0" customWidth="1"/>
    <x:col min="5" max="5" width="35" hidden="0" customWidth="1"/>
    <x:col min="6" max="6" width="28" hidden="0" customWidth="1"/>
    <x:col min="7" max="7" width="90" hidden="0" customWidth="1"/>
    <x:col min="8" max="8" width="95" hidden="0" customWidth="1"/>
    <x:col min="9" max="9" width="20" hidden="0" customWidth="1"/>
    <x:col min="10" max="10" width="120" hidden="0" customWidth="1"/>
    <x:col min="11" max="11" width="100" hidden="0" customWidth="1"/>
  </x:cols>
  <x:sheetData>
    <x:row r="1" ht="15" hidden="0" customHeight="1">
      <x:c r="A1" s="2"/>
      <x:c r="B1" s="2"/>
      <x:c r="C1" s="2"/>
      <x:c r="D1" s="2"/>
      <x:c r="E1" s="2"/>
      <x:c r="F1" s="2"/>
      <x:c r="G1" s="2"/>
      <x:c r="H1" s="2"/>
      <x:c r="I1" s="2"/>
      <x:c r="J1" s="2"/>
      <x:c r="K1" s="2"/>
    </x:row>
    <x:row r="2" ht="28" hidden="0" customHeight="1">
      <x:c r="A2" s="3" t="str">
        <x:v>News sources mapped to every technology</x:v>
      </x:c>
      <x:c r="B2" s="2"/>
      <x:c r="C2" s="2"/>
      <x:c r="D2" s="2"/>
      <x:c r="E2" s="2"/>
      <x:c r="F2" s="2"/>
      <x:c r="G2" s="2"/>
      <x:c r="H2" s="2"/>
      <x:c r="I2" s="2"/>
      <x:c r="J2" s="2"/>
      <x:c r="K2" s="2"/>
    </x:row>
    <x:row r="3" ht="25" hidden="0" customHeight="1">
      <x:c r="A3" s="4" t="str">
        <x:v>Each source is relevant to its mapped trend; broad and specialist coverage are identified. An observed publication date establishes activity at that time, not future cadence.</x:v>
      </x:c>
      <x:c r="B3" s="2"/>
      <x:c r="C3" s="2"/>
      <x:c r="D3" s="2"/>
      <x:c r="E3" s="2"/>
      <x:c r="F3" s="2"/>
      <x:c r="G3" s="2"/>
      <x:c r="H3" s="2"/>
      <x:c r="I3" s="2"/>
      <x:c r="J3" s="2"/>
      <x:c r="K3" s="2"/>
    </x:row>
    <x:row r="4" ht="15" hidden="0" customHeight="1">
      <x:c r="A4" s="2"/>
      <x:c r="B4" s="2"/>
      <x:c r="C4" s="2"/>
      <x:c r="D4" s="2"/>
      <x:c r="E4" s="2"/>
      <x:c r="F4" s="2"/>
      <x:c r="G4" s="2"/>
      <x:c r="H4" s="2"/>
      <x:c r="I4" s="2"/>
      <x:c r="J4" s="2"/>
      <x:c r="K4" s="2"/>
    </x:row>
    <x:row r="5" ht="36" hidden="0" customHeight="1">
      <x:c r="A5" s="11" t="str">
        <x:v>ID</x:v>
      </x:c>
      <x:c r="B5" s="11" t="str">
        <x:v>Technology</x:v>
      </x:c>
      <x:c r="C5" s="11" t="str">
        <x:v>Sector</x:v>
      </x:c>
      <x:c r="D5" s="11" t="str">
        <x:v>Website / publication</x:v>
      </x:c>
      <x:c r="E5" s="11" t="str">
        <x:v>Domain</x:v>
      </x:c>
      <x:c r="F5" s="11" t="str">
        <x:v>Source type</x:v>
      </x:c>
      <x:c r="G5" s="11" t="str">
        <x:v>Coverage for this trend</x:v>
      </x:c>
      <x:c r="H5" s="11" t="str">
        <x:v>Topic / publication URL</x:v>
      </x:c>
      <x:c r="I5" s="11" t="str">
        <x:v>Observed activity date</x:v>
      </x:c>
      <x:c r="J5" s="11" t="str">
        <x:v>Activity evidence URL</x:v>
      </x:c>
      <x:c r="K5" s="11" t="str">
        <x:v>Verification note</x:v>
      </x:c>
    </x:row>
    <x:row r="6" ht="15" hidden="0" customHeight="1">
      <x:c r="A6" s="12" t="n">
        <x:v>1</x:v>
      </x:c>
      <x:c r="B6" s="6" t="str">
        <x:v>AI agents and workflow automation</x:v>
      </x:c>
      <x:c r="C6" s="6" t="str">
        <x:v>Intelligence</x:v>
      </x:c>
      <x:c r="D6" s="6" t="str">
        <x:v>VentureBeat</x:v>
      </x:c>
      <x:c r="E6" s="6" t="str">
        <x:v>venturebeat.com</x:v>
      </x:c>
      <x:c r="F6" s="6" t="str">
        <x:v>Specialist news</x:v>
      </x:c>
      <x:c r="G6" s="6" t="str">
        <x:v>Enterprise AI: agents, models and operating economics.</x:v>
      </x:c>
      <x:c r="H6" s="6" t="str">
        <x:v>https://venturebeat.com/</x:v>
      </x:c>
      <x:c r="I6" s="16" t="d">
        <x:v>2026-10-16T12:00:00.000Z</x:v>
      </x:c>
      <x:c r="J6" s="6" t="str">
        <x:v>https://venturebeat.com/</x:v>
      </x:c>
      <x:c r="K6" s="6" t="str">
        <x:v>Recent dated coverage verified on the linked page.</x:v>
      </x:c>
    </x:row>
    <x:row r="7" ht="15" hidden="0" customHeight="1">
      <x:c r="A7" s="12" t="n">
        <x:v>1</x:v>
      </x:c>
      <x:c r="B7" s="6" t="str">
        <x:v>AI agents and workflow automation</x:v>
      </x:c>
      <x:c r="C7" s="6" t="str">
        <x:v>Intelligence</x:v>
      </x:c>
      <x:c r="D7" s="6" t="str">
        <x:v>TechCrunch</x:v>
      </x:c>
      <x:c r="E7" s="6" t="str">
        <x:v>techcrunch.com</x:v>
      </x:c>
      <x:c r="F7" s="6" t="str">
        <x:v>Specialist news</x:v>
      </x:c>
      <x:c r="G7" s="6" t="str">
        <x:v>AI startups, product launches and business adoption.</x:v>
      </x:c>
      <x:c r="H7" s="6" t="str">
        <x:v>https://techcrunch.com/category/artificial-intelligence/</x:v>
      </x:c>
      <x:c r="I7" s="16" t="d">
        <x:v>2026-05-28T12:00:00.000Z</x:v>
      </x:c>
      <x:c r="J7" s="6" t="str">
        <x:v>https://techcrunch.com/2026/05/28/gleans-top-line-crosses-300m-as-ai-budget-cutting-becomes-its-major-selling-point/</x:v>
      </x:c>
      <x:c r="K7" s="6" t="str">
        <x:v>Recent dated coverage verified on the linked page.</x:v>
      </x:c>
    </x:row>
    <x:row r="8" ht="15" hidden="0" customHeight="1">
      <x:c r="A8" s="12" t="n">
        <x:v>1</x:v>
      </x:c>
      <x:c r="B8" s="6" t="str">
        <x:v>AI agents and workflow automation</x:v>
      </x:c>
      <x:c r="C8" s="6" t="str">
        <x:v>Intelligence</x:v>
      </x:c>
      <x:c r="D8" s="6" t="str">
        <x:v>The Decoder</x:v>
      </x:c>
      <x:c r="E8" s="6" t="str">
        <x:v>the-decoder.com</x:v>
      </x:c>
      <x:c r="F8" s="6" t="str">
        <x:v>Specialist news</x:v>
      </x:c>
      <x:c r="G8" s="6" t="str">
        <x:v>Models, multimodal capabilities and agent behavior.</x:v>
      </x:c>
      <x:c r="H8" s="6" t="str">
        <x:v>https://the-decoder.com/</x:v>
      </x:c>
      <x:c r="I8" s="16" t="d">
        <x:v>2026-10-16T12:00:00.000Z</x:v>
      </x:c>
      <x:c r="J8" s="6" t="str">
        <x:v>https://the-decoder.com/</x:v>
      </x:c>
      <x:c r="K8" s="6" t="str">
        <x:v>Recent dated coverage verified on the linked page.</x:v>
      </x:c>
    </x:row>
    <x:row r="9" ht="15" hidden="0" customHeight="1">
      <x:c r="A9" s="12" t="n">
        <x:v>1</x:v>
      </x:c>
      <x:c r="B9" s="6" t="str">
        <x:v>AI agents and workflow automation</x:v>
      </x:c>
      <x:c r="C9" s="6" t="str">
        <x:v>Intelligence</x:v>
      </x:c>
      <x:c r="D9" s="6" t="str">
        <x:v>The Register</x:v>
      </x:c>
      <x:c r="E9" s="6" t="str">
        <x:v>theregister.com</x:v>
      </x:c>
      <x:c r="F9" s="6" t="str">
        <x:v>Specialist news</x:v>
      </x:c>
      <x:c r="G9" s="6" t="str">
        <x:v>Enterprise AI, infrastructure, local models and deployment risks.</x:v>
      </x:c>
      <x:c r="H9" s="6" t="str">
        <x:v>https://www.theregister.com/ai_ml/</x:v>
      </x:c>
      <x:c r="I9" s="16" t="d">
        <x:v>2026-10-16T12:00:00.000Z</x:v>
      </x:c>
      <x:c r="J9" s="6" t="str">
        <x:v>https://www.theregister.com/ai-and-ml/2026/10/16/want-your-ai-chats-to-stay-private-brave-tees-up-end-to-end-encryption/5303462</x:v>
      </x:c>
      <x:c r="K9" s="6" t="str">
        <x:v>Recent dated coverage verified on the linked page.</x:v>
      </x:c>
    </x:row>
    <x:row r="10" ht="15" hidden="0" customHeight="1">
      <x:c r="A10" s="12" t="n">
        <x:v>1</x:v>
      </x:c>
      <x:c r="B10" s="6" t="str">
        <x:v>AI agents and workflow automation</x:v>
      </x:c>
      <x:c r="C10" s="6" t="str">
        <x:v>Intelligence</x:v>
      </x:c>
      <x:c r="D10" s="6" t="str">
        <x:v>InfoQ</x:v>
      </x:c>
      <x:c r="E10" s="6" t="str">
        <x:v>infoq.com</x:v>
      </x:c>
      <x:c r="F10" s="6" t="str">
        <x:v>Specialist news</x:v>
      </x:c>
      <x:c r="G10" s="6" t="str">
        <x:v>Production AI architecture, coding tools, retrieval and privacy.</x:v>
      </x:c>
      <x:c r="H10" s="6" t="str">
        <x:v>https://www.infoq.com/ai-ml-data-eng/</x:v>
      </x:c>
      <x:c r="I10" s="16" t="d">
        <x:v>2026-10-16T12:00:00.000Z</x:v>
      </x:c>
      <x:c r="J10" s="6" t="str">
        <x:v>https://www.infoq.com/ai-ml-data-eng/</x:v>
      </x:c>
      <x:c r="K10" s="6" t="str">
        <x:v>Recent dated coverage verified on the linked page.</x:v>
      </x:c>
    </x:row>
    <x:row r="11" ht="15" hidden="0" customHeight="1">
      <x:c r="A11" s="12" t="n">
        <x:v>1</x:v>
      </x:c>
      <x:c r="B11" s="6" t="str">
        <x:v>AI agents and workflow automation</x:v>
      </x:c>
      <x:c r="C11" s="6" t="str">
        <x:v>Intelligence</x:v>
      </x:c>
      <x:c r="D11" s="6" t="str">
        <x:v>CIO</x:v>
      </x:c>
      <x:c r="E11" s="6" t="str">
        <x:v>cio.com</x:v>
      </x:c>
      <x:c r="F11" s="6" t="str">
        <x:v>Specialist news</x:v>
      </x:c>
      <x:c r="G11" s="6" t="str">
        <x:v>Broad enterprise beat: AI purchasing, workflow redesign and governance.</x:v>
      </x:c>
      <x:c r="H11" s="6" t="str">
        <x:v>https://www.cio.com/</x:v>
      </x:c>
      <x:c r="I11" s="16" t="d">
        <x:v>2026-10-15T12:00:00.000Z</x:v>
      </x:c>
      <x:c r="J11" s="6" t="str">
        <x:v>https://www.cio.com/</x:v>
      </x:c>
      <x:c r="K11" s="6" t="str">
        <x:v>Recent dated coverage verified on the linked page.</x:v>
      </x:c>
    </x:row>
    <x:row r="12" ht="15" hidden="0" customHeight="1">
      <x:c r="A12" s="12" t="n">
        <x:v>1</x:v>
      </x:c>
      <x:c r="B12" s="6" t="str">
        <x:v>AI agents and workflow automation</x:v>
      </x:c>
      <x:c r="C12" s="6" t="str">
        <x:v>Intelligence</x:v>
      </x:c>
      <x:c r="D12" s="6" t="str">
        <x:v>SiliconANGLE</x:v>
      </x:c>
      <x:c r="E12" s="6" t="str">
        <x:v>siliconangle.com</x:v>
      </x:c>
      <x:c r="F12" s="6" t="str">
        <x:v>Specialist news</x:v>
      </x:c>
      <x:c r="G12" s="6" t="str">
        <x:v>Cloud and enterprise AI vendors, economics and infrastructure.</x:v>
      </x:c>
      <x:c r="H12" s="6" t="str">
        <x:v>https://siliconangle.com/</x:v>
      </x:c>
      <x:c r="I12" s="16" t="d">
        <x:v>2026-09-11T12:00:00.000Z</x:v>
      </x:c>
      <x:c r="J12" s="6" t="str">
        <x:v>https://siliconangle.com/</x:v>
      </x:c>
      <x:c r="K12" s="6" t="str">
        <x:v>Recent dated coverage verified on the linked page.</x:v>
      </x:c>
    </x:row>
    <x:row r="13" ht="15" hidden="0" customHeight="1">
      <x:c r="A13" s="12" t="n">
        <x:v>1</x:v>
      </x:c>
      <x:c r="B13" s="6" t="str">
        <x:v>AI agents and workflow automation</x:v>
      </x:c>
      <x:c r="C13" s="6" t="str">
        <x:v>Intelligence</x:v>
      </x:c>
      <x:c r="D13" s="6" t="str">
        <x:v>Ars Technica</x:v>
      </x:c>
      <x:c r="E13" s="6" t="str">
        <x:v>arstechnica.com</x:v>
      </x:c>
      <x:c r="F13" s="6" t="str">
        <x:v>Specialist news</x:v>
      </x:c>
      <x:c r="G13" s="6" t="str">
        <x:v>Broad technology beat: models, coding, AI hardware and limitations.</x:v>
      </x:c>
      <x:c r="H13" s="6" t="str">
        <x:v>https://arstechnica.com/ai/</x:v>
      </x:c>
      <x:c r="I13" s="16" t="d">
        <x:v>2026-10-16T12:00:00.000Z</x:v>
      </x:c>
      <x:c r="J13" s="6" t="str">
        <x:v>https://arstechnica.com/ai/</x:v>
      </x:c>
      <x:c r="K13" s="6" t="str">
        <x:v>Recent dated coverage verified on the linked page.</x:v>
      </x:c>
    </x:row>
    <x:row r="14" ht="15" hidden="0" customHeight="1">
      <x:c r="A14" s="12" t="n">
        <x:v>1</x:v>
      </x:c>
      <x:c r="B14" s="6" t="str">
        <x:v>AI agents and workflow automation</x:v>
      </x:c>
      <x:c r="C14" s="6" t="str">
        <x:v>Intelligence</x:v>
      </x:c>
      <x:c r="D14" s="6" t="str">
        <x:v>Computerworld</x:v>
      </x:c>
      <x:c r="E14" s="6" t="str">
        <x:v>computerworld.com</x:v>
      </x:c>
      <x:c r="F14" s="6" t="str">
        <x:v>Specialist news</x:v>
      </x:c>
      <x:c r="G14" s="6" t="str">
        <x:v>Enterprise applications, knowledge work and endpoint AI.</x:v>
      </x:c>
      <x:c r="H14" s="6" t="str">
        <x:v>https://www.computerworld.com/</x:v>
      </x:c>
      <x:c r="I14" s="16" t="d">
        <x:v>2026-10-15T12:00:00.000Z</x:v>
      </x:c>
      <x:c r="J14" s="6" t="str">
        <x:v>https://www.computerworld.com/</x:v>
      </x:c>
      <x:c r="K14" s="6" t="str">
        <x:v>Recent dated coverage verified on the linked page.</x:v>
      </x:c>
    </x:row>
    <x:row r="15" ht="15" hidden="0" customHeight="1">
      <x:c r="A15" s="12" t="n">
        <x:v>1</x:v>
      </x:c>
      <x:c r="B15" s="6" t="str">
        <x:v>AI agents and workflow automation</x:v>
      </x:c>
      <x:c r="C15" s="6" t="str">
        <x:v>Intelligence</x:v>
      </x:c>
      <x:c r="D15" s="6" t="str">
        <x:v>The New Stack</x:v>
      </x:c>
      <x:c r="E15" s="6" t="str">
        <x:v>thenewstack.io</x:v>
      </x:c>
      <x:c r="F15" s="6" t="str">
        <x:v>Specialist news</x:v>
      </x:c>
      <x:c r="G15" s="6" t="str">
        <x:v>Developer and cloud-native AI engineering and sensitive workloads.</x:v>
      </x:c>
      <x:c r="H15" s="6" t="str">
        <x:v>https://thenewstack.io/</x:v>
      </x:c>
      <x:c r="I15" s="16" t="d">
        <x:v>2026-09-28T12:00:00.000Z</x:v>
      </x:c>
      <x:c r="J15" s="6" t="str">
        <x:v>https://thenewstack.io/confidential-ai-sensitive-enterprise-data/</x:v>
      </x:c>
      <x:c r="K15" s="6" t="str">
        <x:v>Dated article verified in search index; direct retrieval access-restricted.</x:v>
      </x:c>
    </x:row>
    <x:row r="16" ht="15" hidden="0" customHeight="1">
      <x:c r="A16" s="12" t="n">
        <x:v>1</x:v>
      </x:c>
      <x:c r="B16" s="6" t="str">
        <x:v>AI agents and workflow automation</x:v>
      </x:c>
      <x:c r="C16" s="6" t="str">
        <x:v>Intelligence</x:v>
      </x:c>
      <x:c r="D16" s="6" t="str">
        <x:v>Network World</x:v>
      </x:c>
      <x:c r="E16" s="6" t="str">
        <x:v>networkworld.com</x:v>
      </x:c>
      <x:c r="F16" s="6" t="str">
        <x:v>Specialist news</x:v>
      </x:c>
      <x:c r="G16" s="6" t="str">
        <x:v>Enterprise networks, edge, data-center AI and knowledge infrastructure.</x:v>
      </x:c>
      <x:c r="H16" s="6" t="str">
        <x:v>https://www.networkworld.com/</x:v>
      </x:c>
      <x:c r="I16" s="16" t="d">
        <x:v>2026-10-07T12:00:00.000Z</x:v>
      </x:c>
      <x:c r="J16" s="6" t="str">
        <x:v>https://www.networkworld.com/</x:v>
      </x:c>
      <x:c r="K16" s="6" t="str">
        <x:v>Recent dated coverage verified on the linked page.</x:v>
      </x:c>
    </x:row>
    <x:row r="17" ht="15" hidden="0" customHeight="1">
      <x:c r="A17" s="12" t="n">
        <x:v>2</x:v>
      </x:c>
      <x:c r="B17" s="6" t="str">
        <x:v>Multimodal AI copilots</x:v>
      </x:c>
      <x:c r="C17" s="6" t="str">
        <x:v>Intelligence</x:v>
      </x:c>
      <x:c r="D17" s="6" t="str">
        <x:v>VentureBeat</x:v>
      </x:c>
      <x:c r="E17" s="6" t="str">
        <x:v>venturebeat.com</x:v>
      </x:c>
      <x:c r="F17" s="6" t="str">
        <x:v>Specialist news</x:v>
      </x:c>
      <x:c r="G17" s="6" t="str">
        <x:v>Enterprise AI: agents, models and operating economics.</x:v>
      </x:c>
      <x:c r="H17" s="6" t="str">
        <x:v>https://venturebeat.com/</x:v>
      </x:c>
      <x:c r="I17" s="16" t="d">
        <x:v>2026-10-16T12:00:00.000Z</x:v>
      </x:c>
      <x:c r="J17" s="6" t="str">
        <x:v>https://venturebeat.com/</x:v>
      </x:c>
      <x:c r="K17" s="6" t="str">
        <x:v>Recent dated coverage verified on the linked page.</x:v>
      </x:c>
    </x:row>
    <x:row r="18" ht="15" hidden="0" customHeight="1">
      <x:c r="A18" s="12" t="n">
        <x:v>2</x:v>
      </x:c>
      <x:c r="B18" s="6" t="str">
        <x:v>Multimodal AI copilots</x:v>
      </x:c>
      <x:c r="C18" s="6" t="str">
        <x:v>Intelligence</x:v>
      </x:c>
      <x:c r="D18" s="6" t="str">
        <x:v>TechCrunch</x:v>
      </x:c>
      <x:c r="E18" s="6" t="str">
        <x:v>techcrunch.com</x:v>
      </x:c>
      <x:c r="F18" s="6" t="str">
        <x:v>Specialist news</x:v>
      </x:c>
      <x:c r="G18" s="6" t="str">
        <x:v>AI startups, product launches and business adoption.</x:v>
      </x:c>
      <x:c r="H18" s="6" t="str">
        <x:v>https://techcrunch.com/category/artificial-intelligence/</x:v>
      </x:c>
      <x:c r="I18" s="16" t="d">
        <x:v>2026-05-28T12:00:00.000Z</x:v>
      </x:c>
      <x:c r="J18" s="6" t="str">
        <x:v>https://techcrunch.com/2026/05/28/gleans-top-line-crosses-300m-as-ai-budget-cutting-becomes-its-major-selling-point/</x:v>
      </x:c>
      <x:c r="K18" s="6" t="str">
        <x:v>Recent dated coverage verified on the linked page.</x:v>
      </x:c>
    </x:row>
    <x:row r="19" ht="15" hidden="0" customHeight="1">
      <x:c r="A19" s="12" t="n">
        <x:v>2</x:v>
      </x:c>
      <x:c r="B19" s="6" t="str">
        <x:v>Multimodal AI copilots</x:v>
      </x:c>
      <x:c r="C19" s="6" t="str">
        <x:v>Intelligence</x:v>
      </x:c>
      <x:c r="D19" s="6" t="str">
        <x:v>The Decoder</x:v>
      </x:c>
      <x:c r="E19" s="6" t="str">
        <x:v>the-decoder.com</x:v>
      </x:c>
      <x:c r="F19" s="6" t="str">
        <x:v>Specialist news</x:v>
      </x:c>
      <x:c r="G19" s="6" t="str">
        <x:v>Models, multimodal capabilities and agent behavior.</x:v>
      </x:c>
      <x:c r="H19" s="6" t="str">
        <x:v>https://the-decoder.com/</x:v>
      </x:c>
      <x:c r="I19" s="16" t="d">
        <x:v>2026-10-16T12:00:00.000Z</x:v>
      </x:c>
      <x:c r="J19" s="6" t="str">
        <x:v>https://the-decoder.com/</x:v>
      </x:c>
      <x:c r="K19" s="6" t="str">
        <x:v>Recent dated coverage verified on the linked page.</x:v>
      </x:c>
    </x:row>
    <x:row r="20" ht="15" hidden="0" customHeight="1">
      <x:c r="A20" s="12" t="n">
        <x:v>2</x:v>
      </x:c>
      <x:c r="B20" s="6" t="str">
        <x:v>Multimodal AI copilots</x:v>
      </x:c>
      <x:c r="C20" s="6" t="str">
        <x:v>Intelligence</x:v>
      </x:c>
      <x:c r="D20" s="6" t="str">
        <x:v>The Register</x:v>
      </x:c>
      <x:c r="E20" s="6" t="str">
        <x:v>theregister.com</x:v>
      </x:c>
      <x:c r="F20" s="6" t="str">
        <x:v>Specialist news</x:v>
      </x:c>
      <x:c r="G20" s="6" t="str">
        <x:v>Enterprise AI, infrastructure, local models and deployment risks.</x:v>
      </x:c>
      <x:c r="H20" s="6" t="str">
        <x:v>https://www.theregister.com/ai_ml/</x:v>
      </x:c>
      <x:c r="I20" s="16" t="d">
        <x:v>2026-10-16T12:00:00.000Z</x:v>
      </x:c>
      <x:c r="J20" s="6" t="str">
        <x:v>https://www.theregister.com/ai-and-ml/2026/10/16/want-your-ai-chats-to-stay-private-brave-tees-up-end-to-end-encryption/5303462</x:v>
      </x:c>
      <x:c r="K20" s="6" t="str">
        <x:v>Recent dated coverage verified on the linked page.</x:v>
      </x:c>
    </x:row>
    <x:row r="21" ht="15" hidden="0" customHeight="1">
      <x:c r="A21" s="12" t="n">
        <x:v>2</x:v>
      </x:c>
      <x:c r="B21" s="6" t="str">
        <x:v>Multimodal AI copilots</x:v>
      </x:c>
      <x:c r="C21" s="6" t="str">
        <x:v>Intelligence</x:v>
      </x:c>
      <x:c r="D21" s="6" t="str">
        <x:v>InfoQ</x:v>
      </x:c>
      <x:c r="E21" s="6" t="str">
        <x:v>infoq.com</x:v>
      </x:c>
      <x:c r="F21" s="6" t="str">
        <x:v>Specialist news</x:v>
      </x:c>
      <x:c r="G21" s="6" t="str">
        <x:v>Production AI architecture, coding tools, retrieval and privacy.</x:v>
      </x:c>
      <x:c r="H21" s="6" t="str">
        <x:v>https://www.infoq.com/ai-ml-data-eng/</x:v>
      </x:c>
      <x:c r="I21" s="16" t="d">
        <x:v>2026-10-16T12:00:00.000Z</x:v>
      </x:c>
      <x:c r="J21" s="6" t="str">
        <x:v>https://www.infoq.com/ai-ml-data-eng/</x:v>
      </x:c>
      <x:c r="K21" s="6" t="str">
        <x:v>Recent dated coverage verified on the linked page.</x:v>
      </x:c>
    </x:row>
    <x:row r="22" ht="15" hidden="0" customHeight="1">
      <x:c r="A22" s="12" t="n">
        <x:v>2</x:v>
      </x:c>
      <x:c r="B22" s="6" t="str">
        <x:v>Multimodal AI copilots</x:v>
      </x:c>
      <x:c r="C22" s="6" t="str">
        <x:v>Intelligence</x:v>
      </x:c>
      <x:c r="D22" s="6" t="str">
        <x:v>CIO</x:v>
      </x:c>
      <x:c r="E22" s="6" t="str">
        <x:v>cio.com</x:v>
      </x:c>
      <x:c r="F22" s="6" t="str">
        <x:v>Specialist news</x:v>
      </x:c>
      <x:c r="G22" s="6" t="str">
        <x:v>Broad enterprise beat: AI purchasing, workflow redesign and governance.</x:v>
      </x:c>
      <x:c r="H22" s="6" t="str">
        <x:v>https://www.cio.com/</x:v>
      </x:c>
      <x:c r="I22" s="16" t="d">
        <x:v>2026-10-15T12:00:00.000Z</x:v>
      </x:c>
      <x:c r="J22" s="6" t="str">
        <x:v>https://www.cio.com/</x:v>
      </x:c>
      <x:c r="K22" s="6" t="str">
        <x:v>Recent dated coverage verified on the linked page.</x:v>
      </x:c>
    </x:row>
    <x:row r="23" ht="15" hidden="0" customHeight="1">
      <x:c r="A23" s="12" t="n">
        <x:v>2</x:v>
      </x:c>
      <x:c r="B23" s="6" t="str">
        <x:v>Multimodal AI copilots</x:v>
      </x:c>
      <x:c r="C23" s="6" t="str">
        <x:v>Intelligence</x:v>
      </x:c>
      <x:c r="D23" s="6" t="str">
        <x:v>SiliconANGLE</x:v>
      </x:c>
      <x:c r="E23" s="6" t="str">
        <x:v>siliconangle.com</x:v>
      </x:c>
      <x:c r="F23" s="6" t="str">
        <x:v>Specialist news</x:v>
      </x:c>
      <x:c r="G23" s="6" t="str">
        <x:v>Cloud and enterprise AI vendors, economics and infrastructure.</x:v>
      </x:c>
      <x:c r="H23" s="6" t="str">
        <x:v>https://siliconangle.com/</x:v>
      </x:c>
      <x:c r="I23" s="16" t="d">
        <x:v>2026-09-11T12:00:00.000Z</x:v>
      </x:c>
      <x:c r="J23" s="6" t="str">
        <x:v>https://siliconangle.com/</x:v>
      </x:c>
      <x:c r="K23" s="6" t="str">
        <x:v>Recent dated coverage verified on the linked page.</x:v>
      </x:c>
    </x:row>
    <x:row r="24" ht="15" hidden="0" customHeight="1">
      <x:c r="A24" s="12" t="n">
        <x:v>2</x:v>
      </x:c>
      <x:c r="B24" s="6" t="str">
        <x:v>Multimodal AI copilots</x:v>
      </x:c>
      <x:c r="C24" s="6" t="str">
        <x:v>Intelligence</x:v>
      </x:c>
      <x:c r="D24" s="6" t="str">
        <x:v>Ars Technica</x:v>
      </x:c>
      <x:c r="E24" s="6" t="str">
        <x:v>arstechnica.com</x:v>
      </x:c>
      <x:c r="F24" s="6" t="str">
        <x:v>Specialist news</x:v>
      </x:c>
      <x:c r="G24" s="6" t="str">
        <x:v>Broad technology beat: models, coding, AI hardware and limitations.</x:v>
      </x:c>
      <x:c r="H24" s="6" t="str">
        <x:v>https://arstechnica.com/ai/</x:v>
      </x:c>
      <x:c r="I24" s="16" t="d">
        <x:v>2026-10-16T12:00:00.000Z</x:v>
      </x:c>
      <x:c r="J24" s="6" t="str">
        <x:v>https://arstechnica.com/ai/</x:v>
      </x:c>
      <x:c r="K24" s="6" t="str">
        <x:v>Recent dated coverage verified on the linked page.</x:v>
      </x:c>
    </x:row>
    <x:row r="25" ht="15" hidden="0" customHeight="1">
      <x:c r="A25" s="12" t="n">
        <x:v>2</x:v>
      </x:c>
      <x:c r="B25" s="6" t="str">
        <x:v>Multimodal AI copilots</x:v>
      </x:c>
      <x:c r="C25" s="6" t="str">
        <x:v>Intelligence</x:v>
      </x:c>
      <x:c r="D25" s="6" t="str">
        <x:v>Computerworld</x:v>
      </x:c>
      <x:c r="E25" s="6" t="str">
        <x:v>computerworld.com</x:v>
      </x:c>
      <x:c r="F25" s="6" t="str">
        <x:v>Specialist news</x:v>
      </x:c>
      <x:c r="G25" s="6" t="str">
        <x:v>Enterprise applications, knowledge work and endpoint AI.</x:v>
      </x:c>
      <x:c r="H25" s="6" t="str">
        <x:v>https://www.computerworld.com/</x:v>
      </x:c>
      <x:c r="I25" s="16" t="d">
        <x:v>2026-10-15T12:00:00.000Z</x:v>
      </x:c>
      <x:c r="J25" s="6" t="str">
        <x:v>https://www.computerworld.com/</x:v>
      </x:c>
      <x:c r="K25" s="6" t="str">
        <x:v>Recent dated coverage verified on the linked page.</x:v>
      </x:c>
    </x:row>
    <x:row r="26" ht="15" hidden="0" customHeight="1">
      <x:c r="A26" s="12" t="n">
        <x:v>2</x:v>
      </x:c>
      <x:c r="B26" s="6" t="str">
        <x:v>Multimodal AI copilots</x:v>
      </x:c>
      <x:c r="C26" s="6" t="str">
        <x:v>Intelligence</x:v>
      </x:c>
      <x:c r="D26" s="6" t="str">
        <x:v>The New Stack</x:v>
      </x:c>
      <x:c r="E26" s="6" t="str">
        <x:v>thenewstack.io</x:v>
      </x:c>
      <x:c r="F26" s="6" t="str">
        <x:v>Specialist news</x:v>
      </x:c>
      <x:c r="G26" s="6" t="str">
        <x:v>Developer and cloud-native AI engineering and sensitive workloads.</x:v>
      </x:c>
      <x:c r="H26" s="6" t="str">
        <x:v>https://thenewstack.io/</x:v>
      </x:c>
      <x:c r="I26" s="16" t="d">
        <x:v>2026-09-28T12:00:00.000Z</x:v>
      </x:c>
      <x:c r="J26" s="6" t="str">
        <x:v>https://thenewstack.io/confidential-ai-sensitive-enterprise-data/</x:v>
      </x:c>
      <x:c r="K26" s="6" t="str">
        <x:v>Dated article verified in search index; direct retrieval access-restricted.</x:v>
      </x:c>
    </x:row>
    <x:row r="27" ht="15" hidden="0" customHeight="1">
      <x:c r="A27" s="12" t="n">
        <x:v>2</x:v>
      </x:c>
      <x:c r="B27" s="6" t="str">
        <x:v>Multimodal AI copilots</x:v>
      </x:c>
      <x:c r="C27" s="6" t="str">
        <x:v>Intelligence</x:v>
      </x:c>
      <x:c r="D27" s="6" t="str">
        <x:v>Network World</x:v>
      </x:c>
      <x:c r="E27" s="6" t="str">
        <x:v>networkworld.com</x:v>
      </x:c>
      <x:c r="F27" s="6" t="str">
        <x:v>Specialist news</x:v>
      </x:c>
      <x:c r="G27" s="6" t="str">
        <x:v>Enterprise networks, edge, data-center AI and knowledge infrastructure.</x:v>
      </x:c>
      <x:c r="H27" s="6" t="str">
        <x:v>https://www.networkworld.com/</x:v>
      </x:c>
      <x:c r="I27" s="16" t="d">
        <x:v>2026-10-07T12:00:00.000Z</x:v>
      </x:c>
      <x:c r="J27" s="6" t="str">
        <x:v>https://www.networkworld.com/</x:v>
      </x:c>
      <x:c r="K27" s="6" t="str">
        <x:v>Recent dated coverage verified on the linked page.</x:v>
      </x:c>
    </x:row>
    <x:row r="28" ht="15" hidden="0" customHeight="1">
      <x:c r="A28" s="12" t="n">
        <x:v>3</x:v>
      </x:c>
      <x:c r="B28" s="6" t="str">
        <x:v>Edge and on-device AI</x:v>
      </x:c>
      <x:c r="C28" s="6" t="str">
        <x:v>Intelligence</x:v>
      </x:c>
      <x:c r="D28" s="6" t="str">
        <x:v>EE Times</x:v>
      </x:c>
      <x:c r="E28" s="6" t="str">
        <x:v>eetimes.com</x:v>
      </x:c>
      <x:c r="F28" s="6" t="str">
        <x:v>Specialist news</x:v>
      </x:c>
      <x:c r="G28" s="6" t="str">
        <x:v>Semiconductors, embedded AI, optics and industrial electronics.</x:v>
      </x:c>
      <x:c r="H28" s="6" t="str">
        <x:v>https://www.eetimes.com/</x:v>
      </x:c>
      <x:c r="I28" s="16" t="d">
        <x:v>2026-10-16T12:00:00.000Z</x:v>
      </x:c>
      <x:c r="J28" s="6" t="str">
        <x:v>https://www.eetimes.com/</x:v>
      </x:c>
      <x:c r="K28" s="6" t="str">
        <x:v>Recent dated coverage verified on the linked page.</x:v>
      </x:c>
    </x:row>
    <x:row r="29" ht="15" hidden="0" customHeight="1">
      <x:c r="A29" s="12" t="n">
        <x:v>3</x:v>
      </x:c>
      <x:c r="B29" s="6" t="str">
        <x:v>Edge and on-device AI</x:v>
      </x:c>
      <x:c r="C29" s="6" t="str">
        <x:v>Intelligence</x:v>
      </x:c>
      <x:c r="D29" s="6" t="str">
        <x:v>Semiconductor Engineering</x:v>
      </x:c>
      <x:c r="E29" s="6" t="str">
        <x:v>semiengineering.com</x:v>
      </x:c>
      <x:c r="F29" s="6" t="str">
        <x:v>Specialist news</x:v>
      </x:c>
      <x:c r="G29" s="6" t="str">
        <x:v>Chiplets, packaging, photonics and AI-processor engineering.</x:v>
      </x:c>
      <x:c r="H29" s="6" t="str">
        <x:v>https://semiengineering.com/</x:v>
      </x:c>
      <x:c r="I29" s="16" t="d">
        <x:v>2026-10-15T12:00:00.000Z</x:v>
      </x:c>
      <x:c r="J29" s="6" t="str">
        <x:v>https://semiengineering.com/</x:v>
      </x:c>
      <x:c r="K29" s="6" t="str">
        <x:v>Recent dated coverage verified on the linked page.</x:v>
      </x:c>
    </x:row>
    <x:row r="30" ht="15" hidden="0" customHeight="1">
      <x:c r="A30" s="12" t="n">
        <x:v>3</x:v>
      </x:c>
      <x:c r="B30" s="6" t="str">
        <x:v>Edge and on-device AI</x:v>
      </x:c>
      <x:c r="C30" s="6" t="str">
        <x:v>Intelligence</x:v>
      </x:c>
      <x:c r="D30" s="6" t="str">
        <x:v>Electronic Design</x:v>
      </x:c>
      <x:c r="E30" s="6" t="str">
        <x:v>electronicdesign.com</x:v>
      </x:c>
      <x:c r="F30" s="6" t="str">
        <x:v>Specialist news</x:v>
      </x:c>
      <x:c r="G30" s="6" t="str">
        <x:v>Embedded processors, edge inference, power and sensors.</x:v>
      </x:c>
      <x:c r="H30" s="6" t="str">
        <x:v>https://www.electronicdesign.com/</x:v>
      </x:c>
      <x:c r="I30" s="16" t="d">
        <x:v>2026-10-16T12:00:00.000Z</x:v>
      </x:c>
      <x:c r="J30" s="6" t="str">
        <x:v>https://www.electronicdesign.com/</x:v>
      </x:c>
      <x:c r="K30" s="6" t="str">
        <x:v>Recent dated coverage verified on the linked page.</x:v>
      </x:c>
    </x:row>
    <x:row r="31" ht="15" hidden="0" customHeight="1">
      <x:c r="A31" s="12" t="n">
        <x:v>3</x:v>
      </x:c>
      <x:c r="B31" s="6" t="str">
        <x:v>Edge and on-device AI</x:v>
      </x:c>
      <x:c r="C31" s="6" t="str">
        <x:v>Intelligence</x:v>
      </x:c>
      <x:c r="D31" s="6" t="str">
        <x:v>ServeTheHome</x:v>
      </x:c>
      <x:c r="E31" s="6" t="str">
        <x:v>servethehome.com</x:v>
      </x:c>
      <x:c r="F31" s="6" t="str">
        <x:v>Specialist news</x:v>
      </x:c>
      <x:c r="G31" s="6" t="str">
        <x:v>Server, accelerator, memory, networking and edge hardware.</x:v>
      </x:c>
      <x:c r="H31" s="6" t="str">
        <x:v>https://www.servethehome.com/</x:v>
      </x:c>
      <x:c r="I31" s="16" t="d">
        <x:v>2026-10-12T12:00:00.000Z</x:v>
      </x:c>
      <x:c r="J31" s="6" t="str">
        <x:v>https://www.servethehome.com/</x:v>
      </x:c>
      <x:c r="K31" s="6" t="str">
        <x:v>Recent dated coverage verified on the linked page.</x:v>
      </x:c>
    </x:row>
    <x:row r="32" ht="15" hidden="0" customHeight="1">
      <x:c r="A32" s="12" t="n">
        <x:v>3</x:v>
      </x:c>
      <x:c r="B32" s="6" t="str">
        <x:v>Edge and on-device AI</x:v>
      </x:c>
      <x:c r="C32" s="6" t="str">
        <x:v>Intelligence</x:v>
      </x:c>
      <x:c r="D32" s="6" t="str">
        <x:v>Tom’s Hardware</x:v>
      </x:c>
      <x:c r="E32" s="6" t="str">
        <x:v>tomshardware.com</x:v>
      </x:c>
      <x:c r="F32" s="6" t="str">
        <x:v>Specialist news</x:v>
      </x:c>
      <x:c r="G32" s="6" t="str">
        <x:v>Processors, AI PCs, memory, packaging and suppliers.</x:v>
      </x:c>
      <x:c r="H32" s="6" t="str">
        <x:v>https://www.tomshardware.com/</x:v>
      </x:c>
      <x:c r="I32" s="16" t="d">
        <x:v>2026-10-16T12:00:00.000Z</x:v>
      </x:c>
      <x:c r="J32" s="6" t="str">
        <x:v>https://www.tomshardware.com/</x:v>
      </x:c>
      <x:c r="K32" s="6" t="str">
        <x:v>Recent dated coverage verified on the linked page.</x:v>
      </x:c>
    </x:row>
    <x:row r="33" ht="15" hidden="0" customHeight="1">
      <x:c r="A33" s="12" t="n">
        <x:v>3</x:v>
      </x:c>
      <x:c r="B33" s="6" t="str">
        <x:v>Edge and on-device AI</x:v>
      </x:c>
      <x:c r="C33" s="6" t="str">
        <x:v>Intelligence</x:v>
      </x:c>
      <x:c r="D33" s="6" t="str">
        <x:v>eeNews Europe</x:v>
      </x:c>
      <x:c r="E33" s="6" t="str">
        <x:v>eenewseurope.com</x:v>
      </x:c>
      <x:c r="F33" s="6" t="str">
        <x:v>Specialist news</x:v>
      </x:c>
      <x:c r="G33" s="6" t="str">
        <x:v>Semiconductors, embedded AI and component supply chains.</x:v>
      </x:c>
      <x:c r="H33" s="6" t="str">
        <x:v>https://www.eenewseurope.com/en/</x:v>
      </x:c>
      <x:c r="I33" s="16" t="d">
        <x:v>2026-10-15T12:00:00.000Z</x:v>
      </x:c>
      <x:c r="J33" s="6" t="str">
        <x:v>https://www.eenewseurope.com/en/</x:v>
      </x:c>
      <x:c r="K33" s="6" t="str">
        <x:v>Recent dated coverage verified on the linked page.</x:v>
      </x:c>
    </x:row>
    <x:row r="34" ht="15" hidden="0" customHeight="1">
      <x:c r="A34" s="12" t="n">
        <x:v>3</x:v>
      </x:c>
      <x:c r="B34" s="6" t="str">
        <x:v>Edge and on-device AI</x:v>
      </x:c>
      <x:c r="C34" s="6" t="str">
        <x:v>Intelligence</x:v>
      </x:c>
      <x:c r="D34" s="6" t="str">
        <x:v>The Register</x:v>
      </x:c>
      <x:c r="E34" s="6" t="str">
        <x:v>theregister.com</x:v>
      </x:c>
      <x:c r="F34" s="6" t="str">
        <x:v>Specialist news</x:v>
      </x:c>
      <x:c r="G34" s="6" t="str">
        <x:v>Enterprise AI, infrastructure, local models and deployment risks.</x:v>
      </x:c>
      <x:c r="H34" s="6" t="str">
        <x:v>https://www.theregister.com/ai_ml/</x:v>
      </x:c>
      <x:c r="I34" s="16" t="d">
        <x:v>2026-10-16T12:00:00.000Z</x:v>
      </x:c>
      <x:c r="J34" s="6" t="str">
        <x:v>https://www.theregister.com/ai-and-ml/2026/10/16/want-your-ai-chats-to-stay-private-brave-tees-up-end-to-end-encryption/5303462</x:v>
      </x:c>
      <x:c r="K34" s="6" t="str">
        <x:v>Recent dated coverage verified on the linked page.</x:v>
      </x:c>
    </x:row>
    <x:row r="35" ht="15" hidden="0" customHeight="1">
      <x:c r="A35" s="12" t="n">
        <x:v>3</x:v>
      </x:c>
      <x:c r="B35" s="6" t="str">
        <x:v>Edge and on-device AI</x:v>
      </x:c>
      <x:c r="C35" s="6" t="str">
        <x:v>Intelligence</x:v>
      </x:c>
      <x:c r="D35" s="6" t="str">
        <x:v>Ars Technica</x:v>
      </x:c>
      <x:c r="E35" s="6" t="str">
        <x:v>arstechnica.com</x:v>
      </x:c>
      <x:c r="F35" s="6" t="str">
        <x:v>Specialist news</x:v>
      </x:c>
      <x:c r="G35" s="6" t="str">
        <x:v>Broad technology beat: models, coding, AI hardware and limitations.</x:v>
      </x:c>
      <x:c r="H35" s="6" t="str">
        <x:v>https://arstechnica.com/ai/</x:v>
      </x:c>
      <x:c r="I35" s="16" t="d">
        <x:v>2026-10-16T12:00:00.000Z</x:v>
      </x:c>
      <x:c r="J35" s="6" t="str">
        <x:v>https://arstechnica.com/ai/</x:v>
      </x:c>
      <x:c r="K35" s="6" t="str">
        <x:v>Recent dated coverage verified on the linked page.</x:v>
      </x:c>
    </x:row>
    <x:row r="36" ht="15" hidden="0" customHeight="1">
      <x:c r="A36" s="12" t="n">
        <x:v>3</x:v>
      </x:c>
      <x:c r="B36" s="6" t="str">
        <x:v>Edge and on-device AI</x:v>
      </x:c>
      <x:c r="C36" s="6" t="str">
        <x:v>Intelligence</x:v>
      </x:c>
      <x:c r="D36" s="6" t="str">
        <x:v>IoT Now</x:v>
      </x:c>
      <x:c r="E36" s="6" t="str">
        <x:v>iot-now.com</x:v>
      </x:c>
      <x:c r="F36" s="6" t="str">
        <x:v>Specialist news</x:v>
      </x:c>
      <x:c r="G36" s="6" t="str">
        <x:v>Industrial connectivity, edge intelligence and NTN chipsets.</x:v>
      </x:c>
      <x:c r="H36" s="6" t="str">
        <x:v>https://iot-now.com/news/</x:v>
      </x:c>
      <x:c r="I36" s="16" t="d">
        <x:v>2026-10-15T12:00:00.000Z</x:v>
      </x:c>
      <x:c r="J36" s="6" t="str">
        <x:v>https://iot-now.com/news/products-and-services/</x:v>
      </x:c>
      <x:c r="K36" s="6" t="str">
        <x:v>Recent dated coverage verified on the linked page.</x:v>
      </x:c>
    </x:row>
    <x:row r="37" ht="15" hidden="0" customHeight="1">
      <x:c r="A37" s="12" t="n">
        <x:v>3</x:v>
      </x:c>
      <x:c r="B37" s="6" t="str">
        <x:v>Edge and on-device AI</x:v>
      </x:c>
      <x:c r="C37" s="6" t="str">
        <x:v>Intelligence</x:v>
      </x:c>
      <x:c r="D37" s="6" t="str">
        <x:v>IoT Business News</x:v>
      </x:c>
      <x:c r="E37" s="6" t="str">
        <x:v>iotbusinessnews.com</x:v>
      </x:c>
      <x:c r="F37" s="6" t="str">
        <x:v>Specialist news</x:v>
      </x:c>
      <x:c r="G37" s="6" t="str">
        <x:v>Industrial IoT, modules, satellite connectivity and operator partnerships.</x:v>
      </x:c>
      <x:c r="H37" s="6" t="str">
        <x:v>https://iotbusinessnews.com/</x:v>
      </x:c>
      <x:c r="I37" s="16" t="d">
        <x:v>2026-10-16T12:00:00.000Z</x:v>
      </x:c>
      <x:c r="J37" s="6" t="str">
        <x:v>https://iotbusinessnews.com/</x:v>
      </x:c>
      <x:c r="K37" s="6" t="str">
        <x:v>Recent dated coverage verified on the linked page.</x:v>
      </x:c>
    </x:row>
    <x:row r="38" ht="15" hidden="0" customHeight="1">
      <x:c r="A38" s="12" t="n">
        <x:v>3</x:v>
      </x:c>
      <x:c r="B38" s="6" t="str">
        <x:v>Edge and on-device AI</x:v>
      </x:c>
      <x:c r="C38" s="6" t="str">
        <x:v>Intelligence</x:v>
      </x:c>
      <x:c r="D38" s="6" t="str">
        <x:v>InfoQ</x:v>
      </x:c>
      <x:c r="E38" s="6" t="str">
        <x:v>infoq.com</x:v>
      </x:c>
      <x:c r="F38" s="6" t="str">
        <x:v>Specialist news</x:v>
      </x:c>
      <x:c r="G38" s="6" t="str">
        <x:v>Production AI architecture, coding tools, retrieval and privacy.</x:v>
      </x:c>
      <x:c r="H38" s="6" t="str">
        <x:v>https://www.infoq.com/ai-ml-data-eng/</x:v>
      </x:c>
      <x:c r="I38" s="16" t="d">
        <x:v>2026-10-16T12:00:00.000Z</x:v>
      </x:c>
      <x:c r="J38" s="6" t="str">
        <x:v>https://www.infoq.com/ai-ml-data-eng/</x:v>
      </x:c>
      <x:c r="K38" s="6" t="str">
        <x:v>Recent dated coverage verified on the linked page.</x:v>
      </x:c>
    </x:row>
    <x:row r="39" ht="15" hidden="0" customHeight="1">
      <x:c r="A39" s="12" t="n">
        <x:v>4</x:v>
      </x:c>
      <x:c r="B39" s="6" t="str">
        <x:v>AI-native software development</x:v>
      </x:c>
      <x:c r="C39" s="6" t="str">
        <x:v>Intelligence</x:v>
      </x:c>
      <x:c r="D39" s="6" t="str">
        <x:v>VentureBeat</x:v>
      </x:c>
      <x:c r="E39" s="6" t="str">
        <x:v>venturebeat.com</x:v>
      </x:c>
      <x:c r="F39" s="6" t="str">
        <x:v>Specialist news</x:v>
      </x:c>
      <x:c r="G39" s="6" t="str">
        <x:v>Enterprise AI: agents, models and operating economics.</x:v>
      </x:c>
      <x:c r="H39" s="6" t="str">
        <x:v>https://venturebeat.com/</x:v>
      </x:c>
      <x:c r="I39" s="16" t="d">
        <x:v>2026-10-16T12:00:00.000Z</x:v>
      </x:c>
      <x:c r="J39" s="6" t="str">
        <x:v>https://venturebeat.com/</x:v>
      </x:c>
      <x:c r="K39" s="6" t="str">
        <x:v>Recent dated coverage verified on the linked page.</x:v>
      </x:c>
    </x:row>
    <x:row r="40" ht="15" hidden="0" customHeight="1">
      <x:c r="A40" s="12" t="n">
        <x:v>4</x:v>
      </x:c>
      <x:c r="B40" s="6" t="str">
        <x:v>AI-native software development</x:v>
      </x:c>
      <x:c r="C40" s="6" t="str">
        <x:v>Intelligence</x:v>
      </x:c>
      <x:c r="D40" s="6" t="str">
        <x:v>TechCrunch</x:v>
      </x:c>
      <x:c r="E40" s="6" t="str">
        <x:v>techcrunch.com</x:v>
      </x:c>
      <x:c r="F40" s="6" t="str">
        <x:v>Specialist news</x:v>
      </x:c>
      <x:c r="G40" s="6" t="str">
        <x:v>AI startups, product launches and business adoption.</x:v>
      </x:c>
      <x:c r="H40" s="6" t="str">
        <x:v>https://techcrunch.com/category/artificial-intelligence/</x:v>
      </x:c>
      <x:c r="I40" s="16" t="d">
        <x:v>2026-05-28T12:00:00.000Z</x:v>
      </x:c>
      <x:c r="J40" s="6" t="str">
        <x:v>https://techcrunch.com/2026/05/28/gleans-top-line-crosses-300m-as-ai-budget-cutting-becomes-its-major-selling-point/</x:v>
      </x:c>
      <x:c r="K40" s="6" t="str">
        <x:v>Recent dated coverage verified on the linked page.</x:v>
      </x:c>
    </x:row>
    <x:row r="41" ht="15" hidden="0" customHeight="1">
      <x:c r="A41" s="12" t="n">
        <x:v>4</x:v>
      </x:c>
      <x:c r="B41" s="6" t="str">
        <x:v>AI-native software development</x:v>
      </x:c>
      <x:c r="C41" s="6" t="str">
        <x:v>Intelligence</x:v>
      </x:c>
      <x:c r="D41" s="6" t="str">
        <x:v>The Decoder</x:v>
      </x:c>
      <x:c r="E41" s="6" t="str">
        <x:v>the-decoder.com</x:v>
      </x:c>
      <x:c r="F41" s="6" t="str">
        <x:v>Specialist news</x:v>
      </x:c>
      <x:c r="G41" s="6" t="str">
        <x:v>Models, multimodal capabilities and agent behavior.</x:v>
      </x:c>
      <x:c r="H41" s="6" t="str">
        <x:v>https://the-decoder.com/</x:v>
      </x:c>
      <x:c r="I41" s="16" t="d">
        <x:v>2026-10-16T12:00:00.000Z</x:v>
      </x:c>
      <x:c r="J41" s="6" t="str">
        <x:v>https://the-decoder.com/</x:v>
      </x:c>
      <x:c r="K41" s="6" t="str">
        <x:v>Recent dated coverage verified on the linked page.</x:v>
      </x:c>
    </x:row>
    <x:row r="42" ht="15" hidden="0" customHeight="1">
      <x:c r="A42" s="12" t="n">
        <x:v>4</x:v>
      </x:c>
      <x:c r="B42" s="6" t="str">
        <x:v>AI-native software development</x:v>
      </x:c>
      <x:c r="C42" s="6" t="str">
        <x:v>Intelligence</x:v>
      </x:c>
      <x:c r="D42" s="6" t="str">
        <x:v>The Register</x:v>
      </x:c>
      <x:c r="E42" s="6" t="str">
        <x:v>theregister.com</x:v>
      </x:c>
      <x:c r="F42" s="6" t="str">
        <x:v>Specialist news</x:v>
      </x:c>
      <x:c r="G42" s="6" t="str">
        <x:v>Enterprise AI, infrastructure, local models and deployment risks.</x:v>
      </x:c>
      <x:c r="H42" s="6" t="str">
        <x:v>https://www.theregister.com/ai_ml/</x:v>
      </x:c>
      <x:c r="I42" s="16" t="d">
        <x:v>2026-10-16T12:00:00.000Z</x:v>
      </x:c>
      <x:c r="J42" s="6" t="str">
        <x:v>https://www.theregister.com/ai-and-ml/2026/10/16/want-your-ai-chats-to-stay-private-brave-tees-up-end-to-end-encryption/5303462</x:v>
      </x:c>
      <x:c r="K42" s="6" t="str">
        <x:v>Recent dated coverage verified on the linked page.</x:v>
      </x:c>
    </x:row>
    <x:row r="43" ht="15" hidden="0" customHeight="1">
      <x:c r="A43" s="12" t="n">
        <x:v>4</x:v>
      </x:c>
      <x:c r="B43" s="6" t="str">
        <x:v>AI-native software development</x:v>
      </x:c>
      <x:c r="C43" s="6" t="str">
        <x:v>Intelligence</x:v>
      </x:c>
      <x:c r="D43" s="6" t="str">
        <x:v>InfoQ</x:v>
      </x:c>
      <x:c r="E43" s="6" t="str">
        <x:v>infoq.com</x:v>
      </x:c>
      <x:c r="F43" s="6" t="str">
        <x:v>Specialist news</x:v>
      </x:c>
      <x:c r="G43" s="6" t="str">
        <x:v>Production AI architecture, coding tools, retrieval and privacy.</x:v>
      </x:c>
      <x:c r="H43" s="6" t="str">
        <x:v>https://www.infoq.com/ai-ml-data-eng/</x:v>
      </x:c>
      <x:c r="I43" s="16" t="d">
        <x:v>2026-10-16T12:00:00.000Z</x:v>
      </x:c>
      <x:c r="J43" s="6" t="str">
        <x:v>https://www.infoq.com/ai-ml-data-eng/</x:v>
      </x:c>
      <x:c r="K43" s="6" t="str">
        <x:v>Recent dated coverage verified on the linked page.</x:v>
      </x:c>
    </x:row>
    <x:row r="44" ht="15" hidden="0" customHeight="1">
      <x:c r="A44" s="12" t="n">
        <x:v>4</x:v>
      </x:c>
      <x:c r="B44" s="6" t="str">
        <x:v>AI-native software development</x:v>
      </x:c>
      <x:c r="C44" s="6" t="str">
        <x:v>Intelligence</x:v>
      </x:c>
      <x:c r="D44" s="6" t="str">
        <x:v>CIO</x:v>
      </x:c>
      <x:c r="E44" s="6" t="str">
        <x:v>cio.com</x:v>
      </x:c>
      <x:c r="F44" s="6" t="str">
        <x:v>Specialist news</x:v>
      </x:c>
      <x:c r="G44" s="6" t="str">
        <x:v>Broad enterprise beat: AI purchasing, workflow redesign and governance.</x:v>
      </x:c>
      <x:c r="H44" s="6" t="str">
        <x:v>https://www.cio.com/</x:v>
      </x:c>
      <x:c r="I44" s="16" t="d">
        <x:v>2026-10-15T12:00:00.000Z</x:v>
      </x:c>
      <x:c r="J44" s="6" t="str">
        <x:v>https://www.cio.com/</x:v>
      </x:c>
      <x:c r="K44" s="6" t="str">
        <x:v>Recent dated coverage verified on the linked page.</x:v>
      </x:c>
    </x:row>
    <x:row r="45" ht="15" hidden="0" customHeight="1">
      <x:c r="A45" s="12" t="n">
        <x:v>4</x:v>
      </x:c>
      <x:c r="B45" s="6" t="str">
        <x:v>AI-native software development</x:v>
      </x:c>
      <x:c r="C45" s="6" t="str">
        <x:v>Intelligence</x:v>
      </x:c>
      <x:c r="D45" s="6" t="str">
        <x:v>SiliconANGLE</x:v>
      </x:c>
      <x:c r="E45" s="6" t="str">
        <x:v>siliconangle.com</x:v>
      </x:c>
      <x:c r="F45" s="6" t="str">
        <x:v>Specialist news</x:v>
      </x:c>
      <x:c r="G45" s="6" t="str">
        <x:v>Cloud and enterprise AI vendors, economics and infrastructure.</x:v>
      </x:c>
      <x:c r="H45" s="6" t="str">
        <x:v>https://siliconangle.com/</x:v>
      </x:c>
      <x:c r="I45" s="16" t="d">
        <x:v>2026-09-11T12:00:00.000Z</x:v>
      </x:c>
      <x:c r="J45" s="6" t="str">
        <x:v>https://siliconangle.com/</x:v>
      </x:c>
      <x:c r="K45" s="6" t="str">
        <x:v>Recent dated coverage verified on the linked page.</x:v>
      </x:c>
    </x:row>
    <x:row r="46" ht="15" hidden="0" customHeight="1">
      <x:c r="A46" s="12" t="n">
        <x:v>4</x:v>
      </x:c>
      <x:c r="B46" s="6" t="str">
        <x:v>AI-native software development</x:v>
      </x:c>
      <x:c r="C46" s="6" t="str">
        <x:v>Intelligence</x:v>
      </x:c>
      <x:c r="D46" s="6" t="str">
        <x:v>Ars Technica</x:v>
      </x:c>
      <x:c r="E46" s="6" t="str">
        <x:v>arstechnica.com</x:v>
      </x:c>
      <x:c r="F46" s="6" t="str">
        <x:v>Specialist news</x:v>
      </x:c>
      <x:c r="G46" s="6" t="str">
        <x:v>Broad technology beat: models, coding, AI hardware and limitations.</x:v>
      </x:c>
      <x:c r="H46" s="6" t="str">
        <x:v>https://arstechnica.com/ai/</x:v>
      </x:c>
      <x:c r="I46" s="16" t="d">
        <x:v>2026-10-16T12:00:00.000Z</x:v>
      </x:c>
      <x:c r="J46" s="6" t="str">
        <x:v>https://arstechnica.com/ai/</x:v>
      </x:c>
      <x:c r="K46" s="6" t="str">
        <x:v>Recent dated coverage verified on the linked page.</x:v>
      </x:c>
    </x:row>
    <x:row r="47" ht="15" hidden="0" customHeight="1">
      <x:c r="A47" s="12" t="n">
        <x:v>4</x:v>
      </x:c>
      <x:c r="B47" s="6" t="str">
        <x:v>AI-native software development</x:v>
      </x:c>
      <x:c r="C47" s="6" t="str">
        <x:v>Intelligence</x:v>
      </x:c>
      <x:c r="D47" s="6" t="str">
        <x:v>Computerworld</x:v>
      </x:c>
      <x:c r="E47" s="6" t="str">
        <x:v>computerworld.com</x:v>
      </x:c>
      <x:c r="F47" s="6" t="str">
        <x:v>Specialist news</x:v>
      </x:c>
      <x:c r="G47" s="6" t="str">
        <x:v>Enterprise applications, knowledge work and endpoint AI.</x:v>
      </x:c>
      <x:c r="H47" s="6" t="str">
        <x:v>https://www.computerworld.com/</x:v>
      </x:c>
      <x:c r="I47" s="16" t="d">
        <x:v>2026-10-15T12:00:00.000Z</x:v>
      </x:c>
      <x:c r="J47" s="6" t="str">
        <x:v>https://www.computerworld.com/</x:v>
      </x:c>
      <x:c r="K47" s="6" t="str">
        <x:v>Recent dated coverage verified on the linked page.</x:v>
      </x:c>
    </x:row>
    <x:row r="48" ht="15" hidden="0" customHeight="1">
      <x:c r="A48" s="12" t="n">
        <x:v>4</x:v>
      </x:c>
      <x:c r="B48" s="6" t="str">
        <x:v>AI-native software development</x:v>
      </x:c>
      <x:c r="C48" s="6" t="str">
        <x:v>Intelligence</x:v>
      </x:c>
      <x:c r="D48" s="6" t="str">
        <x:v>The New Stack</x:v>
      </x:c>
      <x:c r="E48" s="6" t="str">
        <x:v>thenewstack.io</x:v>
      </x:c>
      <x:c r="F48" s="6" t="str">
        <x:v>Specialist news</x:v>
      </x:c>
      <x:c r="G48" s="6" t="str">
        <x:v>Developer and cloud-native AI engineering and sensitive workloads.</x:v>
      </x:c>
      <x:c r="H48" s="6" t="str">
        <x:v>https://thenewstack.io/</x:v>
      </x:c>
      <x:c r="I48" s="16" t="d">
        <x:v>2026-09-28T12:00:00.000Z</x:v>
      </x:c>
      <x:c r="J48" s="6" t="str">
        <x:v>https://thenewstack.io/confidential-ai-sensitive-enterprise-data/</x:v>
      </x:c>
      <x:c r="K48" s="6" t="str">
        <x:v>Dated article verified in search index; direct retrieval access-restricted.</x:v>
      </x:c>
    </x:row>
    <x:row r="49" ht="15" hidden="0" customHeight="1">
      <x:c r="A49" s="12" t="n">
        <x:v>4</x:v>
      </x:c>
      <x:c r="B49" s="6" t="str">
        <x:v>AI-native software development</x:v>
      </x:c>
      <x:c r="C49" s="6" t="str">
        <x:v>Intelligence</x:v>
      </x:c>
      <x:c r="D49" s="6" t="str">
        <x:v>Network World</x:v>
      </x:c>
      <x:c r="E49" s="6" t="str">
        <x:v>networkworld.com</x:v>
      </x:c>
      <x:c r="F49" s="6" t="str">
        <x:v>Specialist news</x:v>
      </x:c>
      <x:c r="G49" s="6" t="str">
        <x:v>Enterprise networks, edge, data-center AI and knowledge infrastructure.</x:v>
      </x:c>
      <x:c r="H49" s="6" t="str">
        <x:v>https://www.networkworld.com/</x:v>
      </x:c>
      <x:c r="I49" s="16" t="d">
        <x:v>2026-10-07T12:00:00.000Z</x:v>
      </x:c>
      <x:c r="J49" s="6" t="str">
        <x:v>https://www.networkworld.com/</x:v>
      </x:c>
      <x:c r="K49" s="6" t="str">
        <x:v>Recent dated coverage verified on the linked page.</x:v>
      </x:c>
    </x:row>
    <x:row r="50" ht="15" hidden="0" customHeight="1">
      <x:c r="A50" s="12" t="n">
        <x:v>5</x:v>
      </x:c>
      <x:c r="B50" s="6" t="str">
        <x:v>AI search and enterprise knowledge retrieval</x:v>
      </x:c>
      <x:c r="C50" s="6" t="str">
        <x:v>Intelligence</x:v>
      </x:c>
      <x:c r="D50" s="6" t="str">
        <x:v>VentureBeat</x:v>
      </x:c>
      <x:c r="E50" s="6" t="str">
        <x:v>venturebeat.com</x:v>
      </x:c>
      <x:c r="F50" s="6" t="str">
        <x:v>Specialist news</x:v>
      </x:c>
      <x:c r="G50" s="6" t="str">
        <x:v>Enterprise AI: agents, models and operating economics.</x:v>
      </x:c>
      <x:c r="H50" s="6" t="str">
        <x:v>https://venturebeat.com/</x:v>
      </x:c>
      <x:c r="I50" s="16" t="d">
        <x:v>2026-10-16T12:00:00.000Z</x:v>
      </x:c>
      <x:c r="J50" s="6" t="str">
        <x:v>https://venturebeat.com/</x:v>
      </x:c>
      <x:c r="K50" s="6" t="str">
        <x:v>Recent dated coverage verified on the linked page.</x:v>
      </x:c>
    </x:row>
    <x:row r="51" ht="15" hidden="0" customHeight="1">
      <x:c r="A51" s="12" t="n">
        <x:v>5</x:v>
      </x:c>
      <x:c r="B51" s="6" t="str">
        <x:v>AI search and enterprise knowledge retrieval</x:v>
      </x:c>
      <x:c r="C51" s="6" t="str">
        <x:v>Intelligence</x:v>
      </x:c>
      <x:c r="D51" s="6" t="str">
        <x:v>TechCrunch</x:v>
      </x:c>
      <x:c r="E51" s="6" t="str">
        <x:v>techcrunch.com</x:v>
      </x:c>
      <x:c r="F51" s="6" t="str">
        <x:v>Specialist news</x:v>
      </x:c>
      <x:c r="G51" s="6" t="str">
        <x:v>AI startups, product launches and business adoption.</x:v>
      </x:c>
      <x:c r="H51" s="6" t="str">
        <x:v>https://techcrunch.com/category/artificial-intelligence/</x:v>
      </x:c>
      <x:c r="I51" s="16" t="d">
        <x:v>2026-05-28T12:00:00.000Z</x:v>
      </x:c>
      <x:c r="J51" s="6" t="str">
        <x:v>https://techcrunch.com/2026/05/28/gleans-top-line-crosses-300m-as-ai-budget-cutting-becomes-its-major-selling-point/</x:v>
      </x:c>
      <x:c r="K51" s="6" t="str">
        <x:v>Recent dated coverage verified on the linked page.</x:v>
      </x:c>
    </x:row>
    <x:row r="52" ht="15" hidden="0" customHeight="1">
      <x:c r="A52" s="12" t="n">
        <x:v>5</x:v>
      </x:c>
      <x:c r="B52" s="6" t="str">
        <x:v>AI search and enterprise knowledge retrieval</x:v>
      </x:c>
      <x:c r="C52" s="6" t="str">
        <x:v>Intelligence</x:v>
      </x:c>
      <x:c r="D52" s="6" t="str">
        <x:v>The Decoder</x:v>
      </x:c>
      <x:c r="E52" s="6" t="str">
        <x:v>the-decoder.com</x:v>
      </x:c>
      <x:c r="F52" s="6" t="str">
        <x:v>Specialist news</x:v>
      </x:c>
      <x:c r="G52" s="6" t="str">
        <x:v>Models, multimodal capabilities and agent behavior.</x:v>
      </x:c>
      <x:c r="H52" s="6" t="str">
        <x:v>https://the-decoder.com/</x:v>
      </x:c>
      <x:c r="I52" s="16" t="d">
        <x:v>2026-10-16T12:00:00.000Z</x:v>
      </x:c>
      <x:c r="J52" s="6" t="str">
        <x:v>https://the-decoder.com/</x:v>
      </x:c>
      <x:c r="K52" s="6" t="str">
        <x:v>Recent dated coverage verified on the linked page.</x:v>
      </x:c>
    </x:row>
    <x:row r="53" ht="15" hidden="0" customHeight="1">
      <x:c r="A53" s="12" t="n">
        <x:v>5</x:v>
      </x:c>
      <x:c r="B53" s="6" t="str">
        <x:v>AI search and enterprise knowledge retrieval</x:v>
      </x:c>
      <x:c r="C53" s="6" t="str">
        <x:v>Intelligence</x:v>
      </x:c>
      <x:c r="D53" s="6" t="str">
        <x:v>The Register</x:v>
      </x:c>
      <x:c r="E53" s="6" t="str">
        <x:v>theregister.com</x:v>
      </x:c>
      <x:c r="F53" s="6" t="str">
        <x:v>Specialist news</x:v>
      </x:c>
      <x:c r="G53" s="6" t="str">
        <x:v>Enterprise AI, infrastructure, local models and deployment risks.</x:v>
      </x:c>
      <x:c r="H53" s="6" t="str">
        <x:v>https://www.theregister.com/ai_ml/</x:v>
      </x:c>
      <x:c r="I53" s="16" t="d">
        <x:v>2026-10-16T12:00:00.000Z</x:v>
      </x:c>
      <x:c r="J53" s="6" t="str">
        <x:v>https://www.theregister.com/ai-and-ml/2026/10/16/want-your-ai-chats-to-stay-private-brave-tees-up-end-to-end-encryption/5303462</x:v>
      </x:c>
      <x:c r="K53" s="6" t="str">
        <x:v>Recent dated coverage verified on the linked page.</x:v>
      </x:c>
    </x:row>
    <x:row r="54" ht="15" hidden="0" customHeight="1">
      <x:c r="A54" s="12" t="n">
        <x:v>5</x:v>
      </x:c>
      <x:c r="B54" s="6" t="str">
        <x:v>AI search and enterprise knowledge retrieval</x:v>
      </x:c>
      <x:c r="C54" s="6" t="str">
        <x:v>Intelligence</x:v>
      </x:c>
      <x:c r="D54" s="6" t="str">
        <x:v>InfoQ</x:v>
      </x:c>
      <x:c r="E54" s="6" t="str">
        <x:v>infoq.com</x:v>
      </x:c>
      <x:c r="F54" s="6" t="str">
        <x:v>Specialist news</x:v>
      </x:c>
      <x:c r="G54" s="6" t="str">
        <x:v>Production AI architecture, coding tools, retrieval and privacy.</x:v>
      </x:c>
      <x:c r="H54" s="6" t="str">
        <x:v>https://www.infoq.com/ai-ml-data-eng/</x:v>
      </x:c>
      <x:c r="I54" s="16" t="d">
        <x:v>2026-10-16T12:00:00.000Z</x:v>
      </x:c>
      <x:c r="J54" s="6" t="str">
        <x:v>https://www.infoq.com/ai-ml-data-eng/</x:v>
      </x:c>
      <x:c r="K54" s="6" t="str">
        <x:v>Recent dated coverage verified on the linked page.</x:v>
      </x:c>
    </x:row>
    <x:row r="55" ht="15" hidden="0" customHeight="1">
      <x:c r="A55" s="12" t="n">
        <x:v>5</x:v>
      </x:c>
      <x:c r="B55" s="6" t="str">
        <x:v>AI search and enterprise knowledge retrieval</x:v>
      </x:c>
      <x:c r="C55" s="6" t="str">
        <x:v>Intelligence</x:v>
      </x:c>
      <x:c r="D55" s="6" t="str">
        <x:v>CIO</x:v>
      </x:c>
      <x:c r="E55" s="6" t="str">
        <x:v>cio.com</x:v>
      </x:c>
      <x:c r="F55" s="6" t="str">
        <x:v>Specialist news</x:v>
      </x:c>
      <x:c r="G55" s="6" t="str">
        <x:v>Broad enterprise beat: AI purchasing, workflow redesign and governance.</x:v>
      </x:c>
      <x:c r="H55" s="6" t="str">
        <x:v>https://www.cio.com/</x:v>
      </x:c>
      <x:c r="I55" s="16" t="d">
        <x:v>2026-10-15T12:00:00.000Z</x:v>
      </x:c>
      <x:c r="J55" s="6" t="str">
        <x:v>https://www.cio.com/</x:v>
      </x:c>
      <x:c r="K55" s="6" t="str">
        <x:v>Recent dated coverage verified on the linked page.</x:v>
      </x:c>
    </x:row>
    <x:row r="56" ht="15" hidden="0" customHeight="1">
      <x:c r="A56" s="12" t="n">
        <x:v>5</x:v>
      </x:c>
      <x:c r="B56" s="6" t="str">
        <x:v>AI search and enterprise knowledge retrieval</x:v>
      </x:c>
      <x:c r="C56" s="6" t="str">
        <x:v>Intelligence</x:v>
      </x:c>
      <x:c r="D56" s="6" t="str">
        <x:v>SiliconANGLE</x:v>
      </x:c>
      <x:c r="E56" s="6" t="str">
        <x:v>siliconangle.com</x:v>
      </x:c>
      <x:c r="F56" s="6" t="str">
        <x:v>Specialist news</x:v>
      </x:c>
      <x:c r="G56" s="6" t="str">
        <x:v>Cloud and enterprise AI vendors, economics and infrastructure.</x:v>
      </x:c>
      <x:c r="H56" s="6" t="str">
        <x:v>https://siliconangle.com/</x:v>
      </x:c>
      <x:c r="I56" s="16" t="d">
        <x:v>2026-09-11T12:00:00.000Z</x:v>
      </x:c>
      <x:c r="J56" s="6" t="str">
        <x:v>https://siliconangle.com/</x:v>
      </x:c>
      <x:c r="K56" s="6" t="str">
        <x:v>Recent dated coverage verified on the linked page.</x:v>
      </x:c>
    </x:row>
    <x:row r="57" ht="15" hidden="0" customHeight="1">
      <x:c r="A57" s="12" t="n">
        <x:v>5</x:v>
      </x:c>
      <x:c r="B57" s="6" t="str">
        <x:v>AI search and enterprise knowledge retrieval</x:v>
      </x:c>
      <x:c r="C57" s="6" t="str">
        <x:v>Intelligence</x:v>
      </x:c>
      <x:c r="D57" s="6" t="str">
        <x:v>Ars Technica</x:v>
      </x:c>
      <x:c r="E57" s="6" t="str">
        <x:v>arstechnica.com</x:v>
      </x:c>
      <x:c r="F57" s="6" t="str">
        <x:v>Specialist news</x:v>
      </x:c>
      <x:c r="G57" s="6" t="str">
        <x:v>Broad technology beat: models, coding, AI hardware and limitations.</x:v>
      </x:c>
      <x:c r="H57" s="6" t="str">
        <x:v>https://arstechnica.com/ai/</x:v>
      </x:c>
      <x:c r="I57" s="16" t="d">
        <x:v>2026-10-16T12:00:00.000Z</x:v>
      </x:c>
      <x:c r="J57" s="6" t="str">
        <x:v>https://arstechnica.com/ai/</x:v>
      </x:c>
      <x:c r="K57" s="6" t="str">
        <x:v>Recent dated coverage verified on the linked page.</x:v>
      </x:c>
    </x:row>
    <x:row r="58" ht="15" hidden="0" customHeight="1">
      <x:c r="A58" s="12" t="n">
        <x:v>5</x:v>
      </x:c>
      <x:c r="B58" s="6" t="str">
        <x:v>AI search and enterprise knowledge retrieval</x:v>
      </x:c>
      <x:c r="C58" s="6" t="str">
        <x:v>Intelligence</x:v>
      </x:c>
      <x:c r="D58" s="6" t="str">
        <x:v>Computerworld</x:v>
      </x:c>
      <x:c r="E58" s="6" t="str">
        <x:v>computerworld.com</x:v>
      </x:c>
      <x:c r="F58" s="6" t="str">
        <x:v>Specialist news</x:v>
      </x:c>
      <x:c r="G58" s="6" t="str">
        <x:v>Enterprise applications, knowledge work and endpoint AI.</x:v>
      </x:c>
      <x:c r="H58" s="6" t="str">
        <x:v>https://www.computerworld.com/</x:v>
      </x:c>
      <x:c r="I58" s="16" t="d">
        <x:v>2026-10-15T12:00:00.000Z</x:v>
      </x:c>
      <x:c r="J58" s="6" t="str">
        <x:v>https://www.computerworld.com/</x:v>
      </x:c>
      <x:c r="K58" s="6" t="str">
        <x:v>Recent dated coverage verified on the linked page.</x:v>
      </x:c>
    </x:row>
    <x:row r="59" ht="15" hidden="0" customHeight="1">
      <x:c r="A59" s="12" t="n">
        <x:v>5</x:v>
      </x:c>
      <x:c r="B59" s="6" t="str">
        <x:v>AI search and enterprise knowledge retrieval</x:v>
      </x:c>
      <x:c r="C59" s="6" t="str">
        <x:v>Intelligence</x:v>
      </x:c>
      <x:c r="D59" s="6" t="str">
        <x:v>The New Stack</x:v>
      </x:c>
      <x:c r="E59" s="6" t="str">
        <x:v>thenewstack.io</x:v>
      </x:c>
      <x:c r="F59" s="6" t="str">
        <x:v>Specialist news</x:v>
      </x:c>
      <x:c r="G59" s="6" t="str">
        <x:v>Developer and cloud-native AI engineering and sensitive workloads.</x:v>
      </x:c>
      <x:c r="H59" s="6" t="str">
        <x:v>https://thenewstack.io/</x:v>
      </x:c>
      <x:c r="I59" s="16" t="d">
        <x:v>2026-09-28T12:00:00.000Z</x:v>
      </x:c>
      <x:c r="J59" s="6" t="str">
        <x:v>https://thenewstack.io/confidential-ai-sensitive-enterprise-data/</x:v>
      </x:c>
      <x:c r="K59" s="6" t="str">
        <x:v>Dated article verified in search index; direct retrieval access-restricted.</x:v>
      </x:c>
    </x:row>
    <x:row r="60" ht="15" hidden="0" customHeight="1">
      <x:c r="A60" s="12" t="n">
        <x:v>5</x:v>
      </x:c>
      <x:c r="B60" s="6" t="str">
        <x:v>AI search and enterprise knowledge retrieval</x:v>
      </x:c>
      <x:c r="C60" s="6" t="str">
        <x:v>Intelligence</x:v>
      </x:c>
      <x:c r="D60" s="6" t="str">
        <x:v>Network World</x:v>
      </x:c>
      <x:c r="E60" s="6" t="str">
        <x:v>networkworld.com</x:v>
      </x:c>
      <x:c r="F60" s="6" t="str">
        <x:v>Specialist news</x:v>
      </x:c>
      <x:c r="G60" s="6" t="str">
        <x:v>Enterprise networks, edge, data-center AI and knowledge infrastructure.</x:v>
      </x:c>
      <x:c r="H60" s="6" t="str">
        <x:v>https://www.networkworld.com/</x:v>
      </x:c>
      <x:c r="I60" s="16" t="d">
        <x:v>2026-10-07T12:00:00.000Z</x:v>
      </x:c>
      <x:c r="J60" s="6" t="str">
        <x:v>https://www.networkworld.com/</x:v>
      </x:c>
      <x:c r="K60" s="6" t="str">
        <x:v>Recent dated coverage verified on the linked page.</x:v>
      </x:c>
    </x:row>
    <x:row r="61" ht="15" hidden="0" customHeight="1">
      <x:c r="A61" s="12" t="n">
        <x:v>6</x:v>
      </x:c>
      <x:c r="B61" s="6" t="str">
        <x:v>AI accelerators and heterogeneous computing</x:v>
      </x:c>
      <x:c r="C61" s="6" t="str">
        <x:v>Compute &amp; trust</x:v>
      </x:c>
      <x:c r="D61" s="6" t="str">
        <x:v>EE Times</x:v>
      </x:c>
      <x:c r="E61" s="6" t="str">
        <x:v>eetimes.com</x:v>
      </x:c>
      <x:c r="F61" s="6" t="str">
        <x:v>Specialist news</x:v>
      </x:c>
      <x:c r="G61" s="6" t="str">
        <x:v>Semiconductors, embedded AI, optics and industrial electronics.</x:v>
      </x:c>
      <x:c r="H61" s="6" t="str">
        <x:v>https://www.eetimes.com/</x:v>
      </x:c>
      <x:c r="I61" s="16" t="d">
        <x:v>2026-10-16T12:00:00.000Z</x:v>
      </x:c>
      <x:c r="J61" s="6" t="str">
        <x:v>https://www.eetimes.com/</x:v>
      </x:c>
      <x:c r="K61" s="6" t="str">
        <x:v>Recent dated coverage verified on the linked page.</x:v>
      </x:c>
    </x:row>
    <x:row r="62" ht="15" hidden="0" customHeight="1">
      <x:c r="A62" s="12" t="n">
        <x:v>6</x:v>
      </x:c>
      <x:c r="B62" s="6" t="str">
        <x:v>AI accelerators and heterogeneous computing</x:v>
      </x:c>
      <x:c r="C62" s="6" t="str">
        <x:v>Compute &amp; trust</x:v>
      </x:c>
      <x:c r="D62" s="6" t="str">
        <x:v>Semiconductor Engineering</x:v>
      </x:c>
      <x:c r="E62" s="6" t="str">
        <x:v>semiengineering.com</x:v>
      </x:c>
      <x:c r="F62" s="6" t="str">
        <x:v>Specialist news</x:v>
      </x:c>
      <x:c r="G62" s="6" t="str">
        <x:v>Chiplets, packaging, photonics and AI-processor engineering.</x:v>
      </x:c>
      <x:c r="H62" s="6" t="str">
        <x:v>https://semiengineering.com/</x:v>
      </x:c>
      <x:c r="I62" s="16" t="d">
        <x:v>2026-10-15T12:00:00.000Z</x:v>
      </x:c>
      <x:c r="J62" s="6" t="str">
        <x:v>https://semiengineering.com/</x:v>
      </x:c>
      <x:c r="K62" s="6" t="str">
        <x:v>Recent dated coverage verified on the linked page.</x:v>
      </x:c>
    </x:row>
    <x:row r="63" ht="15" hidden="0" customHeight="1">
      <x:c r="A63" s="12" t="n">
        <x:v>6</x:v>
      </x:c>
      <x:c r="B63" s="6" t="str">
        <x:v>AI accelerators and heterogeneous computing</x:v>
      </x:c>
      <x:c r="C63" s="6" t="str">
        <x:v>Compute &amp; trust</x:v>
      </x:c>
      <x:c r="D63" s="6" t="str">
        <x:v>SemiWiki</x:v>
      </x:c>
      <x:c r="E63" s="6" t="str">
        <x:v>semiwiki.com</x:v>
      </x:c>
      <x:c r="F63" s="6" t="str">
        <x:v>Specialist news</x:v>
      </x:c>
      <x:c r="G63" s="6" t="str">
        <x:v>Chiplets, foundries, interconnect IP and AI systems.</x:v>
      </x:c>
      <x:c r="H63" s="6" t="str">
        <x:v>https://semiwiki.com/category/chiplet/</x:v>
      </x:c>
      <x:c r="I63" s="16" t="d">
        <x:v>2026-10-02T12:00:00.000Z</x:v>
      </x:c>
      <x:c r="J63" s="6" t="str">
        <x:v>https://semiwiki.com/semiconductor-manufacturers/intel/374240-intel-foundry-ai-performance-now-depends-on-the-whole-system/</x:v>
      </x:c>
      <x:c r="K63" s="6" t="str">
        <x:v>Recent dated coverage verified on the linked page.</x:v>
      </x:c>
    </x:row>
    <x:row r="64" ht="15" hidden="0" customHeight="1">
      <x:c r="A64" s="12" t="n">
        <x:v>6</x:v>
      </x:c>
      <x:c r="B64" s="6" t="str">
        <x:v>AI accelerators and heterogeneous computing</x:v>
      </x:c>
      <x:c r="C64" s="6" t="str">
        <x:v>Compute &amp; trust</x:v>
      </x:c>
      <x:c r="D64" s="6" t="str">
        <x:v>Electronic Design</x:v>
      </x:c>
      <x:c r="E64" s="6" t="str">
        <x:v>electronicdesign.com</x:v>
      </x:c>
      <x:c r="F64" s="6" t="str">
        <x:v>Specialist news</x:v>
      </x:c>
      <x:c r="G64" s="6" t="str">
        <x:v>Embedded processors, edge inference, power and sensors.</x:v>
      </x:c>
      <x:c r="H64" s="6" t="str">
        <x:v>https://www.electronicdesign.com/</x:v>
      </x:c>
      <x:c r="I64" s="16" t="d">
        <x:v>2026-10-16T12:00:00.000Z</x:v>
      </x:c>
      <x:c r="J64" s="6" t="str">
        <x:v>https://www.electronicdesign.com/</x:v>
      </x:c>
      <x:c r="K64" s="6" t="str">
        <x:v>Recent dated coverage verified on the linked page.</x:v>
      </x:c>
    </x:row>
    <x:row r="65" ht="15" hidden="0" customHeight="1">
      <x:c r="A65" s="12" t="n">
        <x:v>6</x:v>
      </x:c>
      <x:c r="B65" s="6" t="str">
        <x:v>AI accelerators and heterogeneous computing</x:v>
      </x:c>
      <x:c r="C65" s="6" t="str">
        <x:v>Compute &amp; trust</x:v>
      </x:c>
      <x:c r="D65" s="6" t="str">
        <x:v>ServeTheHome</x:v>
      </x:c>
      <x:c r="E65" s="6" t="str">
        <x:v>servethehome.com</x:v>
      </x:c>
      <x:c r="F65" s="6" t="str">
        <x:v>Specialist news</x:v>
      </x:c>
      <x:c r="G65" s="6" t="str">
        <x:v>Server, accelerator, memory, networking and edge hardware.</x:v>
      </x:c>
      <x:c r="H65" s="6" t="str">
        <x:v>https://www.servethehome.com/</x:v>
      </x:c>
      <x:c r="I65" s="16" t="d">
        <x:v>2026-10-12T12:00:00.000Z</x:v>
      </x:c>
      <x:c r="J65" s="6" t="str">
        <x:v>https://www.servethehome.com/</x:v>
      </x:c>
      <x:c r="K65" s="6" t="str">
        <x:v>Recent dated coverage verified on the linked page.</x:v>
      </x:c>
    </x:row>
    <x:row r="66" ht="15" hidden="0" customHeight="1">
      <x:c r="A66" s="12" t="n">
        <x:v>6</x:v>
      </x:c>
      <x:c r="B66" s="6" t="str">
        <x:v>AI accelerators and heterogeneous computing</x:v>
      </x:c>
      <x:c r="C66" s="6" t="str">
        <x:v>Compute &amp; trust</x:v>
      </x:c>
      <x:c r="D66" s="6" t="str">
        <x:v>Tom’s Hardware</x:v>
      </x:c>
      <x:c r="E66" s="6" t="str">
        <x:v>tomshardware.com</x:v>
      </x:c>
      <x:c r="F66" s="6" t="str">
        <x:v>Specialist news</x:v>
      </x:c>
      <x:c r="G66" s="6" t="str">
        <x:v>Processors, AI PCs, memory, packaging and suppliers.</x:v>
      </x:c>
      <x:c r="H66" s="6" t="str">
        <x:v>https://www.tomshardware.com/</x:v>
      </x:c>
      <x:c r="I66" s="16" t="d">
        <x:v>2026-10-16T12:00:00.000Z</x:v>
      </x:c>
      <x:c r="J66" s="6" t="str">
        <x:v>https://www.tomshardware.com/</x:v>
      </x:c>
      <x:c r="K66" s="6" t="str">
        <x:v>Recent dated coverage verified on the linked page.</x:v>
      </x:c>
    </x:row>
    <x:row r="67" ht="15" hidden="0" customHeight="1">
      <x:c r="A67" s="12" t="n">
        <x:v>6</x:v>
      </x:c>
      <x:c r="B67" s="6" t="str">
        <x:v>AI accelerators and heterogeneous computing</x:v>
      </x:c>
      <x:c r="C67" s="6" t="str">
        <x:v>Compute &amp; trust</x:v>
      </x:c>
      <x:c r="D67" s="6" t="str">
        <x:v>Data Center Dynamics</x:v>
      </x:c>
      <x:c r="E67" s="6" t="str">
        <x:v>datacenterdynamics.com</x:v>
      </x:c>
      <x:c r="F67" s="6" t="str">
        <x:v>Specialist news</x:v>
      </x:c>
      <x:c r="G67" s="6" t="str">
        <x:v>AI capacity, network optics, data-center builds and power constraints.</x:v>
      </x:c>
      <x:c r="H67" s="6" t="str">
        <x:v>https://www.datacenterdynamics.com/en/</x:v>
      </x:c>
      <x:c r="I67" s="16" t="d">
        <x:v>2026-10-15T12:00:00.000Z</x:v>
      </x:c>
      <x:c r="J67" s="6" t="str">
        <x:v>https://www.datacenterdynamics.com/en/</x:v>
      </x:c>
      <x:c r="K67" s="6" t="str">
        <x:v>Recent dated coverage verified on the linked page.</x:v>
      </x:c>
    </x:row>
    <x:row r="68" ht="15" hidden="0" customHeight="1">
      <x:c r="A68" s="12" t="n">
        <x:v>6</x:v>
      </x:c>
      <x:c r="B68" s="6" t="str">
        <x:v>AI accelerators and heterogeneous computing</x:v>
      </x:c>
      <x:c r="C68" s="6" t="str">
        <x:v>Compute &amp; trust</x:v>
      </x:c>
      <x:c r="D68" s="6" t="str">
        <x:v>eeNews Europe</x:v>
      </x:c>
      <x:c r="E68" s="6" t="str">
        <x:v>eenewseurope.com</x:v>
      </x:c>
      <x:c r="F68" s="6" t="str">
        <x:v>Specialist news</x:v>
      </x:c>
      <x:c r="G68" s="6" t="str">
        <x:v>Semiconductors, embedded AI and component supply chains.</x:v>
      </x:c>
      <x:c r="H68" s="6" t="str">
        <x:v>https://www.eenewseurope.com/en/</x:v>
      </x:c>
      <x:c r="I68" s="16" t="d">
        <x:v>2026-10-15T12:00:00.000Z</x:v>
      </x:c>
      <x:c r="J68" s="6" t="str">
        <x:v>https://www.eenewseurope.com/en/</x:v>
      </x:c>
      <x:c r="K68" s="6" t="str">
        <x:v>Recent dated coverage verified on the linked page.</x:v>
      </x:c>
    </x:row>
    <x:row r="69" ht="15" hidden="0" customHeight="1">
      <x:c r="A69" s="12" t="n">
        <x:v>6</x:v>
      </x:c>
      <x:c r="B69" s="6" t="str">
        <x:v>AI accelerators and heterogeneous computing</x:v>
      </x:c>
      <x:c r="C69" s="6" t="str">
        <x:v>Compute &amp; trust</x:v>
      </x:c>
      <x:c r="D69" s="6" t="str">
        <x:v>The Register</x:v>
      </x:c>
      <x:c r="E69" s="6" t="str">
        <x:v>theregister.com</x:v>
      </x:c>
      <x:c r="F69" s="6" t="str">
        <x:v>Specialist news</x:v>
      </x:c>
      <x:c r="G69" s="6" t="str">
        <x:v>Enterprise AI, infrastructure, local models and deployment risks.</x:v>
      </x:c>
      <x:c r="H69" s="6" t="str">
        <x:v>https://www.theregister.com/ai_ml/</x:v>
      </x:c>
      <x:c r="I69" s="16" t="d">
        <x:v>2026-10-16T12:00:00.000Z</x:v>
      </x:c>
      <x:c r="J69" s="6" t="str">
        <x:v>https://www.theregister.com/ai-and-ml/2026/10/16/want-your-ai-chats-to-stay-private-brave-tees-up-end-to-end-encryption/5303462</x:v>
      </x:c>
      <x:c r="K69" s="6" t="str">
        <x:v>Recent dated coverage verified on the linked page.</x:v>
      </x:c>
    </x:row>
    <x:row r="70" ht="15" hidden="0" customHeight="1">
      <x:c r="A70" s="12" t="n">
        <x:v>6</x:v>
      </x:c>
      <x:c r="B70" s="6" t="str">
        <x:v>AI accelerators and heterogeneous computing</x:v>
      </x:c>
      <x:c r="C70" s="6" t="str">
        <x:v>Compute &amp; trust</x:v>
      </x:c>
      <x:c r="D70" s="6" t="str">
        <x:v>Network World</x:v>
      </x:c>
      <x:c r="E70" s="6" t="str">
        <x:v>networkworld.com</x:v>
      </x:c>
      <x:c r="F70" s="6" t="str">
        <x:v>Specialist news</x:v>
      </x:c>
      <x:c r="G70" s="6" t="str">
        <x:v>Enterprise networks, edge, data-center AI and knowledge infrastructure.</x:v>
      </x:c>
      <x:c r="H70" s="6" t="str">
        <x:v>https://www.networkworld.com/</x:v>
      </x:c>
      <x:c r="I70" s="16" t="d">
        <x:v>2026-10-07T12:00:00.000Z</x:v>
      </x:c>
      <x:c r="J70" s="6" t="str">
        <x:v>https://www.networkworld.com/</x:v>
      </x:c>
      <x:c r="K70" s="6" t="str">
        <x:v>Recent dated coverage verified on the linked page.</x:v>
      </x:c>
    </x:row>
    <x:row r="71" ht="15" hidden="0" customHeight="1">
      <x:c r="A71" s="12" t="n">
        <x:v>6</x:v>
      </x:c>
      <x:c r="B71" s="6" t="str">
        <x:v>AI accelerators and heterogeneous computing</x:v>
      </x:c>
      <x:c r="C71" s="6" t="str">
        <x:v>Compute &amp; trust</x:v>
      </x:c>
      <x:c r="D71" s="6" t="str">
        <x:v>Fierce Network</x:v>
      </x:c>
      <x:c r="E71" s="6" t="str">
        <x:v>fierce-network.com</x:v>
      </x:c>
      <x:c r="F71" s="6" t="str">
        <x:v>Specialist news</x:v>
      </x:c>
      <x:c r="G71" s="6" t="str">
        <x:v>Private networks, telecom/satellite convergence and AI networking.</x:v>
      </x:c>
      <x:c r="H71" s="6" t="str">
        <x:v>https://www.fierce-network.com/</x:v>
      </x:c>
      <x:c r="I71" s="16" t="d">
        <x:v>2026-10-16T12:00:00.000Z</x:v>
      </x:c>
      <x:c r="J71" s="6" t="str">
        <x:v>https://www.fierce-network.com/</x:v>
      </x:c>
      <x:c r="K71" s="6" t="str">
        <x:v>Recent dated coverage verified on the linked page.</x:v>
      </x:c>
    </x:row>
    <x:row r="72" ht="15" hidden="0" customHeight="1">
      <x:c r="A72" s="12" t="n">
        <x:v>7</x:v>
      </x:c>
      <x:c r="B72" s="6" t="str">
        <x:v>Chiplets and advanced semiconductor packaging</x:v>
      </x:c>
      <x:c r="C72" s="6" t="str">
        <x:v>Compute &amp; trust</x:v>
      </x:c>
      <x:c r="D72" s="6" t="str">
        <x:v>EE Times</x:v>
      </x:c>
      <x:c r="E72" s="6" t="str">
        <x:v>eetimes.com</x:v>
      </x:c>
      <x:c r="F72" s="6" t="str">
        <x:v>Specialist news</x:v>
      </x:c>
      <x:c r="G72" s="6" t="str">
        <x:v>Semiconductors, embedded AI, optics and industrial electronics.</x:v>
      </x:c>
      <x:c r="H72" s="6" t="str">
        <x:v>https://www.eetimes.com/</x:v>
      </x:c>
      <x:c r="I72" s="16" t="d">
        <x:v>2026-10-16T12:00:00.000Z</x:v>
      </x:c>
      <x:c r="J72" s="6" t="str">
        <x:v>https://www.eetimes.com/</x:v>
      </x:c>
      <x:c r="K72" s="6" t="str">
        <x:v>Recent dated coverage verified on the linked page.</x:v>
      </x:c>
    </x:row>
    <x:row r="73" ht="15" hidden="0" customHeight="1">
      <x:c r="A73" s="12" t="n">
        <x:v>7</x:v>
      </x:c>
      <x:c r="B73" s="6" t="str">
        <x:v>Chiplets and advanced semiconductor packaging</x:v>
      </x:c>
      <x:c r="C73" s="6" t="str">
        <x:v>Compute &amp; trust</x:v>
      </x:c>
      <x:c r="D73" s="6" t="str">
        <x:v>Semiconductor Engineering</x:v>
      </x:c>
      <x:c r="E73" s="6" t="str">
        <x:v>semiengineering.com</x:v>
      </x:c>
      <x:c r="F73" s="6" t="str">
        <x:v>Specialist news</x:v>
      </x:c>
      <x:c r="G73" s="6" t="str">
        <x:v>Chiplets, packaging, photonics and AI-processor engineering.</x:v>
      </x:c>
      <x:c r="H73" s="6" t="str">
        <x:v>https://semiengineering.com/</x:v>
      </x:c>
      <x:c r="I73" s="16" t="d">
        <x:v>2026-10-15T12:00:00.000Z</x:v>
      </x:c>
      <x:c r="J73" s="6" t="str">
        <x:v>https://semiengineering.com/</x:v>
      </x:c>
      <x:c r="K73" s="6" t="str">
        <x:v>Recent dated coverage verified on the linked page.</x:v>
      </x:c>
    </x:row>
    <x:row r="74" ht="15" hidden="0" customHeight="1">
      <x:c r="A74" s="12" t="n">
        <x:v>7</x:v>
      </x:c>
      <x:c r="B74" s="6" t="str">
        <x:v>Chiplets and advanced semiconductor packaging</x:v>
      </x:c>
      <x:c r="C74" s="6" t="str">
        <x:v>Compute &amp; trust</x:v>
      </x:c>
      <x:c r="D74" s="6" t="str">
        <x:v>SemiWiki</x:v>
      </x:c>
      <x:c r="E74" s="6" t="str">
        <x:v>semiwiki.com</x:v>
      </x:c>
      <x:c r="F74" s="6" t="str">
        <x:v>Specialist news</x:v>
      </x:c>
      <x:c r="G74" s="6" t="str">
        <x:v>Chiplets, foundries, interconnect IP and AI systems.</x:v>
      </x:c>
      <x:c r="H74" s="6" t="str">
        <x:v>https://semiwiki.com/category/chiplet/</x:v>
      </x:c>
      <x:c r="I74" s="16" t="d">
        <x:v>2026-10-02T12:00:00.000Z</x:v>
      </x:c>
      <x:c r="J74" s="6" t="str">
        <x:v>https://semiwiki.com/semiconductor-manufacturers/intel/374240-intel-foundry-ai-performance-now-depends-on-the-whole-system/</x:v>
      </x:c>
      <x:c r="K74" s="6" t="str">
        <x:v>Recent dated coverage verified on the linked page.</x:v>
      </x:c>
    </x:row>
    <x:row r="75" ht="15" hidden="0" customHeight="1">
      <x:c r="A75" s="12" t="n">
        <x:v>7</x:v>
      </x:c>
      <x:c r="B75" s="6" t="str">
        <x:v>Chiplets and advanced semiconductor packaging</x:v>
      </x:c>
      <x:c r="C75" s="6" t="str">
        <x:v>Compute &amp; trust</x:v>
      </x:c>
      <x:c r="D75" s="6" t="str">
        <x:v>Electronic Design</x:v>
      </x:c>
      <x:c r="E75" s="6" t="str">
        <x:v>electronicdesign.com</x:v>
      </x:c>
      <x:c r="F75" s="6" t="str">
        <x:v>Specialist news</x:v>
      </x:c>
      <x:c r="G75" s="6" t="str">
        <x:v>Embedded processors, edge inference, power and sensors.</x:v>
      </x:c>
      <x:c r="H75" s="6" t="str">
        <x:v>https://www.electronicdesign.com/</x:v>
      </x:c>
      <x:c r="I75" s="16" t="d">
        <x:v>2026-10-16T12:00:00.000Z</x:v>
      </x:c>
      <x:c r="J75" s="6" t="str">
        <x:v>https://www.electronicdesign.com/</x:v>
      </x:c>
      <x:c r="K75" s="6" t="str">
        <x:v>Recent dated coverage verified on the linked page.</x:v>
      </x:c>
    </x:row>
    <x:row r="76" ht="15" hidden="0" customHeight="1">
      <x:c r="A76" s="12" t="n">
        <x:v>7</x:v>
      </x:c>
      <x:c r="B76" s="6" t="str">
        <x:v>Chiplets and advanced semiconductor packaging</x:v>
      </x:c>
      <x:c r="C76" s="6" t="str">
        <x:v>Compute &amp; trust</x:v>
      </x:c>
      <x:c r="D76" s="6" t="str">
        <x:v>ServeTheHome</x:v>
      </x:c>
      <x:c r="E76" s="6" t="str">
        <x:v>servethehome.com</x:v>
      </x:c>
      <x:c r="F76" s="6" t="str">
        <x:v>Specialist news</x:v>
      </x:c>
      <x:c r="G76" s="6" t="str">
        <x:v>Server, accelerator, memory, networking and edge hardware.</x:v>
      </x:c>
      <x:c r="H76" s="6" t="str">
        <x:v>https://www.servethehome.com/</x:v>
      </x:c>
      <x:c r="I76" s="16" t="d">
        <x:v>2026-10-12T12:00:00.000Z</x:v>
      </x:c>
      <x:c r="J76" s="6" t="str">
        <x:v>https://www.servethehome.com/</x:v>
      </x:c>
      <x:c r="K76" s="6" t="str">
        <x:v>Recent dated coverage verified on the linked page.</x:v>
      </x:c>
    </x:row>
    <x:row r="77" ht="15" hidden="0" customHeight="1">
      <x:c r="A77" s="12" t="n">
        <x:v>7</x:v>
      </x:c>
      <x:c r="B77" s="6" t="str">
        <x:v>Chiplets and advanced semiconductor packaging</x:v>
      </x:c>
      <x:c r="C77" s="6" t="str">
        <x:v>Compute &amp; trust</x:v>
      </x:c>
      <x:c r="D77" s="6" t="str">
        <x:v>Tom’s Hardware</x:v>
      </x:c>
      <x:c r="E77" s="6" t="str">
        <x:v>tomshardware.com</x:v>
      </x:c>
      <x:c r="F77" s="6" t="str">
        <x:v>Specialist news</x:v>
      </x:c>
      <x:c r="G77" s="6" t="str">
        <x:v>Processors, AI PCs, memory, packaging and suppliers.</x:v>
      </x:c>
      <x:c r="H77" s="6" t="str">
        <x:v>https://www.tomshardware.com/</x:v>
      </x:c>
      <x:c r="I77" s="16" t="d">
        <x:v>2026-10-16T12:00:00.000Z</x:v>
      </x:c>
      <x:c r="J77" s="6" t="str">
        <x:v>https://www.tomshardware.com/</x:v>
      </x:c>
      <x:c r="K77" s="6" t="str">
        <x:v>Recent dated coverage verified on the linked page.</x:v>
      </x:c>
    </x:row>
    <x:row r="78" ht="15" hidden="0" customHeight="1">
      <x:c r="A78" s="12" t="n">
        <x:v>7</x:v>
      </x:c>
      <x:c r="B78" s="6" t="str">
        <x:v>Chiplets and advanced semiconductor packaging</x:v>
      </x:c>
      <x:c r="C78" s="6" t="str">
        <x:v>Compute &amp; trust</x:v>
      </x:c>
      <x:c r="D78" s="6" t="str">
        <x:v>Data Center Dynamics</x:v>
      </x:c>
      <x:c r="E78" s="6" t="str">
        <x:v>datacenterdynamics.com</x:v>
      </x:c>
      <x:c r="F78" s="6" t="str">
        <x:v>Specialist news</x:v>
      </x:c>
      <x:c r="G78" s="6" t="str">
        <x:v>AI capacity, network optics, data-center builds and power constraints.</x:v>
      </x:c>
      <x:c r="H78" s="6" t="str">
        <x:v>https://www.datacenterdynamics.com/en/</x:v>
      </x:c>
      <x:c r="I78" s="16" t="d">
        <x:v>2026-10-15T12:00:00.000Z</x:v>
      </x:c>
      <x:c r="J78" s="6" t="str">
        <x:v>https://www.datacenterdynamics.com/en/</x:v>
      </x:c>
      <x:c r="K78" s="6" t="str">
        <x:v>Recent dated coverage verified on the linked page.</x:v>
      </x:c>
    </x:row>
    <x:row r="79" ht="15" hidden="0" customHeight="1">
      <x:c r="A79" s="12" t="n">
        <x:v>7</x:v>
      </x:c>
      <x:c r="B79" s="6" t="str">
        <x:v>Chiplets and advanced semiconductor packaging</x:v>
      </x:c>
      <x:c r="C79" s="6" t="str">
        <x:v>Compute &amp; trust</x:v>
      </x:c>
      <x:c r="D79" s="6" t="str">
        <x:v>eeNews Europe</x:v>
      </x:c>
      <x:c r="E79" s="6" t="str">
        <x:v>eenewseurope.com</x:v>
      </x:c>
      <x:c r="F79" s="6" t="str">
        <x:v>Specialist news</x:v>
      </x:c>
      <x:c r="G79" s="6" t="str">
        <x:v>Semiconductors, embedded AI and component supply chains.</x:v>
      </x:c>
      <x:c r="H79" s="6" t="str">
        <x:v>https://www.eenewseurope.com/en/</x:v>
      </x:c>
      <x:c r="I79" s="16" t="d">
        <x:v>2026-10-15T12:00:00.000Z</x:v>
      </x:c>
      <x:c r="J79" s="6" t="str">
        <x:v>https://www.eenewseurope.com/en/</x:v>
      </x:c>
      <x:c r="K79" s="6" t="str">
        <x:v>Recent dated coverage verified on the linked page.</x:v>
      </x:c>
    </x:row>
    <x:row r="80" ht="15" hidden="0" customHeight="1">
      <x:c r="A80" s="12" t="n">
        <x:v>7</x:v>
      </x:c>
      <x:c r="B80" s="6" t="str">
        <x:v>Chiplets and advanced semiconductor packaging</x:v>
      </x:c>
      <x:c r="C80" s="6" t="str">
        <x:v>Compute &amp; trust</x:v>
      </x:c>
      <x:c r="D80" s="6" t="str">
        <x:v>The Register</x:v>
      </x:c>
      <x:c r="E80" s="6" t="str">
        <x:v>theregister.com</x:v>
      </x:c>
      <x:c r="F80" s="6" t="str">
        <x:v>Specialist news</x:v>
      </x:c>
      <x:c r="G80" s="6" t="str">
        <x:v>Enterprise AI, infrastructure, local models and deployment risks.</x:v>
      </x:c>
      <x:c r="H80" s="6" t="str">
        <x:v>https://www.theregister.com/ai_ml/</x:v>
      </x:c>
      <x:c r="I80" s="16" t="d">
        <x:v>2026-10-16T12:00:00.000Z</x:v>
      </x:c>
      <x:c r="J80" s="6" t="str">
        <x:v>https://www.theregister.com/ai-and-ml/2026/10/16/want-your-ai-chats-to-stay-private-brave-tees-up-end-to-end-encryption/5303462</x:v>
      </x:c>
      <x:c r="K80" s="6" t="str">
        <x:v>Recent dated coverage verified on the linked page.</x:v>
      </x:c>
    </x:row>
    <x:row r="81" ht="15" hidden="0" customHeight="1">
      <x:c r="A81" s="12" t="n">
        <x:v>7</x:v>
      </x:c>
      <x:c r="B81" s="6" t="str">
        <x:v>Chiplets and advanced semiconductor packaging</x:v>
      </x:c>
      <x:c r="C81" s="6" t="str">
        <x:v>Compute &amp; trust</x:v>
      </x:c>
      <x:c r="D81" s="6" t="str">
        <x:v>Network World</x:v>
      </x:c>
      <x:c r="E81" s="6" t="str">
        <x:v>networkworld.com</x:v>
      </x:c>
      <x:c r="F81" s="6" t="str">
        <x:v>Specialist news</x:v>
      </x:c>
      <x:c r="G81" s="6" t="str">
        <x:v>Enterprise networks, edge, data-center AI and knowledge infrastructure.</x:v>
      </x:c>
      <x:c r="H81" s="6" t="str">
        <x:v>https://www.networkworld.com/</x:v>
      </x:c>
      <x:c r="I81" s="16" t="d">
        <x:v>2026-10-07T12:00:00.000Z</x:v>
      </x:c>
      <x:c r="J81" s="6" t="str">
        <x:v>https://www.networkworld.com/</x:v>
      </x:c>
      <x:c r="K81" s="6" t="str">
        <x:v>Recent dated coverage verified on the linked page.</x:v>
      </x:c>
    </x:row>
    <x:row r="82" ht="15" hidden="0" customHeight="1">
      <x:c r="A82" s="12" t="n">
        <x:v>7</x:v>
      </x:c>
      <x:c r="B82" s="6" t="str">
        <x:v>Chiplets and advanced semiconductor packaging</x:v>
      </x:c>
      <x:c r="C82" s="6" t="str">
        <x:v>Compute &amp; trust</x:v>
      </x:c>
      <x:c r="D82" s="6" t="str">
        <x:v>Photonics Spectra</x:v>
      </x:c>
      <x:c r="E82" s="6" t="str">
        <x:v>photonics.com</x:v>
      </x:c>
      <x:c r="F82" s="6" t="str">
        <x:v>Specialist news</x:v>
      </x:c>
      <x:c r="G82" s="6" t="str">
        <x:v>Silicon photonics, lasers and optical components.</x:v>
      </x:c>
      <x:c r="H82" s="6" t="str">
        <x:v>https://www.photonics.com/Photonics-Technology</x:v>
      </x:c>
      <x:c r="I82" s="16" t="d">
        <x:v>2026-10-16T12:00:00.000Z</x:v>
      </x:c>
      <x:c r="J82" s="6" t="str">
        <x:v>https://www.photonics.com/Photonics-Technology</x:v>
      </x:c>
      <x:c r="K82" s="6" t="str">
        <x:v>Dated silicon-photonics coverage verified in search index; some pages restrict retrieval.</x:v>
      </x:c>
    </x:row>
    <x:row r="83" ht="15" hidden="0" customHeight="1">
      <x:c r="A83" s="12" t="n">
        <x:v>8</x:v>
      </x:c>
      <x:c r="B83" s="6" t="str">
        <x:v>Silicon photonics and optical interconnects</x:v>
      </x:c>
      <x:c r="C83" s="6" t="str">
        <x:v>Compute &amp; trust</x:v>
      </x:c>
      <x:c r="D83" s="6" t="str">
        <x:v>Lightwave Online</x:v>
      </x:c>
      <x:c r="E83" s="6" t="str">
        <x:v>lightwaveonline.com</x:v>
      </x:c>
      <x:c r="F83" s="6" t="str">
        <x:v>Specialist news</x:v>
      </x:c>
      <x:c r="G83" s="6" t="str">
        <x:v>Optical networks, transceivers and co-packaged optics.</x:v>
      </x:c>
      <x:c r="H83" s="6" t="str">
        <x:v>https://www.lightwaveonline.com/</x:v>
      </x:c>
      <x:c r="I83" s="16" t="d">
        <x:v>2026-10-16T12:00:00.000Z</x:v>
      </x:c>
      <x:c r="J83" s="6" t="str">
        <x:v>https://www.lightwaveonline.com/</x:v>
      </x:c>
      <x:c r="K83" s="6" t="str">
        <x:v>Recent dated coverage verified on the linked page.</x:v>
      </x:c>
    </x:row>
    <x:row r="84" ht="15" hidden="0" customHeight="1">
      <x:c r="A84" s="12" t="n">
        <x:v>8</x:v>
      </x:c>
      <x:c r="B84" s="6" t="str">
        <x:v>Silicon photonics and optical interconnects</x:v>
      </x:c>
      <x:c r="C84" s="6" t="str">
        <x:v>Compute &amp; trust</x:v>
      </x:c>
      <x:c r="D84" s="6" t="str">
        <x:v>Photonics Spectra</x:v>
      </x:c>
      <x:c r="E84" s="6" t="str">
        <x:v>photonics.com</x:v>
      </x:c>
      <x:c r="F84" s="6" t="str">
        <x:v>Specialist news</x:v>
      </x:c>
      <x:c r="G84" s="6" t="str">
        <x:v>Silicon photonics, lasers and optical components.</x:v>
      </x:c>
      <x:c r="H84" s="6" t="str">
        <x:v>https://www.photonics.com/Photonics-Technology</x:v>
      </x:c>
      <x:c r="I84" s="16" t="d">
        <x:v>2026-10-16T12:00:00.000Z</x:v>
      </x:c>
      <x:c r="J84" s="6" t="str">
        <x:v>https://www.photonics.com/Photonics-Technology</x:v>
      </x:c>
      <x:c r="K84" s="6" t="str">
        <x:v>Dated silicon-photonics coverage verified in search index; some pages restrict retrieval.</x:v>
      </x:c>
    </x:row>
    <x:row r="85" ht="15" hidden="0" customHeight="1">
      <x:c r="A85" s="12" t="n">
        <x:v>8</x:v>
      </x:c>
      <x:c r="B85" s="6" t="str">
        <x:v>Silicon photonics and optical interconnects</x:v>
      </x:c>
      <x:c r="C85" s="6" t="str">
        <x:v>Compute &amp; trust</x:v>
      </x:c>
      <x:c r="D85" s="6" t="str">
        <x:v>EE Times</x:v>
      </x:c>
      <x:c r="E85" s="6" t="str">
        <x:v>eetimes.com</x:v>
      </x:c>
      <x:c r="F85" s="6" t="str">
        <x:v>Specialist news</x:v>
      </x:c>
      <x:c r="G85" s="6" t="str">
        <x:v>Semiconductors, embedded AI, optics and industrial electronics.</x:v>
      </x:c>
      <x:c r="H85" s="6" t="str">
        <x:v>https://www.eetimes.com/</x:v>
      </x:c>
      <x:c r="I85" s="16" t="d">
        <x:v>2026-10-16T12:00:00.000Z</x:v>
      </x:c>
      <x:c r="J85" s="6" t="str">
        <x:v>https://www.eetimes.com/</x:v>
      </x:c>
      <x:c r="K85" s="6" t="str">
        <x:v>Recent dated coverage verified on the linked page.</x:v>
      </x:c>
    </x:row>
    <x:row r="86" ht="15" hidden="0" customHeight="1">
      <x:c r="A86" s="12" t="n">
        <x:v>8</x:v>
      </x:c>
      <x:c r="B86" s="6" t="str">
        <x:v>Silicon photonics and optical interconnects</x:v>
      </x:c>
      <x:c r="C86" s="6" t="str">
        <x:v>Compute &amp; trust</x:v>
      </x:c>
      <x:c r="D86" s="6" t="str">
        <x:v>Semiconductor Engineering</x:v>
      </x:c>
      <x:c r="E86" s="6" t="str">
        <x:v>semiengineering.com</x:v>
      </x:c>
      <x:c r="F86" s="6" t="str">
        <x:v>Specialist news</x:v>
      </x:c>
      <x:c r="G86" s="6" t="str">
        <x:v>Chiplets, packaging, photonics and AI-processor engineering.</x:v>
      </x:c>
      <x:c r="H86" s="6" t="str">
        <x:v>https://semiengineering.com/</x:v>
      </x:c>
      <x:c r="I86" s="16" t="d">
        <x:v>2026-10-15T12:00:00.000Z</x:v>
      </x:c>
      <x:c r="J86" s="6" t="str">
        <x:v>https://semiengineering.com/</x:v>
      </x:c>
      <x:c r="K86" s="6" t="str">
        <x:v>Recent dated coverage verified on the linked page.</x:v>
      </x:c>
    </x:row>
    <x:row r="87" ht="15" hidden="0" customHeight="1">
      <x:c r="A87" s="12" t="n">
        <x:v>8</x:v>
      </x:c>
      <x:c r="B87" s="6" t="str">
        <x:v>Silicon photonics and optical interconnects</x:v>
      </x:c>
      <x:c r="C87" s="6" t="str">
        <x:v>Compute &amp; trust</x:v>
      </x:c>
      <x:c r="D87" s="6" t="str">
        <x:v>SemiWiki</x:v>
      </x:c>
      <x:c r="E87" s="6" t="str">
        <x:v>semiwiki.com</x:v>
      </x:c>
      <x:c r="F87" s="6" t="str">
        <x:v>Specialist news</x:v>
      </x:c>
      <x:c r="G87" s="6" t="str">
        <x:v>Chiplets, foundries, interconnect IP and AI systems.</x:v>
      </x:c>
      <x:c r="H87" s="6" t="str">
        <x:v>https://semiwiki.com/category/chiplet/</x:v>
      </x:c>
      <x:c r="I87" s="16" t="d">
        <x:v>2026-10-02T12:00:00.000Z</x:v>
      </x:c>
      <x:c r="J87" s="6" t="str">
        <x:v>https://semiwiki.com/semiconductor-manufacturers/intel/374240-intel-foundry-ai-performance-now-depends-on-the-whole-system/</x:v>
      </x:c>
      <x:c r="K87" s="6" t="str">
        <x:v>Recent dated coverage verified on the linked page.</x:v>
      </x:c>
    </x:row>
    <x:row r="88" ht="15" hidden="0" customHeight="1">
      <x:c r="A88" s="12" t="n">
        <x:v>8</x:v>
      </x:c>
      <x:c r="B88" s="6" t="str">
        <x:v>Silicon photonics and optical interconnects</x:v>
      </x:c>
      <x:c r="C88" s="6" t="str">
        <x:v>Compute &amp; trust</x:v>
      </x:c>
      <x:c r="D88" s="6" t="str">
        <x:v>Electronic Design</x:v>
      </x:c>
      <x:c r="E88" s="6" t="str">
        <x:v>electronicdesign.com</x:v>
      </x:c>
      <x:c r="F88" s="6" t="str">
        <x:v>Specialist news</x:v>
      </x:c>
      <x:c r="G88" s="6" t="str">
        <x:v>Embedded processors, edge inference, power and sensors.</x:v>
      </x:c>
      <x:c r="H88" s="6" t="str">
        <x:v>https://www.electronicdesign.com/</x:v>
      </x:c>
      <x:c r="I88" s="16" t="d">
        <x:v>2026-10-16T12:00:00.000Z</x:v>
      </x:c>
      <x:c r="J88" s="6" t="str">
        <x:v>https://www.electronicdesign.com/</x:v>
      </x:c>
      <x:c r="K88" s="6" t="str">
        <x:v>Recent dated coverage verified on the linked page.</x:v>
      </x:c>
    </x:row>
    <x:row r="89" ht="15" hidden="0" customHeight="1">
      <x:c r="A89" s="12" t="n">
        <x:v>8</x:v>
      </x:c>
      <x:c r="B89" s="6" t="str">
        <x:v>Silicon photonics and optical interconnects</x:v>
      </x:c>
      <x:c r="C89" s="6" t="str">
        <x:v>Compute &amp; trust</x:v>
      </x:c>
      <x:c r="D89" s="6" t="str">
        <x:v>Data Center Dynamics</x:v>
      </x:c>
      <x:c r="E89" s="6" t="str">
        <x:v>datacenterdynamics.com</x:v>
      </x:c>
      <x:c r="F89" s="6" t="str">
        <x:v>Specialist news</x:v>
      </x:c>
      <x:c r="G89" s="6" t="str">
        <x:v>AI capacity, network optics, data-center builds and power constraints.</x:v>
      </x:c>
      <x:c r="H89" s="6" t="str">
        <x:v>https://www.datacenterdynamics.com/en/</x:v>
      </x:c>
      <x:c r="I89" s="16" t="d">
        <x:v>2026-10-15T12:00:00.000Z</x:v>
      </x:c>
      <x:c r="J89" s="6" t="str">
        <x:v>https://www.datacenterdynamics.com/en/</x:v>
      </x:c>
      <x:c r="K89" s="6" t="str">
        <x:v>Recent dated coverage verified on the linked page.</x:v>
      </x:c>
    </x:row>
    <x:row r="90" ht="15" hidden="0" customHeight="1">
      <x:c r="A90" s="12" t="n">
        <x:v>8</x:v>
      </x:c>
      <x:c r="B90" s="6" t="str">
        <x:v>Silicon photonics and optical interconnects</x:v>
      </x:c>
      <x:c r="C90" s="6" t="str">
        <x:v>Compute &amp; trust</x:v>
      </x:c>
      <x:c r="D90" s="6" t="str">
        <x:v>eeNews Europe</x:v>
      </x:c>
      <x:c r="E90" s="6" t="str">
        <x:v>eenewseurope.com</x:v>
      </x:c>
      <x:c r="F90" s="6" t="str">
        <x:v>Specialist news</x:v>
      </x:c>
      <x:c r="G90" s="6" t="str">
        <x:v>Semiconductors, embedded AI and component supply chains.</x:v>
      </x:c>
      <x:c r="H90" s="6" t="str">
        <x:v>https://www.eenewseurope.com/en/</x:v>
      </x:c>
      <x:c r="I90" s="16" t="d">
        <x:v>2026-10-15T12:00:00.000Z</x:v>
      </x:c>
      <x:c r="J90" s="6" t="str">
        <x:v>https://www.eenewseurope.com/en/</x:v>
      </x:c>
      <x:c r="K90" s="6" t="str">
        <x:v>Recent dated coverage verified on the linked page.</x:v>
      </x:c>
    </x:row>
    <x:row r="91" ht="15" hidden="0" customHeight="1">
      <x:c r="A91" s="12" t="n">
        <x:v>8</x:v>
      </x:c>
      <x:c r="B91" s="6" t="str">
        <x:v>Silicon photonics and optical interconnects</x:v>
      </x:c>
      <x:c r="C91" s="6" t="str">
        <x:v>Compute &amp; trust</x:v>
      </x:c>
      <x:c r="D91" s="6" t="str">
        <x:v>Fierce Network</x:v>
      </x:c>
      <x:c r="E91" s="6" t="str">
        <x:v>fierce-network.com</x:v>
      </x:c>
      <x:c r="F91" s="6" t="str">
        <x:v>Specialist news</x:v>
      </x:c>
      <x:c r="G91" s="6" t="str">
        <x:v>Private networks, telecom/satellite convergence and AI networking.</x:v>
      </x:c>
      <x:c r="H91" s="6" t="str">
        <x:v>https://www.fierce-network.com/</x:v>
      </x:c>
      <x:c r="I91" s="16" t="d">
        <x:v>2026-10-16T12:00:00.000Z</x:v>
      </x:c>
      <x:c r="J91" s="6" t="str">
        <x:v>https://www.fierce-network.com/</x:v>
      </x:c>
      <x:c r="K91" s="6" t="str">
        <x:v>Recent dated coverage verified on the linked page.</x:v>
      </x:c>
    </x:row>
    <x:row r="92" ht="15" hidden="0" customHeight="1">
      <x:c r="A92" s="12" t="n">
        <x:v>8</x:v>
      </x:c>
      <x:c r="B92" s="6" t="str">
        <x:v>Silicon photonics and optical interconnects</x:v>
      </x:c>
      <x:c r="C92" s="6" t="str">
        <x:v>Compute &amp; trust</x:v>
      </x:c>
      <x:c r="D92" s="6" t="str">
        <x:v>The Register</x:v>
      </x:c>
      <x:c r="E92" s="6" t="str">
        <x:v>theregister.com</x:v>
      </x:c>
      <x:c r="F92" s="6" t="str">
        <x:v>Specialist news</x:v>
      </x:c>
      <x:c r="G92" s="6" t="str">
        <x:v>Enterprise AI, infrastructure, local models and deployment risks.</x:v>
      </x:c>
      <x:c r="H92" s="6" t="str">
        <x:v>https://www.theregister.com/ai_ml/</x:v>
      </x:c>
      <x:c r="I92" s="16" t="d">
        <x:v>2026-10-16T12:00:00.000Z</x:v>
      </x:c>
      <x:c r="J92" s="6" t="str">
        <x:v>https://www.theregister.com/ai-and-ml/2026/10/16/want-your-ai-chats-to-stay-private-brave-tees-up-end-to-end-encryption/5303462</x:v>
      </x:c>
      <x:c r="K92" s="6" t="str">
        <x:v>Recent dated coverage verified on the linked page.</x:v>
      </x:c>
    </x:row>
    <x:row r="93" ht="15" hidden="0" customHeight="1">
      <x:c r="A93" s="12" t="n">
        <x:v>8</x:v>
      </x:c>
      <x:c r="B93" s="6" t="str">
        <x:v>Silicon photonics and optical interconnects</x:v>
      </x:c>
      <x:c r="C93" s="6" t="str">
        <x:v>Compute &amp; trust</x:v>
      </x:c>
      <x:c r="D93" s="6" t="str">
        <x:v>Network World</x:v>
      </x:c>
      <x:c r="E93" s="6" t="str">
        <x:v>networkworld.com</x:v>
      </x:c>
      <x:c r="F93" s="6" t="str">
        <x:v>Specialist news</x:v>
      </x:c>
      <x:c r="G93" s="6" t="str">
        <x:v>Enterprise networks, edge, data-center AI and knowledge infrastructure.</x:v>
      </x:c>
      <x:c r="H93" s="6" t="str">
        <x:v>https://www.networkworld.com/</x:v>
      </x:c>
      <x:c r="I93" s="16" t="d">
        <x:v>2026-10-07T12:00:00.000Z</x:v>
      </x:c>
      <x:c r="J93" s="6" t="str">
        <x:v>https://www.networkworld.com/</x:v>
      </x:c>
      <x:c r="K93" s="6" t="str">
        <x:v>Recent dated coverage verified on the linked page.</x:v>
      </x:c>
    </x:row>
    <x:row r="94" ht="15" hidden="0" customHeight="1">
      <x:c r="A94" s="12" t="n">
        <x:v>9</x:v>
      </x:c>
      <x:c r="B94" s="6" t="str">
        <x:v>Post-quantum cryptography</x:v>
      </x:c>
      <x:c r="C94" s="6" t="str">
        <x:v>Compute &amp; trust</x:v>
      </x:c>
      <x:c r="D94" s="6" t="str">
        <x:v>SecurityWeek</x:v>
      </x:c>
      <x:c r="E94" s="6" t="str">
        <x:v>securityweek.com</x:v>
      </x:c>
      <x:c r="F94" s="6" t="str">
        <x:v>Specialist news</x:v>
      </x:c>
      <x:c r="G94" s="6" t="str">
        <x:v>Cryptography migration and enterprise security.</x:v>
      </x:c>
      <x:c r="H94" s="6" t="str">
        <x:v>https://www.securityweek.com/topics/post-quantum-cryptography/</x:v>
      </x:c>
      <x:c r="I94" s="16" t="d">
        <x:v>2026-08-14T12:00:00.000Z</x:v>
      </x:c>
      <x:c r="J94" s="6" t="str">
        <x:v>https://www.securityweek.com/topics/quantum-computing/</x:v>
      </x:c>
      <x:c r="K94" s="6" t="str">
        <x:v>Recent dated coverage verified on the linked page.</x:v>
      </x:c>
    </x:row>
    <x:row r="95" ht="15" hidden="0" customHeight="1">
      <x:c r="A95" s="12" t="n">
        <x:v>9</x:v>
      </x:c>
      <x:c r="B95" s="6" t="str">
        <x:v>Post-quantum cryptography</x:v>
      </x:c>
      <x:c r="C95" s="6" t="str">
        <x:v>Compute &amp; trust</x:v>
      </x:c>
      <x:c r="D95" s="6" t="str">
        <x:v>Dark Reading</x:v>
      </x:c>
      <x:c r="E95" s="6" t="str">
        <x:v>darkreading.com</x:v>
      </x:c>
      <x:c r="F95" s="6" t="str">
        <x:v>Specialist news</x:v>
      </x:c>
      <x:c r="G95" s="6" t="str">
        <x:v>Enterprise data protection and post-quantum readiness.</x:v>
      </x:c>
      <x:c r="H95" s="6" t="str">
        <x:v>https://www.darkreading.com/</x:v>
      </x:c>
      <x:c r="I95" s="16" t="d">
        <x:v>2026-08-11T12:00:00.000Z</x:v>
      </x:c>
      <x:c r="J95" s="6" t="str">
        <x:v>https://www.darkreading.com/cyber-risk/post-quantum-readiness-where-to-start-key-strategies-and-what-to-avoid</x:v>
      </x:c>
      <x:c r="K95" s="6" t="str">
        <x:v>Recent dated coverage verified on the linked page.</x:v>
      </x:c>
    </x:row>
    <x:row r="96" ht="15" hidden="0" customHeight="1">
      <x:c r="A96" s="12" t="n">
        <x:v>9</x:v>
      </x:c>
      <x:c r="B96" s="6" t="str">
        <x:v>Post-quantum cryptography</x:v>
      </x:c>
      <x:c r="C96" s="6" t="str">
        <x:v>Compute &amp; trust</x:v>
      </x:c>
      <x:c r="D96" s="6" t="str">
        <x:v>Help Net Security</x:v>
      </x:c>
      <x:c r="E96" s="6" t="str">
        <x:v>helpnetsecurity.com</x:v>
      </x:c>
      <x:c r="F96" s="6" t="str">
        <x:v>Specialist news</x:v>
      </x:c>
      <x:c r="G96" s="6" t="str">
        <x:v>Cryptography, sensitive data and implementation guidance.</x:v>
      </x:c>
      <x:c r="H96" s="6" t="str">
        <x:v>https://www.helpnetsecurity.com/</x:v>
      </x:c>
      <x:c r="I96" s="16" t="d">
        <x:v>2026-08-12T12:00:00.000Z</x:v>
      </x:c>
      <x:c r="J96" s="6" t="str">
        <x:v>https://www.helpnetsecurity.com/2026/08/12/christopher-smith-quantus-post-quantum-migration/</x:v>
      </x:c>
      <x:c r="K96" s="6" t="str">
        <x:v>Recent dated coverage verified on the linked page.</x:v>
      </x:c>
    </x:row>
    <x:row r="97" ht="15" hidden="0" customHeight="1">
      <x:c r="A97" s="12" t="n">
        <x:v>9</x:v>
      </x:c>
      <x:c r="B97" s="6" t="str">
        <x:v>Post-quantum cryptography</x:v>
      </x:c>
      <x:c r="C97" s="6" t="str">
        <x:v>Compute &amp; trust</x:v>
      </x:c>
      <x:c r="D97" s="6" t="str">
        <x:v>BleepingComputer</x:v>
      </x:c>
      <x:c r="E97" s="6" t="str">
        <x:v>bleepingcomputer.com</x:v>
      </x:c>
      <x:c r="F97" s="6" t="str">
        <x:v>Specialist news</x:v>
      </x:c>
      <x:c r="G97" s="6" t="str">
        <x:v>Quantum-safe platform changes and practical security.</x:v>
      </x:c>
      <x:c r="H97" s="6" t="str">
        <x:v>https://www.bleepingcomputer.com/tag/post-quantum-cryptography/</x:v>
      </x:c>
      <x:c r="I97" s="16" t="d">
        <x:v>2026-06-30T12:00:00.000Z</x:v>
      </x:c>
      <x:c r="J97" s="6" t="str">
        <x:v>https://www.bleepingcomputer.com/news/microsoft/microsoft-accelerates-quantum-safe-roadmap-as-risks-grow/amp/</x:v>
      </x:c>
      <x:c r="K97" s="6" t="str">
        <x:v>Recent dated coverage verified on the linked page.</x:v>
      </x:c>
    </x:row>
    <x:row r="98" ht="15" hidden="0" customHeight="1">
      <x:c r="A98" s="12" t="n">
        <x:v>9</x:v>
      </x:c>
      <x:c r="B98" s="6" t="str">
        <x:v>Post-quantum cryptography</x:v>
      </x:c>
      <x:c r="C98" s="6" t="str">
        <x:v>Compute &amp; trust</x:v>
      </x:c>
      <x:c r="D98" s="6" t="str">
        <x:v>CSO Online</x:v>
      </x:c>
      <x:c r="E98" s="6" t="str">
        <x:v>csoonline.com</x:v>
      </x:c>
      <x:c r="F98" s="6" t="str">
        <x:v>Specialist news</x:v>
      </x:c>
      <x:c r="G98" s="6" t="str">
        <x:v>Encryption, identity, sensitive data and CISO priorities.</x:v>
      </x:c>
      <x:c r="H98" s="6" t="str">
        <x:v>https://www.csoonline.com/encryption/</x:v>
      </x:c>
      <x:c r="I98" s="16" t="d">
        <x:v>2026-10-08T12:00:00.000Z</x:v>
      </x:c>
      <x:c r="J98" s="6" t="str">
        <x:v>https://www.csoonline.com/news-analysis/</x:v>
      </x:c>
      <x:c r="K98" s="6" t="str">
        <x:v>Recent dated coverage verified on the linked page.</x:v>
      </x:c>
    </x:row>
    <x:row r="99" ht="15" hidden="0" customHeight="1">
      <x:c r="A99" s="12" t="n">
        <x:v>9</x:v>
      </x:c>
      <x:c r="B99" s="6" t="str">
        <x:v>Post-quantum cryptography</x:v>
      </x:c>
      <x:c r="C99" s="6" t="str">
        <x:v>Compute &amp; trust</x:v>
      </x:c>
      <x:c r="D99" s="6" t="str">
        <x:v>Infosecurity Magazine</x:v>
      </x:c>
      <x:c r="E99" s="6" t="str">
        <x:v>infosecurity-magazine.com</x:v>
      </x:c>
      <x:c r="F99" s="6" t="str">
        <x:v>Specialist news</x:v>
      </x:c>
      <x:c r="G99" s="6" t="str">
        <x:v>PQC products, certificates and enterprise security.</x:v>
      </x:c>
      <x:c r="H99" s="6" t="str">
        <x:v>https://www.infosecurity-magazine.com/digital-signatures-and-certificates/</x:v>
      </x:c>
      <x:c r="I99" s="16" t="d">
        <x:v>2026-10-08T12:00:00.000Z</x:v>
      </x:c>
      <x:c r="J99" s="6" t="str">
        <x:v>https://www.infosecurity-magazine.com/digital-signatures-and-certificates/</x:v>
      </x:c>
      <x:c r="K99" s="6" t="str">
        <x:v>Dated CISA/PQC coverage verified in search index; direct site access restricted.</x:v>
      </x:c>
    </x:row>
    <x:row r="100" ht="15" hidden="0" customHeight="1">
      <x:c r="A100" s="12" t="n">
        <x:v>9</x:v>
      </x:c>
      <x:c r="B100" s="6" t="str">
        <x:v>Post-quantum cryptography</x:v>
      </x:c>
      <x:c r="C100" s="6" t="str">
        <x:v>Compute &amp; trust</x:v>
      </x:c>
      <x:c r="D100" s="6" t="str">
        <x:v>The Quantum Insider</x:v>
      </x:c>
      <x:c r="E100" s="6" t="str">
        <x:v>thequantuminsider.com</x:v>
      </x:c>
      <x:c r="F100" s="6" t="str">
        <x:v>Specialist news</x:v>
      </x:c>
      <x:c r="G100" s="6" t="str">
        <x:v>Quantum security vendors and migration programs.</x:v>
      </x:c>
      <x:c r="H100" s="6" t="str">
        <x:v>https://thequantuminsider.com/</x:v>
      </x:c>
      <x:c r="I100" s="16" t="d">
        <x:v>2026-01-06T12:00:00.000Z</x:v>
      </x:c>
      <x:c r="J100" s="6" t="str">
        <x:v>https://thequantuminsider.com/2026/01/06/after-a-year-of-quantum-awareness-2026-becomes-the-year-of-quantum-security/</x:v>
      </x:c>
      <x:c r="K100" s="6" t="str">
        <x:v>Recent dated coverage verified on the linked page.</x:v>
      </x:c>
    </x:row>
    <x:row r="101" ht="15" hidden="0" customHeight="1">
      <x:c r="A101" s="12" t="n">
        <x:v>9</x:v>
      </x:c>
      <x:c r="B101" s="6" t="str">
        <x:v>Post-quantum cryptography</x:v>
      </x:c>
      <x:c r="C101" s="6" t="str">
        <x:v>Compute &amp; trust</x:v>
      </x:c>
      <x:c r="D101" s="6" t="str">
        <x:v>PostQuantum</x:v>
      </x:c>
      <x:c r="E101" s="6" t="str">
        <x:v>postquantum.com</x:v>
      </x:c>
      <x:c r="F101" s="6" t="str">
        <x:v>Specialist news</x:v>
      </x:c>
      <x:c r="G101" s="6" t="str">
        <x:v>Specialist quantum-security deployments and industry news.</x:v>
      </x:c>
      <x:c r="H101" s="6" t="str">
        <x:v>https://postquantum.com/</x:v>
      </x:c>
      <x:c r="I101" s="16" t="d">
        <x:v>2025-10-29T12:00:00.000Z</x:v>
      </x:c>
      <x:c r="J101" s="6" t="str">
        <x:v>https://postquantum.com/industry-news/cloudflare-pqc-majority-traffic/</x:v>
      </x:c>
      <x:c r="K101" s="6" t="str">
        <x:v>Recent dated coverage verified on the linked page.</x:v>
      </x:c>
    </x:row>
    <x:row r="102" ht="15" hidden="0" customHeight="1">
      <x:c r="A102" s="12" t="n">
        <x:v>9</x:v>
      </x:c>
      <x:c r="B102" s="6" t="str">
        <x:v>Post-quantum cryptography</x:v>
      </x:c>
      <x:c r="C102" s="6" t="str">
        <x:v>Compute &amp; trust</x:v>
      </x:c>
      <x:c r="D102" s="6" t="str">
        <x:v>NIST PQC</x:v>
      </x:c>
      <x:c r="E102" s="6" t="str">
        <x:v>nist.gov</x:v>
      </x:c>
      <x:c r="F102" s="6" t="str">
        <x:v>Standards and research updates</x:v>
      </x:c>
      <x:c r="G102" s="6" t="str">
        <x:v>Algorithm standards and implementation updates.</x:v>
      </x:c>
      <x:c r="H102" s="6" t="str">
        <x:v>https://www.nist.gov/pqc</x:v>
      </x:c>
      <x:c r="I102" s="16" t="d">
        <x:v>2026-07-28T12:00:00.000Z</x:v>
      </x:c>
      <x:c r="J102" s="6" t="str">
        <x:v>https://www.nist.gov/pqc</x:v>
      </x:c>
      <x:c r="K102" s="6" t="str">
        <x:v>Recent dated coverage verified on the linked page.</x:v>
      </x:c>
    </x:row>
    <x:row r="103" ht="15" hidden="0" customHeight="1">
      <x:c r="A103" s="12" t="n">
        <x:v>9</x:v>
      </x:c>
      <x:c r="B103" s="6" t="str">
        <x:v>Post-quantum cryptography</x:v>
      </x:c>
      <x:c r="C103" s="6" t="str">
        <x:v>Compute &amp; trust</x:v>
      </x:c>
      <x:c r="D103" s="6" t="str">
        <x:v>Cloudflare Blog</x:v>
      </x:c>
      <x:c r="E103" s="6" t="str">
        <x:v>blog.cloudflare.com</x:v>
      </x:c>
      <x:c r="F103" s="6" t="str">
        <x:v>Vendor engineering news</x:v>
      </x:c>
      <x:c r="G103" s="6" t="str">
        <x:v>Measured PQC rollout and cloud-security engineering.</x:v>
      </x:c>
      <x:c r="H103" s="6" t="str">
        <x:v>https://blog.cloudflare.com/</x:v>
      </x:c>
      <x:c r="I103" s="16" t="d">
        <x:v>2026-04-07T12:00:00.000Z</x:v>
      </x:c>
      <x:c r="J103" s="6" t="str">
        <x:v>https://blog.cloudflare.com/post-quantum-roadmap/</x:v>
      </x:c>
      <x:c r="K103" s="6" t="str">
        <x:v>Recent dated coverage verified on the linked page.</x:v>
      </x:c>
    </x:row>
    <x:row r="104" ht="15" hidden="0" customHeight="1">
      <x:c r="A104" s="12" t="n">
        <x:v>9</x:v>
      </x:c>
      <x:c r="B104" s="6" t="str">
        <x:v>Post-quantum cryptography</x:v>
      </x:c>
      <x:c r="C104" s="6" t="str">
        <x:v>Compute &amp; trust</x:v>
      </x:c>
      <x:c r="D104" s="6" t="str">
        <x:v>The Register</x:v>
      </x:c>
      <x:c r="E104" s="6" t="str">
        <x:v>theregister.com</x:v>
      </x:c>
      <x:c r="F104" s="6" t="str">
        <x:v>Specialist news</x:v>
      </x:c>
      <x:c r="G104" s="6" t="str">
        <x:v>Enterprise AI, infrastructure, local models and deployment risks.</x:v>
      </x:c>
      <x:c r="H104" s="6" t="str">
        <x:v>https://www.theregister.com/ai_ml/</x:v>
      </x:c>
      <x:c r="I104" s="16" t="d">
        <x:v>2026-10-16T12:00:00.000Z</x:v>
      </x:c>
      <x:c r="J104" s="6" t="str">
        <x:v>https://www.theregister.com/ai-and-ml/2026/10/16/want-your-ai-chats-to-stay-private-brave-tees-up-end-to-end-encryption/5303462</x:v>
      </x:c>
      <x:c r="K104" s="6" t="str">
        <x:v>Recent dated coverage verified on the linked page.</x:v>
      </x:c>
    </x:row>
    <x:row r="105" ht="15" hidden="0" customHeight="1">
      <x:c r="A105" s="12" t="n">
        <x:v>10</x:v>
      </x:c>
      <x:c r="B105" s="6" t="str">
        <x:v>Confidential computing and privacy-preserving AI</x:v>
      </x:c>
      <x:c r="C105" s="6" t="str">
        <x:v>Compute &amp; trust</x:v>
      </x:c>
      <x:c r="D105" s="6" t="str">
        <x:v>Confidential Computing Consortium</x:v>
      </x:c>
      <x:c r="E105" s="6" t="str">
        <x:v>confidentialcomputing.io</x:v>
      </x:c>
      <x:c r="F105" s="6" t="str">
        <x:v>Industry association updates</x:v>
      </x:c>
      <x:c r="G105" s="6" t="str">
        <x:v>Attestation, confidential AI and deployment research.</x:v>
      </x:c>
      <x:c r="H105" s="6" t="str">
        <x:v>https://confidentialcomputing.io/</x:v>
      </x:c>
      <x:c r="I105" s="16" t="d">
        <x:v>2026-01-06T12:00:00.000Z</x:v>
      </x:c>
      <x:c r="J105" s="6" t="str">
        <x:v>https://confidentialcomputing.io/2026/01/06/ccc-outlook-for-2026-a-message-from-executive-director-mike-bursell/</x:v>
      </x:c>
      <x:c r="K105" s="6" t="str">
        <x:v>Recent dated coverage verified on the linked page.</x:v>
      </x:c>
    </x:row>
    <x:row r="106" ht="15" hidden="0" customHeight="1">
      <x:c r="A106" s="12" t="n">
        <x:v>10</x:v>
      </x:c>
      <x:c r="B106" s="6" t="str">
        <x:v>Confidential computing and privacy-preserving AI</x:v>
      </x:c>
      <x:c r="C106" s="6" t="str">
        <x:v>Compute &amp; trust</x:v>
      </x:c>
      <x:c r="D106" s="6" t="str">
        <x:v>The Register</x:v>
      </x:c>
      <x:c r="E106" s="6" t="str">
        <x:v>theregister.com</x:v>
      </x:c>
      <x:c r="F106" s="6" t="str">
        <x:v>Specialist news</x:v>
      </x:c>
      <x:c r="G106" s="6" t="str">
        <x:v>Enterprise AI, infrastructure, local models and deployment risks.</x:v>
      </x:c>
      <x:c r="H106" s="6" t="str">
        <x:v>https://www.theregister.com/ai_ml/</x:v>
      </x:c>
      <x:c r="I106" s="16" t="d">
        <x:v>2026-10-16T12:00:00.000Z</x:v>
      </x:c>
      <x:c r="J106" s="6" t="str">
        <x:v>https://www.theregister.com/ai-and-ml/2026/10/16/want-your-ai-chats-to-stay-private-brave-tees-up-end-to-end-encryption/5303462</x:v>
      </x:c>
      <x:c r="K106" s="6" t="str">
        <x:v>Recent dated coverage verified on the linked page.</x:v>
      </x:c>
    </x:row>
    <x:row r="107" ht="15" hidden="0" customHeight="1">
      <x:c r="A107" s="12" t="n">
        <x:v>10</x:v>
      </x:c>
      <x:c r="B107" s="6" t="str">
        <x:v>Confidential computing and privacy-preserving AI</x:v>
      </x:c>
      <x:c r="C107" s="6" t="str">
        <x:v>Compute &amp; trust</x:v>
      </x:c>
      <x:c r="D107" s="6" t="str">
        <x:v>InfoQ</x:v>
      </x:c>
      <x:c r="E107" s="6" t="str">
        <x:v>infoq.com</x:v>
      </x:c>
      <x:c r="F107" s="6" t="str">
        <x:v>Specialist news</x:v>
      </x:c>
      <x:c r="G107" s="6" t="str">
        <x:v>Production AI architecture, coding tools, retrieval and privacy.</x:v>
      </x:c>
      <x:c r="H107" s="6" t="str">
        <x:v>https://www.infoq.com/ai-ml-data-eng/</x:v>
      </x:c>
      <x:c r="I107" s="16" t="d">
        <x:v>2026-10-16T12:00:00.000Z</x:v>
      </x:c>
      <x:c r="J107" s="6" t="str">
        <x:v>https://www.infoq.com/ai-ml-data-eng/</x:v>
      </x:c>
      <x:c r="K107" s="6" t="str">
        <x:v>Recent dated coverage verified on the linked page.</x:v>
      </x:c>
    </x:row>
    <x:row r="108" ht="15" hidden="0" customHeight="1">
      <x:c r="A108" s="12" t="n">
        <x:v>10</x:v>
      </x:c>
      <x:c r="B108" s="6" t="str">
        <x:v>Confidential computing and privacy-preserving AI</x:v>
      </x:c>
      <x:c r="C108" s="6" t="str">
        <x:v>Compute &amp; trust</x:v>
      </x:c>
      <x:c r="D108" s="6" t="str">
        <x:v>The New Stack</x:v>
      </x:c>
      <x:c r="E108" s="6" t="str">
        <x:v>thenewstack.io</x:v>
      </x:c>
      <x:c r="F108" s="6" t="str">
        <x:v>Specialist news</x:v>
      </x:c>
      <x:c r="G108" s="6" t="str">
        <x:v>Developer and cloud-native AI engineering and sensitive workloads.</x:v>
      </x:c>
      <x:c r="H108" s="6" t="str">
        <x:v>https://thenewstack.io/</x:v>
      </x:c>
      <x:c r="I108" s="16" t="d">
        <x:v>2026-09-28T12:00:00.000Z</x:v>
      </x:c>
      <x:c r="J108" s="6" t="str">
        <x:v>https://thenewstack.io/confidential-ai-sensitive-enterprise-data/</x:v>
      </x:c>
      <x:c r="K108" s="6" t="str">
        <x:v>Dated article verified in search index; direct retrieval access-restricted.</x:v>
      </x:c>
    </x:row>
    <x:row r="109" ht="15" hidden="0" customHeight="1">
      <x:c r="A109" s="12" t="n">
        <x:v>10</x:v>
      </x:c>
      <x:c r="B109" s="6" t="str">
        <x:v>Confidential computing and privacy-preserving AI</x:v>
      </x:c>
      <x:c r="C109" s="6" t="str">
        <x:v>Compute &amp; trust</x:v>
      </x:c>
      <x:c r="D109" s="6" t="str">
        <x:v>SecurityWeek</x:v>
      </x:c>
      <x:c r="E109" s="6" t="str">
        <x:v>securityweek.com</x:v>
      </x:c>
      <x:c r="F109" s="6" t="str">
        <x:v>Specialist news</x:v>
      </x:c>
      <x:c r="G109" s="6" t="str">
        <x:v>Cryptography migration and enterprise security.</x:v>
      </x:c>
      <x:c r="H109" s="6" t="str">
        <x:v>https://www.securityweek.com/topics/post-quantum-cryptography/</x:v>
      </x:c>
      <x:c r="I109" s="16" t="d">
        <x:v>2026-08-14T12:00:00.000Z</x:v>
      </x:c>
      <x:c r="J109" s="6" t="str">
        <x:v>https://www.securityweek.com/topics/quantum-computing/</x:v>
      </x:c>
      <x:c r="K109" s="6" t="str">
        <x:v>Recent dated coverage verified on the linked page.</x:v>
      </x:c>
    </x:row>
    <x:row r="110" ht="15" hidden="0" customHeight="1">
      <x:c r="A110" s="12" t="n">
        <x:v>10</x:v>
      </x:c>
      <x:c r="B110" s="6" t="str">
        <x:v>Confidential computing and privacy-preserving AI</x:v>
      </x:c>
      <x:c r="C110" s="6" t="str">
        <x:v>Compute &amp; trust</x:v>
      </x:c>
      <x:c r="D110" s="6" t="str">
        <x:v>Dark Reading</x:v>
      </x:c>
      <x:c r="E110" s="6" t="str">
        <x:v>darkreading.com</x:v>
      </x:c>
      <x:c r="F110" s="6" t="str">
        <x:v>Specialist news</x:v>
      </x:c>
      <x:c r="G110" s="6" t="str">
        <x:v>Enterprise data protection and post-quantum readiness.</x:v>
      </x:c>
      <x:c r="H110" s="6" t="str">
        <x:v>https://www.darkreading.com/</x:v>
      </x:c>
      <x:c r="I110" s="16" t="d">
        <x:v>2026-08-11T12:00:00.000Z</x:v>
      </x:c>
      <x:c r="J110" s="6" t="str">
        <x:v>https://www.darkreading.com/cyber-risk/post-quantum-readiness-where-to-start-key-strategies-and-what-to-avoid</x:v>
      </x:c>
      <x:c r="K110" s="6" t="str">
        <x:v>Recent dated coverage verified on the linked page.</x:v>
      </x:c>
    </x:row>
    <x:row r="111" ht="15" hidden="0" customHeight="1">
      <x:c r="A111" s="12" t="n">
        <x:v>10</x:v>
      </x:c>
      <x:c r="B111" s="6" t="str">
        <x:v>Confidential computing and privacy-preserving AI</x:v>
      </x:c>
      <x:c r="C111" s="6" t="str">
        <x:v>Compute &amp; trust</x:v>
      </x:c>
      <x:c r="D111" s="6" t="str">
        <x:v>Help Net Security</x:v>
      </x:c>
      <x:c r="E111" s="6" t="str">
        <x:v>helpnetsecurity.com</x:v>
      </x:c>
      <x:c r="F111" s="6" t="str">
        <x:v>Specialist news</x:v>
      </x:c>
      <x:c r="G111" s="6" t="str">
        <x:v>Cryptography, sensitive data and implementation guidance.</x:v>
      </x:c>
      <x:c r="H111" s="6" t="str">
        <x:v>https://www.helpnetsecurity.com/</x:v>
      </x:c>
      <x:c r="I111" s="16" t="d">
        <x:v>2026-08-12T12:00:00.000Z</x:v>
      </x:c>
      <x:c r="J111" s="6" t="str">
        <x:v>https://www.helpnetsecurity.com/2026/08/12/christopher-smith-quantus-post-quantum-migration/</x:v>
      </x:c>
      <x:c r="K111" s="6" t="str">
        <x:v>Recent dated coverage verified on the linked page.</x:v>
      </x:c>
    </x:row>
    <x:row r="112" ht="15" hidden="0" customHeight="1">
      <x:c r="A112" s="12" t="n">
        <x:v>10</x:v>
      </x:c>
      <x:c r="B112" s="6" t="str">
        <x:v>Confidential computing and privacy-preserving AI</x:v>
      </x:c>
      <x:c r="C112" s="6" t="str">
        <x:v>Compute &amp; trust</x:v>
      </x:c>
      <x:c r="D112" s="6" t="str">
        <x:v>CSO Online</x:v>
      </x:c>
      <x:c r="E112" s="6" t="str">
        <x:v>csoonline.com</x:v>
      </x:c>
      <x:c r="F112" s="6" t="str">
        <x:v>Specialist news</x:v>
      </x:c>
      <x:c r="G112" s="6" t="str">
        <x:v>Encryption, identity, sensitive data and CISO priorities.</x:v>
      </x:c>
      <x:c r="H112" s="6" t="str">
        <x:v>https://www.csoonline.com/encryption/</x:v>
      </x:c>
      <x:c r="I112" s="16" t="d">
        <x:v>2026-10-08T12:00:00.000Z</x:v>
      </x:c>
      <x:c r="J112" s="6" t="str">
        <x:v>https://www.csoonline.com/news-analysis/</x:v>
      </x:c>
      <x:c r="K112" s="6" t="str">
        <x:v>Recent dated coverage verified on the linked page.</x:v>
      </x:c>
    </x:row>
    <x:row r="113" ht="15" hidden="0" customHeight="1">
      <x:c r="A113" s="12" t="n">
        <x:v>10</x:v>
      </x:c>
      <x:c r="B113" s="6" t="str">
        <x:v>Confidential computing and privacy-preserving AI</x:v>
      </x:c>
      <x:c r="C113" s="6" t="str">
        <x:v>Compute &amp; trust</x:v>
      </x:c>
      <x:c r="D113" s="6" t="str">
        <x:v>Infosecurity Magazine</x:v>
      </x:c>
      <x:c r="E113" s="6" t="str">
        <x:v>infosecurity-magazine.com</x:v>
      </x:c>
      <x:c r="F113" s="6" t="str">
        <x:v>Specialist news</x:v>
      </x:c>
      <x:c r="G113" s="6" t="str">
        <x:v>PQC products, certificates and enterprise security.</x:v>
      </x:c>
      <x:c r="H113" s="6" t="str">
        <x:v>https://www.infosecurity-magazine.com/digital-signatures-and-certificates/</x:v>
      </x:c>
      <x:c r="I113" s="16" t="d">
        <x:v>2026-10-08T12:00:00.000Z</x:v>
      </x:c>
      <x:c r="J113" s="6" t="str">
        <x:v>https://www.infosecurity-magazine.com/digital-signatures-and-certificates/</x:v>
      </x:c>
      <x:c r="K113" s="6" t="str">
        <x:v>Dated CISA/PQC coverage verified in search index; direct site access restricted.</x:v>
      </x:c>
    </x:row>
    <x:row r="114" ht="15" hidden="0" customHeight="1">
      <x:c r="A114" s="12" t="n">
        <x:v>10</x:v>
      </x:c>
      <x:c r="B114" s="6" t="str">
        <x:v>Confidential computing and privacy-preserving AI</x:v>
      </x:c>
      <x:c r="C114" s="6" t="str">
        <x:v>Compute &amp; trust</x:v>
      </x:c>
      <x:c r="D114" s="6" t="str">
        <x:v>Network World</x:v>
      </x:c>
      <x:c r="E114" s="6" t="str">
        <x:v>networkworld.com</x:v>
      </x:c>
      <x:c r="F114" s="6" t="str">
        <x:v>Specialist news</x:v>
      </x:c>
      <x:c r="G114" s="6" t="str">
        <x:v>Enterprise networks, edge, data-center AI and knowledge infrastructure.</x:v>
      </x:c>
      <x:c r="H114" s="6" t="str">
        <x:v>https://www.networkworld.com/</x:v>
      </x:c>
      <x:c r="I114" s="16" t="d">
        <x:v>2026-10-07T12:00:00.000Z</x:v>
      </x:c>
      <x:c r="J114" s="6" t="str">
        <x:v>https://www.networkworld.com/</x:v>
      </x:c>
      <x:c r="K114" s="6" t="str">
        <x:v>Recent dated coverage verified on the linked page.</x:v>
      </x:c>
    </x:row>
    <x:row r="115" ht="15" hidden="0" customHeight="1">
      <x:c r="A115" s="12" t="n">
        <x:v>10</x:v>
      </x:c>
      <x:c r="B115" s="6" t="str">
        <x:v>Confidential computing and privacy-preserving AI</x:v>
      </x:c>
      <x:c r="C115" s="6" t="str">
        <x:v>Compute &amp; trust</x:v>
      </x:c>
      <x:c r="D115" s="6" t="str">
        <x:v>Cloudflare Blog</x:v>
      </x:c>
      <x:c r="E115" s="6" t="str">
        <x:v>blog.cloudflare.com</x:v>
      </x:c>
      <x:c r="F115" s="6" t="str">
        <x:v>Vendor engineering news</x:v>
      </x:c>
      <x:c r="G115" s="6" t="str">
        <x:v>Measured PQC rollout and cloud-security engineering.</x:v>
      </x:c>
      <x:c r="H115" s="6" t="str">
        <x:v>https://blog.cloudflare.com/</x:v>
      </x:c>
      <x:c r="I115" s="16" t="d">
        <x:v>2026-04-07T12:00:00.000Z</x:v>
      </x:c>
      <x:c r="J115" s="6" t="str">
        <x:v>https://blog.cloudflare.com/post-quantum-roadmap/</x:v>
      </x:c>
      <x:c r="K115" s="6" t="str">
        <x:v>Recent dated coverage verified on the linked page.</x:v>
      </x:c>
    </x:row>
    <x:row r="116" ht="15" hidden="0" customHeight="1">
      <x:c r="A116" s="12" t="n">
        <x:v>11</x:v>
      </x:c>
      <x:c r="B116" s="6" t="str">
        <x:v>Private 5G and industrial wireless</x:v>
      </x:c>
      <x:c r="C116" s="6" t="str">
        <x:v>Connected industry</x:v>
      </x:c>
      <x:c r="D116" s="6" t="str">
        <x:v>Light Reading</x:v>
      </x:c>
      <x:c r="E116" s="6" t="str">
        <x:v>lightreading.com</x:v>
      </x:c>
      <x:c r="F116" s="6" t="str">
        <x:v>Specialist news</x:v>
      </x:c>
      <x:c r="G116" s="6" t="str">
        <x:v>Private wireless, carrier economics and satellite connectivity.</x:v>
      </x:c>
      <x:c r="H116" s="6" t="str">
        <x:v>https://www.lightreading.com/</x:v>
      </x:c>
      <x:c r="I116" s="16" t="d">
        <x:v>2026-09-22T12:00:00.000Z</x:v>
      </x:c>
      <x:c r="J116" s="6" t="str">
        <x:v>https://www.lightreading.com/private-networks/private-mobile-networks-pass-2-000-customer-milestone-gsa</x:v>
      </x:c>
      <x:c r="K116" s="6" t="str">
        <x:v>Recent dated coverage verified on the linked page.</x:v>
      </x:c>
    </x:row>
    <x:row r="117" ht="15" hidden="0" customHeight="1">
      <x:c r="A117" s="12" t="n">
        <x:v>11</x:v>
      </x:c>
      <x:c r="B117" s="6" t="str">
        <x:v>Private 5G and industrial wireless</x:v>
      </x:c>
      <x:c r="C117" s="6" t="str">
        <x:v>Connected industry</x:v>
      </x:c>
      <x:c r="D117" s="6" t="str">
        <x:v>RCR Wireless</x:v>
      </x:c>
      <x:c r="E117" s="6" t="str">
        <x:v>rcrwireless.com</x:v>
      </x:c>
      <x:c r="F117" s="6" t="str">
        <x:v>Specialist news</x:v>
      </x:c>
      <x:c r="G117" s="6" t="str">
        <x:v>Private 5G, industrial connectivity, NTN and deployments.</x:v>
      </x:c>
      <x:c r="H117" s="6" t="str">
        <x:v>https://rcrwireless.com/</x:v>
      </x:c>
      <x:c r="I117" s="16" t="d">
        <x:v>2026-09-29T12:00:00.000Z</x:v>
      </x:c>
      <x:c r="J117" s="6" t="str">
        <x:v>https://rcrwireless.com/20260929/opinion/private-5g-update-numbers-and-cases-telco-diary</x:v>
      </x:c>
      <x:c r="K117" s="6" t="str">
        <x:v>Recent dated coverage verified on the linked page.</x:v>
      </x:c>
    </x:row>
    <x:row r="118" ht="15" hidden="0" customHeight="1">
      <x:c r="A118" s="12" t="n">
        <x:v>11</x:v>
      </x:c>
      <x:c r="B118" s="6" t="str">
        <x:v>Private 5G and industrial wireless</x:v>
      </x:c>
      <x:c r="C118" s="6" t="str">
        <x:v>Connected industry</x:v>
      </x:c>
      <x:c r="D118" s="6" t="str">
        <x:v>Mobile World Live</x:v>
      </x:c>
      <x:c r="E118" s="6" t="str">
        <x:v>mobileworldlive.com</x:v>
      </x:c>
      <x:c r="F118" s="6" t="str">
        <x:v>Specialist news</x:v>
      </x:c>
      <x:c r="G118" s="6" t="str">
        <x:v>Mobile operators, NTN, devices and private networks.</x:v>
      </x:c>
      <x:c r="H118" s="6" t="str">
        <x:v>https://www.mobileworldlive.com/</x:v>
      </x:c>
      <x:c r="I118" s="16" t="d">
        <x:v>2026-10-06T12:00:00.000Z</x:v>
      </x:c>
      <x:c r="J118" s="6" t="str">
        <x:v>https://www.mobileworldlive.com/_topics/</x:v>
      </x:c>
      <x:c r="K118" s="6" t="str">
        <x:v>Dated satellite/NTN coverage verified in search index; homepage restricts retrieval.</x:v>
      </x:c>
    </x:row>
    <x:row r="119" ht="15" hidden="0" customHeight="1">
      <x:c r="A119" s="12" t="n">
        <x:v>11</x:v>
      </x:c>
      <x:c r="B119" s="6" t="str">
        <x:v>Private 5G and industrial wireless</x:v>
      </x:c>
      <x:c r="C119" s="6" t="str">
        <x:v>Connected industry</x:v>
      </x:c>
      <x:c r="D119" s="6" t="str">
        <x:v>Telecoms.com</x:v>
      </x:c>
      <x:c r="E119" s="6" t="str">
        <x:v>telecoms.com</x:v>
      </x:c>
      <x:c r="F119" s="6" t="str">
        <x:v>Specialist news</x:v>
      </x:c>
      <x:c r="G119" s="6" t="str">
        <x:v>Mobile infrastructure and wireless/satellite integration.</x:v>
      </x:c>
      <x:c r="H119" s="6" t="str">
        <x:v>https://www.telecoms.com/</x:v>
      </x:c>
      <x:c r="I119" s="16" t="d">
        <x:v>2026-10-16T12:00:00.000Z</x:v>
      </x:c>
      <x:c r="J119" s="6" t="str">
        <x:v>https://www.telecoms.com/</x:v>
      </x:c>
      <x:c r="K119" s="6" t="str">
        <x:v>Recent dated coverage verified on the linked page.</x:v>
      </x:c>
    </x:row>
    <x:row r="120" ht="15" hidden="0" customHeight="1">
      <x:c r="A120" s="12" t="n">
        <x:v>11</x:v>
      </x:c>
      <x:c r="B120" s="6" t="str">
        <x:v>Private 5G and industrial wireless</x:v>
      </x:c>
      <x:c r="C120" s="6" t="str">
        <x:v>Connected industry</x:v>
      </x:c>
      <x:c r="D120" s="6" t="str">
        <x:v>Fierce Network</x:v>
      </x:c>
      <x:c r="E120" s="6" t="str">
        <x:v>fierce-network.com</x:v>
      </x:c>
      <x:c r="F120" s="6" t="str">
        <x:v>Specialist news</x:v>
      </x:c>
      <x:c r="G120" s="6" t="str">
        <x:v>Private networks, telecom/satellite convergence and AI networking.</x:v>
      </x:c>
      <x:c r="H120" s="6" t="str">
        <x:v>https://www.fierce-network.com/</x:v>
      </x:c>
      <x:c r="I120" s="16" t="d">
        <x:v>2026-10-16T12:00:00.000Z</x:v>
      </x:c>
      <x:c r="J120" s="6" t="str">
        <x:v>https://www.fierce-network.com/</x:v>
      </x:c>
      <x:c r="K120" s="6" t="str">
        <x:v>Recent dated coverage verified on the linked page.</x:v>
      </x:c>
    </x:row>
    <x:row r="121" ht="15" hidden="0" customHeight="1">
      <x:c r="A121" s="12" t="n">
        <x:v>11</x:v>
      </x:c>
      <x:c r="B121" s="6" t="str">
        <x:v>Private 5G and industrial wireless</x:v>
      </x:c>
      <x:c r="C121" s="6" t="str">
        <x:v>Connected industry</x:v>
      </x:c>
      <x:c r="D121" s="6" t="str">
        <x:v>IoT Now</x:v>
      </x:c>
      <x:c r="E121" s="6" t="str">
        <x:v>iot-now.com</x:v>
      </x:c>
      <x:c r="F121" s="6" t="str">
        <x:v>Specialist news</x:v>
      </x:c>
      <x:c r="G121" s="6" t="str">
        <x:v>Industrial connectivity, edge intelligence and NTN chipsets.</x:v>
      </x:c>
      <x:c r="H121" s="6" t="str">
        <x:v>https://iot-now.com/news/</x:v>
      </x:c>
      <x:c r="I121" s="16" t="d">
        <x:v>2026-10-15T12:00:00.000Z</x:v>
      </x:c>
      <x:c r="J121" s="6" t="str">
        <x:v>https://iot-now.com/news/products-and-services/</x:v>
      </x:c>
      <x:c r="K121" s="6" t="str">
        <x:v>Recent dated coverage verified on the linked page.</x:v>
      </x:c>
    </x:row>
    <x:row r="122" ht="15" hidden="0" customHeight="1">
      <x:c r="A122" s="12" t="n">
        <x:v>11</x:v>
      </x:c>
      <x:c r="B122" s="6" t="str">
        <x:v>Private 5G and industrial wireless</x:v>
      </x:c>
      <x:c r="C122" s="6" t="str">
        <x:v>Connected industry</x:v>
      </x:c>
      <x:c r="D122" s="6" t="str">
        <x:v>IoT Business News</x:v>
      </x:c>
      <x:c r="E122" s="6" t="str">
        <x:v>iotbusinessnews.com</x:v>
      </x:c>
      <x:c r="F122" s="6" t="str">
        <x:v>Specialist news</x:v>
      </x:c>
      <x:c r="G122" s="6" t="str">
        <x:v>Industrial IoT, modules, satellite connectivity and operator partnerships.</x:v>
      </x:c>
      <x:c r="H122" s="6" t="str">
        <x:v>https://iotbusinessnews.com/</x:v>
      </x:c>
      <x:c r="I122" s="16" t="d">
        <x:v>2026-10-16T12:00:00.000Z</x:v>
      </x:c>
      <x:c r="J122" s="6" t="str">
        <x:v>https://iotbusinessnews.com/</x:v>
      </x:c>
      <x:c r="K122" s="6" t="str">
        <x:v>Recent dated coverage verified on the linked page.</x:v>
      </x:c>
    </x:row>
    <x:row r="123" ht="15" hidden="0" customHeight="1">
      <x:c r="A123" s="12" t="n">
        <x:v>11</x:v>
      </x:c>
      <x:c r="B123" s="6" t="str">
        <x:v>Private 5G and industrial wireless</x:v>
      </x:c>
      <x:c r="C123" s="6" t="str">
        <x:v>Connected industry</x:v>
      </x:c>
      <x:c r="D123" s="6" t="str">
        <x:v>Network World</x:v>
      </x:c>
      <x:c r="E123" s="6" t="str">
        <x:v>networkworld.com</x:v>
      </x:c>
      <x:c r="F123" s="6" t="str">
        <x:v>Specialist news</x:v>
      </x:c>
      <x:c r="G123" s="6" t="str">
        <x:v>Enterprise networks, edge, data-center AI and knowledge infrastructure.</x:v>
      </x:c>
      <x:c r="H123" s="6" t="str">
        <x:v>https://www.networkworld.com/</x:v>
      </x:c>
      <x:c r="I123" s="16" t="d">
        <x:v>2026-10-07T12:00:00.000Z</x:v>
      </x:c>
      <x:c r="J123" s="6" t="str">
        <x:v>https://www.networkworld.com/</x:v>
      </x:c>
      <x:c r="K123" s="6" t="str">
        <x:v>Recent dated coverage verified on the linked page.</x:v>
      </x:c>
    </x:row>
    <x:row r="124" ht="15" hidden="0" customHeight="1">
      <x:c r="A124" s="12" t="n">
        <x:v>11</x:v>
      </x:c>
      <x:c r="B124" s="6" t="str">
        <x:v>Private 5G and industrial wireless</x:v>
      </x:c>
      <x:c r="C124" s="6" t="str">
        <x:v>Connected industry</x:v>
      </x:c>
      <x:c r="D124" s="6" t="str">
        <x:v>EE Times</x:v>
      </x:c>
      <x:c r="E124" s="6" t="str">
        <x:v>eetimes.com</x:v>
      </x:c>
      <x:c r="F124" s="6" t="str">
        <x:v>Specialist news</x:v>
      </x:c>
      <x:c r="G124" s="6" t="str">
        <x:v>Semiconductors, embedded AI, optics and industrial electronics.</x:v>
      </x:c>
      <x:c r="H124" s="6" t="str">
        <x:v>https://www.eetimes.com/</x:v>
      </x:c>
      <x:c r="I124" s="16" t="d">
        <x:v>2026-10-16T12:00:00.000Z</x:v>
      </x:c>
      <x:c r="J124" s="6" t="str">
        <x:v>https://www.eetimes.com/</x:v>
      </x:c>
      <x:c r="K124" s="6" t="str">
        <x:v>Recent dated coverage verified on the linked page.</x:v>
      </x:c>
    </x:row>
    <x:row r="125" ht="15" hidden="0" customHeight="1">
      <x:c r="A125" s="12" t="n">
        <x:v>11</x:v>
      </x:c>
      <x:c r="B125" s="6" t="str">
        <x:v>Private 5G and industrial wireless</x:v>
      </x:c>
      <x:c r="C125" s="6" t="str">
        <x:v>Connected industry</x:v>
      </x:c>
      <x:c r="D125" s="6" t="str">
        <x:v>Automation World</x:v>
      </x:c>
      <x:c r="E125" s="6" t="str">
        <x:v>automationworld.com</x:v>
      </x:c>
      <x:c r="F125" s="6" t="str">
        <x:v>Specialist news</x:v>
      </x:c>
      <x:c r="G125" s="6" t="str">
        <x:v>Industrial AI, robots, maintenance, digital twins and plant operations.</x:v>
      </x:c>
      <x:c r="H125" s="6" t="str">
        <x:v>https://www.automationworld.com/</x:v>
      </x:c>
      <x:c r="I125" s="16" t="d">
        <x:v>2026-10-15T12:00:00.000Z</x:v>
      </x:c>
      <x:c r="J125" s="6" t="str">
        <x:v>https://www.automationworld.com/</x:v>
      </x:c>
      <x:c r="K125" s="6" t="str">
        <x:v>Recent dated coverage verified on the linked page.</x:v>
      </x:c>
    </x:row>
    <x:row r="126" ht="15" hidden="0" customHeight="1">
      <x:c r="A126" s="12" t="n">
        <x:v>11</x:v>
      </x:c>
      <x:c r="B126" s="6" t="str">
        <x:v>Private 5G and industrial wireless</x:v>
      </x:c>
      <x:c r="C126" s="6" t="str">
        <x:v>Connected industry</x:v>
      </x:c>
      <x:c r="D126" s="6" t="str">
        <x:v>Control Engineering</x:v>
      </x:c>
      <x:c r="E126" s="6" t="str">
        <x:v>controleng.com</x:v>
      </x:c>
      <x:c r="F126" s="6" t="str">
        <x:v>Specialist news</x:v>
      </x:c>
      <x:c r="G126" s="6" t="str">
        <x:v>Controls, digital twins, industrial AI, motion and implementation.</x:v>
      </x:c>
      <x:c r="H126" s="6" t="str">
        <x:v>https://www.controleng.com/</x:v>
      </x:c>
      <x:c r="I126" s="16" t="d">
        <x:v>2026-10-05T12:00:00.000Z</x:v>
      </x:c>
      <x:c r="J126" s="6" t="str">
        <x:v>https://www.controleng.com/how-integrating-new-ai-tools-helps-automation-motion-control/</x:v>
      </x:c>
      <x:c r="K126" s="6" t="str">
        <x:v>Recent dated coverage verified on the linked page.</x:v>
      </x:c>
    </x:row>
    <x:row r="127" ht="15" hidden="0" customHeight="1">
      <x:c r="A127" s="12" t="n">
        <x:v>11</x:v>
      </x:c>
      <x:c r="B127" s="6" t="str">
        <x:v>Private 5G and industrial wireless</x:v>
      </x:c>
      <x:c r="C127" s="6" t="str">
        <x:v>Connected industry</x:v>
      </x:c>
      <x:c r="D127" s="6" t="str">
        <x:v>GSA</x:v>
      </x:c>
      <x:c r="E127" s="6" t="str">
        <x:v>gsacom.com</x:v>
      </x:c>
      <x:c r="F127" s="6" t="str">
        <x:v>Industry research updates</x:v>
      </x:c>
      <x:c r="G127" s="6" t="str">
        <x:v>Quarterly private-network deployments and spectrum statistics.</x:v>
      </x:c>
      <x:c r="H127" s="6" t="str">
        <x:v>https://gsacom.com/</x:v>
      </x:c>
      <x:c r="I127" s="16" t="d">
        <x:v>2026-09-22T12:00:00.000Z</x:v>
      </x:c>
      <x:c r="J127" s="6" t="str">
        <x:v>https://gsacom.com/paper/private-mobile-networks-september-2026-2/</x:v>
      </x:c>
      <x:c r="K127" s="6" t="str">
        <x:v>Recent dated coverage verified on the linked page.</x:v>
      </x:c>
    </x:row>
    <x:row r="128" ht="15" hidden="0" customHeight="1">
      <x:c r="A128" s="12" t="n">
        <x:v>12</x:v>
      </x:c>
      <x:c r="B128" s="6" t="str">
        <x:v>Direct-to-device satellite connectivity</x:v>
      </x:c>
      <x:c r="C128" s="6" t="str">
        <x:v>Connected industry</x:v>
      </x:c>
      <x:c r="D128" s="6" t="str">
        <x:v>Light Reading</x:v>
      </x:c>
      <x:c r="E128" s="6" t="str">
        <x:v>lightreading.com</x:v>
      </x:c>
      <x:c r="F128" s="6" t="str">
        <x:v>Specialist news</x:v>
      </x:c>
      <x:c r="G128" s="6" t="str">
        <x:v>Private wireless, carrier economics and satellite connectivity.</x:v>
      </x:c>
      <x:c r="H128" s="6" t="str">
        <x:v>https://www.lightreading.com/</x:v>
      </x:c>
      <x:c r="I128" s="16" t="d">
        <x:v>2026-09-22T12:00:00.000Z</x:v>
      </x:c>
      <x:c r="J128" s="6" t="str">
        <x:v>https://www.lightreading.com/private-networks/private-mobile-networks-pass-2-000-customer-milestone-gsa</x:v>
      </x:c>
      <x:c r="K128" s="6" t="str">
        <x:v>Recent dated coverage verified on the linked page.</x:v>
      </x:c>
    </x:row>
    <x:row r="129" ht="15" hidden="0" customHeight="1">
      <x:c r="A129" s="12" t="n">
        <x:v>12</x:v>
      </x:c>
      <x:c r="B129" s="6" t="str">
        <x:v>Direct-to-device satellite connectivity</x:v>
      </x:c>
      <x:c r="C129" s="6" t="str">
        <x:v>Connected industry</x:v>
      </x:c>
      <x:c r="D129" s="6" t="str">
        <x:v>RCR Wireless</x:v>
      </x:c>
      <x:c r="E129" s="6" t="str">
        <x:v>rcrwireless.com</x:v>
      </x:c>
      <x:c r="F129" s="6" t="str">
        <x:v>Specialist news</x:v>
      </x:c>
      <x:c r="G129" s="6" t="str">
        <x:v>Private 5G, industrial connectivity, NTN and deployments.</x:v>
      </x:c>
      <x:c r="H129" s="6" t="str">
        <x:v>https://rcrwireless.com/</x:v>
      </x:c>
      <x:c r="I129" s="16" t="d">
        <x:v>2026-09-29T12:00:00.000Z</x:v>
      </x:c>
      <x:c r="J129" s="6" t="str">
        <x:v>https://rcrwireless.com/20260929/opinion/private-5g-update-numbers-and-cases-telco-diary</x:v>
      </x:c>
      <x:c r="K129" s="6" t="str">
        <x:v>Recent dated coverage verified on the linked page.</x:v>
      </x:c>
    </x:row>
    <x:row r="130" ht="15" hidden="0" customHeight="1">
      <x:c r="A130" s="12" t="n">
        <x:v>12</x:v>
      </x:c>
      <x:c r="B130" s="6" t="str">
        <x:v>Direct-to-device satellite connectivity</x:v>
      </x:c>
      <x:c r="C130" s="6" t="str">
        <x:v>Connected industry</x:v>
      </x:c>
      <x:c r="D130" s="6" t="str">
        <x:v>Mobile World Live</x:v>
      </x:c>
      <x:c r="E130" s="6" t="str">
        <x:v>mobileworldlive.com</x:v>
      </x:c>
      <x:c r="F130" s="6" t="str">
        <x:v>Specialist news</x:v>
      </x:c>
      <x:c r="G130" s="6" t="str">
        <x:v>Mobile operators, NTN, devices and private networks.</x:v>
      </x:c>
      <x:c r="H130" s="6" t="str">
        <x:v>https://www.mobileworldlive.com/</x:v>
      </x:c>
      <x:c r="I130" s="16" t="d">
        <x:v>2026-10-06T12:00:00.000Z</x:v>
      </x:c>
      <x:c r="J130" s="6" t="str">
        <x:v>https://www.mobileworldlive.com/_topics/</x:v>
      </x:c>
      <x:c r="K130" s="6" t="str">
        <x:v>Dated satellite/NTN coverage verified in search index; homepage restricts retrieval.</x:v>
      </x:c>
    </x:row>
    <x:row r="131" ht="15" hidden="0" customHeight="1">
      <x:c r="A131" s="12" t="n">
        <x:v>12</x:v>
      </x:c>
      <x:c r="B131" s="6" t="str">
        <x:v>Direct-to-device satellite connectivity</x:v>
      </x:c>
      <x:c r="C131" s="6" t="str">
        <x:v>Connected industry</x:v>
      </x:c>
      <x:c r="D131" s="6" t="str">
        <x:v>Telecoms.com</x:v>
      </x:c>
      <x:c r="E131" s="6" t="str">
        <x:v>telecoms.com</x:v>
      </x:c>
      <x:c r="F131" s="6" t="str">
        <x:v>Specialist news</x:v>
      </x:c>
      <x:c r="G131" s="6" t="str">
        <x:v>Mobile infrastructure and wireless/satellite integration.</x:v>
      </x:c>
      <x:c r="H131" s="6" t="str">
        <x:v>https://www.telecoms.com/</x:v>
      </x:c>
      <x:c r="I131" s="16" t="d">
        <x:v>2026-10-16T12:00:00.000Z</x:v>
      </x:c>
      <x:c r="J131" s="6" t="str">
        <x:v>https://www.telecoms.com/</x:v>
      </x:c>
      <x:c r="K131" s="6" t="str">
        <x:v>Recent dated coverage verified on the linked page.</x:v>
      </x:c>
    </x:row>
    <x:row r="132" ht="15" hidden="0" customHeight="1">
      <x:c r="A132" s="12" t="n">
        <x:v>12</x:v>
      </x:c>
      <x:c r="B132" s="6" t="str">
        <x:v>Direct-to-device satellite connectivity</x:v>
      </x:c>
      <x:c r="C132" s="6" t="str">
        <x:v>Connected industry</x:v>
      </x:c>
      <x:c r="D132" s="6" t="str">
        <x:v>Fierce Network</x:v>
      </x:c>
      <x:c r="E132" s="6" t="str">
        <x:v>fierce-network.com</x:v>
      </x:c>
      <x:c r="F132" s="6" t="str">
        <x:v>Specialist news</x:v>
      </x:c>
      <x:c r="G132" s="6" t="str">
        <x:v>Private networks, telecom/satellite convergence and AI networking.</x:v>
      </x:c>
      <x:c r="H132" s="6" t="str">
        <x:v>https://www.fierce-network.com/</x:v>
      </x:c>
      <x:c r="I132" s="16" t="d">
        <x:v>2026-10-16T12:00:00.000Z</x:v>
      </x:c>
      <x:c r="J132" s="6" t="str">
        <x:v>https://www.fierce-network.com/</x:v>
      </x:c>
      <x:c r="K132" s="6" t="str">
        <x:v>Recent dated coverage verified on the linked page.</x:v>
      </x:c>
    </x:row>
    <x:row r="133" ht="15" hidden="0" customHeight="1">
      <x:c r="A133" s="12" t="n">
        <x:v>12</x:v>
      </x:c>
      <x:c r="B133" s="6" t="str">
        <x:v>Direct-to-device satellite connectivity</x:v>
      </x:c>
      <x:c r="C133" s="6" t="str">
        <x:v>Connected industry</x:v>
      </x:c>
      <x:c r="D133" s="6" t="str">
        <x:v>IoT Now</x:v>
      </x:c>
      <x:c r="E133" s="6" t="str">
        <x:v>iot-now.com</x:v>
      </x:c>
      <x:c r="F133" s="6" t="str">
        <x:v>Specialist news</x:v>
      </x:c>
      <x:c r="G133" s="6" t="str">
        <x:v>Industrial connectivity, edge intelligence and NTN chipsets.</x:v>
      </x:c>
      <x:c r="H133" s="6" t="str">
        <x:v>https://iot-now.com/news/</x:v>
      </x:c>
      <x:c r="I133" s="16" t="d">
        <x:v>2026-10-15T12:00:00.000Z</x:v>
      </x:c>
      <x:c r="J133" s="6" t="str">
        <x:v>https://iot-now.com/news/products-and-services/</x:v>
      </x:c>
      <x:c r="K133" s="6" t="str">
        <x:v>Recent dated coverage verified on the linked page.</x:v>
      </x:c>
    </x:row>
    <x:row r="134" ht="15" hidden="0" customHeight="1">
      <x:c r="A134" s="12" t="n">
        <x:v>12</x:v>
      </x:c>
      <x:c r="B134" s="6" t="str">
        <x:v>Direct-to-device satellite connectivity</x:v>
      </x:c>
      <x:c r="C134" s="6" t="str">
        <x:v>Connected industry</x:v>
      </x:c>
      <x:c r="D134" s="6" t="str">
        <x:v>IoT Business News</x:v>
      </x:c>
      <x:c r="E134" s="6" t="str">
        <x:v>iotbusinessnews.com</x:v>
      </x:c>
      <x:c r="F134" s="6" t="str">
        <x:v>Specialist news</x:v>
      </x:c>
      <x:c r="G134" s="6" t="str">
        <x:v>Industrial IoT, modules, satellite connectivity and operator partnerships.</x:v>
      </x:c>
      <x:c r="H134" s="6" t="str">
        <x:v>https://iotbusinessnews.com/</x:v>
      </x:c>
      <x:c r="I134" s="16" t="d">
        <x:v>2026-10-16T12:00:00.000Z</x:v>
      </x:c>
      <x:c r="J134" s="6" t="str">
        <x:v>https://iotbusinessnews.com/</x:v>
      </x:c>
      <x:c r="K134" s="6" t="str">
        <x:v>Recent dated coverage verified on the linked page.</x:v>
      </x:c>
    </x:row>
    <x:row r="135" ht="15" hidden="0" customHeight="1">
      <x:c r="A135" s="12" t="n">
        <x:v>12</x:v>
      </x:c>
      <x:c r="B135" s="6" t="str">
        <x:v>Direct-to-device satellite connectivity</x:v>
      </x:c>
      <x:c r="C135" s="6" t="str">
        <x:v>Connected industry</x:v>
      </x:c>
      <x:c r="D135" s="6" t="str">
        <x:v>Network World</x:v>
      </x:c>
      <x:c r="E135" s="6" t="str">
        <x:v>networkworld.com</x:v>
      </x:c>
      <x:c r="F135" s="6" t="str">
        <x:v>Specialist news</x:v>
      </x:c>
      <x:c r="G135" s="6" t="str">
        <x:v>Enterprise networks, edge, data-center AI and knowledge infrastructure.</x:v>
      </x:c>
      <x:c r="H135" s="6" t="str">
        <x:v>https://www.networkworld.com/</x:v>
      </x:c>
      <x:c r="I135" s="16" t="d">
        <x:v>2026-10-07T12:00:00.000Z</x:v>
      </x:c>
      <x:c r="J135" s="6" t="str">
        <x:v>https://www.networkworld.com/</x:v>
      </x:c>
      <x:c r="K135" s="6" t="str">
        <x:v>Recent dated coverage verified on the linked page.</x:v>
      </x:c>
    </x:row>
    <x:row r="136" ht="15" hidden="0" customHeight="1">
      <x:c r="A136" s="12" t="n">
        <x:v>12</x:v>
      </x:c>
      <x:c r="B136" s="6" t="str">
        <x:v>Direct-to-device satellite connectivity</x:v>
      </x:c>
      <x:c r="C136" s="6" t="str">
        <x:v>Connected industry</x:v>
      </x:c>
      <x:c r="D136" s="6" t="str">
        <x:v>EE Times</x:v>
      </x:c>
      <x:c r="E136" s="6" t="str">
        <x:v>eetimes.com</x:v>
      </x:c>
      <x:c r="F136" s="6" t="str">
        <x:v>Specialist news</x:v>
      </x:c>
      <x:c r="G136" s="6" t="str">
        <x:v>Semiconductors, embedded AI, optics and industrial electronics.</x:v>
      </x:c>
      <x:c r="H136" s="6" t="str">
        <x:v>https://www.eetimes.com/</x:v>
      </x:c>
      <x:c r="I136" s="16" t="d">
        <x:v>2026-10-16T12:00:00.000Z</x:v>
      </x:c>
      <x:c r="J136" s="6" t="str">
        <x:v>https://www.eetimes.com/</x:v>
      </x:c>
      <x:c r="K136" s="6" t="str">
        <x:v>Recent dated coverage verified on the linked page.</x:v>
      </x:c>
    </x:row>
    <x:row r="137" ht="15" hidden="0" customHeight="1">
      <x:c r="A137" s="12" t="n">
        <x:v>12</x:v>
      </x:c>
      <x:c r="B137" s="6" t="str">
        <x:v>Direct-to-device satellite connectivity</x:v>
      </x:c>
      <x:c r="C137" s="6" t="str">
        <x:v>Connected industry</x:v>
      </x:c>
      <x:c r="D137" s="6" t="str">
        <x:v>SatNews</x:v>
      </x:c>
      <x:c r="E137" s="6" t="str">
        <x:v>satnews.com</x:v>
      </x:c>
      <x:c r="F137" s="6" t="str">
        <x:v>Specialist news</x:v>
      </x:c>
      <x:c r="G137" s="6" t="str">
        <x:v>Satellite networks, terminals, launches and mobile integration.</x:v>
      </x:c>
      <x:c r="H137" s="6" t="str">
        <x:v>https://satnews.com/</x:v>
      </x:c>
      <x:c r="I137" s="16" t="d">
        <x:v>2026-10-15T12:00:00.000Z</x:v>
      </x:c>
      <x:c r="J137" s="6" t="str">
        <x:v>https://satnews.com/</x:v>
      </x:c>
      <x:c r="K137" s="6" t="str">
        <x:v>Recent dated coverage verified on the linked page.</x:v>
      </x:c>
    </x:row>
    <x:row r="138" ht="15" hidden="0" customHeight="1">
      <x:c r="A138" s="12" t="n">
        <x:v>12</x:v>
      </x:c>
      <x:c r="B138" s="6" t="str">
        <x:v>Direct-to-device satellite connectivity</x:v>
      </x:c>
      <x:c r="C138" s="6" t="str">
        <x:v>Connected industry</x:v>
      </x:c>
      <x:c r="D138" s="6" t="str">
        <x:v>Via Satellite</x:v>
      </x:c>
      <x:c r="E138" s="6" t="str">
        <x:v>satellitetoday.com</x:v>
      </x:c>
      <x:c r="F138" s="6" t="str">
        <x:v>Specialist news</x:v>
      </x:c>
      <x:c r="G138" s="6" t="str">
        <x:v>Commercial D2D services and satellite/telecom convergence.</x:v>
      </x:c>
      <x:c r="H138" s="6" t="str">
        <x:v>https://www.satellitetoday.com/</x:v>
      </x:c>
      <x:c r="I138" s="16" t="d">
        <x:v>2026-01-16T12:00:00.000Z</x:v>
      </x:c>
      <x:c r="J138" s="6" t="str">
        <x:v>https://www.satellitetoday.com/opinion/2026/01/16/convergence-comes-of-age-2026-shifts-satellite-promise-into-commercial-reality/</x:v>
      </x:c>
      <x:c r="K138" s="6" t="str">
        <x:v>Recent dated coverage verified on the linked page.</x:v>
      </x:c>
    </x:row>
    <x:row r="139" ht="15" hidden="0" customHeight="1">
      <x:c r="A139" s="12" t="n">
        <x:v>13</x:v>
      </x:c>
      <x:c r="B139" s="6" t="str">
        <x:v>Industrial IoT and predictive maintenance</x:v>
      </x:c>
      <x:c r="C139" s="6" t="str">
        <x:v>Connected industry</x:v>
      </x:c>
      <x:c r="D139" s="6" t="str">
        <x:v>Automation World</x:v>
      </x:c>
      <x:c r="E139" s="6" t="str">
        <x:v>automationworld.com</x:v>
      </x:c>
      <x:c r="F139" s="6" t="str">
        <x:v>Specialist news</x:v>
      </x:c>
      <x:c r="G139" s="6" t="str">
        <x:v>Industrial AI, robots, maintenance, digital twins and plant operations.</x:v>
      </x:c>
      <x:c r="H139" s="6" t="str">
        <x:v>https://www.automationworld.com/</x:v>
      </x:c>
      <x:c r="I139" s="16" t="d">
        <x:v>2026-10-15T12:00:00.000Z</x:v>
      </x:c>
      <x:c r="J139" s="6" t="str">
        <x:v>https://www.automationworld.com/</x:v>
      </x:c>
      <x:c r="K139" s="6" t="str">
        <x:v>Recent dated coverage verified on the linked page.</x:v>
      </x:c>
    </x:row>
    <x:row r="140" ht="15" hidden="0" customHeight="1">
      <x:c r="A140" s="12" t="n">
        <x:v>13</x:v>
      </x:c>
      <x:c r="B140" s="6" t="str">
        <x:v>Industrial IoT and predictive maintenance</x:v>
      </x:c>
      <x:c r="C140" s="6" t="str">
        <x:v>Connected industry</x:v>
      </x:c>
      <x:c r="D140" s="6" t="str">
        <x:v>Control Engineering</x:v>
      </x:c>
      <x:c r="E140" s="6" t="str">
        <x:v>controleng.com</x:v>
      </x:c>
      <x:c r="F140" s="6" t="str">
        <x:v>Specialist news</x:v>
      </x:c>
      <x:c r="G140" s="6" t="str">
        <x:v>Controls, digital twins, industrial AI, motion and implementation.</x:v>
      </x:c>
      <x:c r="H140" s="6" t="str">
        <x:v>https://www.controleng.com/</x:v>
      </x:c>
      <x:c r="I140" s="16" t="d">
        <x:v>2026-10-05T12:00:00.000Z</x:v>
      </x:c>
      <x:c r="J140" s="6" t="str">
        <x:v>https://www.controleng.com/how-integrating-new-ai-tools-helps-automation-motion-control/</x:v>
      </x:c>
      <x:c r="K140" s="6" t="str">
        <x:v>Recent dated coverage verified on the linked page.</x:v>
      </x:c>
    </x:row>
    <x:row r="141" ht="15" hidden="0" customHeight="1">
      <x:c r="A141" s="12" t="n">
        <x:v>13</x:v>
      </x:c>
      <x:c r="B141" s="6" t="str">
        <x:v>Industrial IoT and predictive maintenance</x:v>
      </x:c>
      <x:c r="C141" s="6" t="str">
        <x:v>Connected industry</x:v>
      </x:c>
      <x:c r="D141" s="6" t="str">
        <x:v>Manufacturing Dive</x:v>
      </x:c>
      <x:c r="E141" s="6" t="str">
        <x:v>manufacturingdive.com</x:v>
      </x:c>
      <x:c r="F141" s="6" t="str">
        <x:v>Specialist news</x:v>
      </x:c>
      <x:c r="G141" s="6" t="str">
        <x:v>Broad manufacturing business beat: investment, automation and labor.</x:v>
      </x:c>
      <x:c r="H141" s="6" t="str">
        <x:v>https://www.manufacturingdive.com/</x:v>
      </x:c>
      <x:c r="I141" s="16" t="d">
        <x:v>2026-10-06T12:00:00.000Z</x:v>
      </x:c>
      <x:c r="J141" s="6" t="str">
        <x:v>https://www.manufacturingdive.com/</x:v>
      </x:c>
      <x:c r="K141" s="6" t="str">
        <x:v>Recent dated coverage verified on the linked page.</x:v>
      </x:c>
    </x:row>
    <x:row r="142" ht="15" hidden="0" customHeight="1">
      <x:c r="A142" s="12" t="n">
        <x:v>13</x:v>
      </x:c>
      <x:c r="B142" s="6" t="str">
        <x:v>Industrial IoT and predictive maintenance</x:v>
      </x:c>
      <x:c r="C142" s="6" t="str">
        <x:v>Connected industry</x:v>
      </x:c>
      <x:c r="D142" s="6" t="str">
        <x:v>Design World</x:v>
      </x:c>
      <x:c r="E142" s="6" t="str">
        <x:v>designworldonline.com</x:v>
      </x:c>
      <x:c r="F142" s="6" t="str">
        <x:v>Specialist news</x:v>
      </x:c>
      <x:c r="G142" s="6" t="str">
        <x:v>Robots, motion systems, industrial machinery and components.</x:v>
      </x:c>
      <x:c r="H142" s="6" t="str">
        <x:v>https://www.designworldonline.com/</x:v>
      </x:c>
      <x:c r="I142" s="16" t="d">
        <x:v>2026-10-16T12:00:00.000Z</x:v>
      </x:c>
      <x:c r="J142" s="6" t="str">
        <x:v>https://www.designworldonline.com/</x:v>
      </x:c>
      <x:c r="K142" s="6" t="str">
        <x:v>Recent dated coverage verified on the linked page.</x:v>
      </x:c>
    </x:row>
    <x:row r="143" ht="15" hidden="0" customHeight="1">
      <x:c r="A143" s="12" t="n">
        <x:v>13</x:v>
      </x:c>
      <x:c r="B143" s="6" t="str">
        <x:v>Industrial IoT and predictive maintenance</x:v>
      </x:c>
      <x:c r="C143" s="6" t="str">
        <x:v>Connected industry</x:v>
      </x:c>
      <x:c r="D143" s="6" t="str">
        <x:v>Engineering.com</x:v>
      </x:c>
      <x:c r="E143" s="6" t="str">
        <x:v>engineering.com</x:v>
      </x:c>
      <x:c r="F143" s="6" t="str">
        <x:v>Specialist news</x:v>
      </x:c>
      <x:c r="G143" s="6" t="str">
        <x:v>Engineering software, twins, physical AI and industrial technology.</x:v>
      </x:c>
      <x:c r="H143" s="6" t="str">
        <x:v>https://www.engineering.com/</x:v>
      </x:c>
      <x:c r="I143" s="16" t="d">
        <x:v>2026-10-14T12:00:00.000Z</x:v>
      </x:c>
      <x:c r="J143" s="6" t="str">
        <x:v>https://www.engineering.com/</x:v>
      </x:c>
      <x:c r="K143" s="6" t="str">
        <x:v>Recent dated coverage verified on the linked page.</x:v>
      </x:c>
    </x:row>
    <x:row r="144" ht="15" hidden="0" customHeight="1">
      <x:c r="A144" s="12" t="n">
        <x:v>13</x:v>
      </x:c>
      <x:c r="B144" s="6" t="str">
        <x:v>Industrial IoT and predictive maintenance</x:v>
      </x:c>
      <x:c r="C144" s="6" t="str">
        <x:v>Connected industry</x:v>
      </x:c>
      <x:c r="D144" s="6" t="str">
        <x:v>IoT Now</x:v>
      </x:c>
      <x:c r="E144" s="6" t="str">
        <x:v>iot-now.com</x:v>
      </x:c>
      <x:c r="F144" s="6" t="str">
        <x:v>Specialist news</x:v>
      </x:c>
      <x:c r="G144" s="6" t="str">
        <x:v>Industrial connectivity, edge intelligence and NTN chipsets.</x:v>
      </x:c>
      <x:c r="H144" s="6" t="str">
        <x:v>https://iot-now.com/news/</x:v>
      </x:c>
      <x:c r="I144" s="16" t="d">
        <x:v>2026-10-15T12:00:00.000Z</x:v>
      </x:c>
      <x:c r="J144" s="6" t="str">
        <x:v>https://iot-now.com/news/products-and-services/</x:v>
      </x:c>
      <x:c r="K144" s="6" t="str">
        <x:v>Recent dated coverage verified on the linked page.</x:v>
      </x:c>
    </x:row>
    <x:row r="145" ht="15" hidden="0" customHeight="1">
      <x:c r="A145" s="12" t="n">
        <x:v>13</x:v>
      </x:c>
      <x:c r="B145" s="6" t="str">
        <x:v>Industrial IoT and predictive maintenance</x:v>
      </x:c>
      <x:c r="C145" s="6" t="str">
        <x:v>Connected industry</x:v>
      </x:c>
      <x:c r="D145" s="6" t="str">
        <x:v>IoT Business News</x:v>
      </x:c>
      <x:c r="E145" s="6" t="str">
        <x:v>iotbusinessnews.com</x:v>
      </x:c>
      <x:c r="F145" s="6" t="str">
        <x:v>Specialist news</x:v>
      </x:c>
      <x:c r="G145" s="6" t="str">
        <x:v>Industrial IoT, modules, satellite connectivity and operator partnerships.</x:v>
      </x:c>
      <x:c r="H145" s="6" t="str">
        <x:v>https://iotbusinessnews.com/</x:v>
      </x:c>
      <x:c r="I145" s="16" t="d">
        <x:v>2026-10-16T12:00:00.000Z</x:v>
      </x:c>
      <x:c r="J145" s="6" t="str">
        <x:v>https://iotbusinessnews.com/</x:v>
      </x:c>
      <x:c r="K145" s="6" t="str">
        <x:v>Recent dated coverage verified on the linked page.</x:v>
      </x:c>
    </x:row>
    <x:row r="146" ht="15" hidden="0" customHeight="1">
      <x:c r="A146" s="12" t="n">
        <x:v>13</x:v>
      </x:c>
      <x:c r="B146" s="6" t="str">
        <x:v>Industrial IoT and predictive maintenance</x:v>
      </x:c>
      <x:c r="C146" s="6" t="str">
        <x:v>Connected industry</x:v>
      </x:c>
      <x:c r="D146" s="6" t="str">
        <x:v>EE Times</x:v>
      </x:c>
      <x:c r="E146" s="6" t="str">
        <x:v>eetimes.com</x:v>
      </x:c>
      <x:c r="F146" s="6" t="str">
        <x:v>Specialist news</x:v>
      </x:c>
      <x:c r="G146" s="6" t="str">
        <x:v>Semiconductors, embedded AI, optics and industrial electronics.</x:v>
      </x:c>
      <x:c r="H146" s="6" t="str">
        <x:v>https://www.eetimes.com/</x:v>
      </x:c>
      <x:c r="I146" s="16" t="d">
        <x:v>2026-10-16T12:00:00.000Z</x:v>
      </x:c>
      <x:c r="J146" s="6" t="str">
        <x:v>https://www.eetimes.com/</x:v>
      </x:c>
      <x:c r="K146" s="6" t="str">
        <x:v>Recent dated coverage verified on the linked page.</x:v>
      </x:c>
    </x:row>
    <x:row r="147" ht="15" hidden="0" customHeight="1">
      <x:c r="A147" s="12" t="n">
        <x:v>13</x:v>
      </x:c>
      <x:c r="B147" s="6" t="str">
        <x:v>Industrial IoT and predictive maintenance</x:v>
      </x:c>
      <x:c r="C147" s="6" t="str">
        <x:v>Connected industry</x:v>
      </x:c>
      <x:c r="D147" s="6" t="str">
        <x:v>Network World</x:v>
      </x:c>
      <x:c r="E147" s="6" t="str">
        <x:v>networkworld.com</x:v>
      </x:c>
      <x:c r="F147" s="6" t="str">
        <x:v>Specialist news</x:v>
      </x:c>
      <x:c r="G147" s="6" t="str">
        <x:v>Enterprise networks, edge, data-center AI and knowledge infrastructure.</x:v>
      </x:c>
      <x:c r="H147" s="6" t="str">
        <x:v>https://www.networkworld.com/</x:v>
      </x:c>
      <x:c r="I147" s="16" t="d">
        <x:v>2026-10-07T12:00:00.000Z</x:v>
      </x:c>
      <x:c r="J147" s="6" t="str">
        <x:v>https://www.networkworld.com/</x:v>
      </x:c>
      <x:c r="K147" s="6" t="str">
        <x:v>Recent dated coverage verified on the linked page.</x:v>
      </x:c>
    </x:row>
    <x:row r="148" ht="15" hidden="0" customHeight="1">
      <x:c r="A148" s="12" t="n">
        <x:v>13</x:v>
      </x:c>
      <x:c r="B148" s="6" t="str">
        <x:v>Industrial IoT and predictive maintenance</x:v>
      </x:c>
      <x:c r="C148" s="6" t="str">
        <x:v>Connected industry</x:v>
      </x:c>
      <x:c r="D148" s="6" t="str">
        <x:v>IoT Analytics</x:v>
      </x:c>
      <x:c r="E148" s="6" t="str">
        <x:v>iot-analytics.com</x:v>
      </x:c>
      <x:c r="F148" s="6" t="str">
        <x:v>Industry research updates</x:v>
      </x:c>
      <x:c r="G148" s="6" t="str">
        <x:v>Research on connected devices and industrial/enterprise AI.</x:v>
      </x:c>
      <x:c r="H148" s="6" t="str">
        <x:v>https://iot-analytics.com/</x:v>
      </x:c>
      <x:c r="I148" s="16" t="d">
        <x:v>2026-02-04T12:00:00.000Z</x:v>
      </x:c>
      <x:c r="J148" s="6" t="str">
        <x:v>https://iot-analytics.com/state-of-enterprise-iot-from-iot-autonomous-connected-operations/</x:v>
      </x:c>
      <x:c r="K148" s="6" t="str">
        <x:v>Recent dated coverage verified on the linked page.</x:v>
      </x:c>
    </x:row>
    <x:row r="149" ht="15" hidden="0" customHeight="1">
      <x:c r="A149" s="12" t="n">
        <x:v>13</x:v>
      </x:c>
      <x:c r="B149" s="6" t="str">
        <x:v>Industrial IoT and predictive maintenance</x:v>
      </x:c>
      <x:c r="C149" s="6" t="str">
        <x:v>Connected industry</x:v>
      </x:c>
      <x:c r="D149" s="6" t="str">
        <x:v>The Register</x:v>
      </x:c>
      <x:c r="E149" s="6" t="str">
        <x:v>theregister.com</x:v>
      </x:c>
      <x:c r="F149" s="6" t="str">
        <x:v>Specialist news</x:v>
      </x:c>
      <x:c r="G149" s="6" t="str">
        <x:v>Enterprise AI, infrastructure, local models and deployment risks.</x:v>
      </x:c>
      <x:c r="H149" s="6" t="str">
        <x:v>https://www.theregister.com/ai_ml/</x:v>
      </x:c>
      <x:c r="I149" s="16" t="d">
        <x:v>2026-10-16T12:00:00.000Z</x:v>
      </x:c>
      <x:c r="J149" s="6" t="str">
        <x:v>https://www.theregister.com/ai-and-ml/2026/10/16/want-your-ai-chats-to-stay-private-brave-tees-up-end-to-end-encryption/5303462</x:v>
      </x:c>
      <x:c r="K149" s="6" t="str">
        <x:v>Recent dated coverage verified on the linked page.</x:v>
      </x:c>
    </x:row>
    <x:row r="150" ht="15" hidden="0" customHeight="1">
      <x:c r="A150" s="12" t="n">
        <x:v>14</x:v>
      </x:c>
      <x:c r="B150" s="6" t="str">
        <x:v>Industrial digital twins</x:v>
      </x:c>
      <x:c r="C150" s="6" t="str">
        <x:v>Connected industry</x:v>
      </x:c>
      <x:c r="D150" s="6" t="str">
        <x:v>Automation World</x:v>
      </x:c>
      <x:c r="E150" s="6" t="str">
        <x:v>automationworld.com</x:v>
      </x:c>
      <x:c r="F150" s="6" t="str">
        <x:v>Specialist news</x:v>
      </x:c>
      <x:c r="G150" s="6" t="str">
        <x:v>Industrial AI, robots, maintenance, digital twins and plant operations.</x:v>
      </x:c>
      <x:c r="H150" s="6" t="str">
        <x:v>https://www.automationworld.com/</x:v>
      </x:c>
      <x:c r="I150" s="16" t="d">
        <x:v>2026-10-15T12:00:00.000Z</x:v>
      </x:c>
      <x:c r="J150" s="6" t="str">
        <x:v>https://www.automationworld.com/</x:v>
      </x:c>
      <x:c r="K150" s="6" t="str">
        <x:v>Recent dated coverage verified on the linked page.</x:v>
      </x:c>
    </x:row>
    <x:row r="151" ht="15" hidden="0" customHeight="1">
      <x:c r="A151" s="12" t="n">
        <x:v>14</x:v>
      </x:c>
      <x:c r="B151" s="6" t="str">
        <x:v>Industrial digital twins</x:v>
      </x:c>
      <x:c r="C151" s="6" t="str">
        <x:v>Connected industry</x:v>
      </x:c>
      <x:c r="D151" s="6" t="str">
        <x:v>Control Engineering</x:v>
      </x:c>
      <x:c r="E151" s="6" t="str">
        <x:v>controleng.com</x:v>
      </x:c>
      <x:c r="F151" s="6" t="str">
        <x:v>Specialist news</x:v>
      </x:c>
      <x:c r="G151" s="6" t="str">
        <x:v>Controls, digital twins, industrial AI, motion and implementation.</x:v>
      </x:c>
      <x:c r="H151" s="6" t="str">
        <x:v>https://www.controleng.com/</x:v>
      </x:c>
      <x:c r="I151" s="16" t="d">
        <x:v>2026-10-05T12:00:00.000Z</x:v>
      </x:c>
      <x:c r="J151" s="6" t="str">
        <x:v>https://www.controleng.com/how-integrating-new-ai-tools-helps-automation-motion-control/</x:v>
      </x:c>
      <x:c r="K151" s="6" t="str">
        <x:v>Recent dated coverage verified on the linked page.</x:v>
      </x:c>
    </x:row>
    <x:row r="152" ht="15" hidden="0" customHeight="1">
      <x:c r="A152" s="12" t="n">
        <x:v>14</x:v>
      </x:c>
      <x:c r="B152" s="6" t="str">
        <x:v>Industrial digital twins</x:v>
      </x:c>
      <x:c r="C152" s="6" t="str">
        <x:v>Connected industry</x:v>
      </x:c>
      <x:c r="D152" s="6" t="str">
        <x:v>Manufacturing Dive</x:v>
      </x:c>
      <x:c r="E152" s="6" t="str">
        <x:v>manufacturingdive.com</x:v>
      </x:c>
      <x:c r="F152" s="6" t="str">
        <x:v>Specialist news</x:v>
      </x:c>
      <x:c r="G152" s="6" t="str">
        <x:v>Broad manufacturing business beat: investment, automation and labor.</x:v>
      </x:c>
      <x:c r="H152" s="6" t="str">
        <x:v>https://www.manufacturingdive.com/</x:v>
      </x:c>
      <x:c r="I152" s="16" t="d">
        <x:v>2026-10-06T12:00:00.000Z</x:v>
      </x:c>
      <x:c r="J152" s="6" t="str">
        <x:v>https://www.manufacturingdive.com/</x:v>
      </x:c>
      <x:c r="K152" s="6" t="str">
        <x:v>Recent dated coverage verified on the linked page.</x:v>
      </x:c>
    </x:row>
    <x:row r="153" ht="15" hidden="0" customHeight="1">
      <x:c r="A153" s="12" t="n">
        <x:v>14</x:v>
      </x:c>
      <x:c r="B153" s="6" t="str">
        <x:v>Industrial digital twins</x:v>
      </x:c>
      <x:c r="C153" s="6" t="str">
        <x:v>Connected industry</x:v>
      </x:c>
      <x:c r="D153" s="6" t="str">
        <x:v>Design World</x:v>
      </x:c>
      <x:c r="E153" s="6" t="str">
        <x:v>designworldonline.com</x:v>
      </x:c>
      <x:c r="F153" s="6" t="str">
        <x:v>Specialist news</x:v>
      </x:c>
      <x:c r="G153" s="6" t="str">
        <x:v>Robots, motion systems, industrial machinery and components.</x:v>
      </x:c>
      <x:c r="H153" s="6" t="str">
        <x:v>https://www.designworldonline.com/</x:v>
      </x:c>
      <x:c r="I153" s="16" t="d">
        <x:v>2026-10-16T12:00:00.000Z</x:v>
      </x:c>
      <x:c r="J153" s="6" t="str">
        <x:v>https://www.designworldonline.com/</x:v>
      </x:c>
      <x:c r="K153" s="6" t="str">
        <x:v>Recent dated coverage verified on the linked page.</x:v>
      </x:c>
    </x:row>
    <x:row r="154" ht="15" hidden="0" customHeight="1">
      <x:c r="A154" s="12" t="n">
        <x:v>14</x:v>
      </x:c>
      <x:c r="B154" s="6" t="str">
        <x:v>Industrial digital twins</x:v>
      </x:c>
      <x:c r="C154" s="6" t="str">
        <x:v>Connected industry</x:v>
      </x:c>
      <x:c r="D154" s="6" t="str">
        <x:v>Engineering.com</x:v>
      </x:c>
      <x:c r="E154" s="6" t="str">
        <x:v>engineering.com</x:v>
      </x:c>
      <x:c r="F154" s="6" t="str">
        <x:v>Specialist news</x:v>
      </x:c>
      <x:c r="G154" s="6" t="str">
        <x:v>Engineering software, twins, physical AI and industrial technology.</x:v>
      </x:c>
      <x:c r="H154" s="6" t="str">
        <x:v>https://www.engineering.com/</x:v>
      </x:c>
      <x:c r="I154" s="16" t="d">
        <x:v>2026-10-14T12:00:00.000Z</x:v>
      </x:c>
      <x:c r="J154" s="6" t="str">
        <x:v>https://www.engineering.com/</x:v>
      </x:c>
      <x:c r="K154" s="6" t="str">
        <x:v>Recent dated coverage verified on the linked page.</x:v>
      </x:c>
    </x:row>
    <x:row r="155" ht="15" hidden="0" customHeight="1">
      <x:c r="A155" s="12" t="n">
        <x:v>14</x:v>
      </x:c>
      <x:c r="B155" s="6" t="str">
        <x:v>Industrial digital twins</x:v>
      </x:c>
      <x:c r="C155" s="6" t="str">
        <x:v>Connected industry</x:v>
      </x:c>
      <x:c r="D155" s="6" t="str">
        <x:v>IoT Now</x:v>
      </x:c>
      <x:c r="E155" s="6" t="str">
        <x:v>iot-now.com</x:v>
      </x:c>
      <x:c r="F155" s="6" t="str">
        <x:v>Specialist news</x:v>
      </x:c>
      <x:c r="G155" s="6" t="str">
        <x:v>Industrial connectivity, edge intelligence and NTN chipsets.</x:v>
      </x:c>
      <x:c r="H155" s="6" t="str">
        <x:v>https://iot-now.com/news/</x:v>
      </x:c>
      <x:c r="I155" s="16" t="d">
        <x:v>2026-10-15T12:00:00.000Z</x:v>
      </x:c>
      <x:c r="J155" s="6" t="str">
        <x:v>https://iot-now.com/news/products-and-services/</x:v>
      </x:c>
      <x:c r="K155" s="6" t="str">
        <x:v>Recent dated coverage verified on the linked page.</x:v>
      </x:c>
    </x:row>
    <x:row r="156" ht="15" hidden="0" customHeight="1">
      <x:c r="A156" s="12" t="n">
        <x:v>14</x:v>
      </x:c>
      <x:c r="B156" s="6" t="str">
        <x:v>Industrial digital twins</x:v>
      </x:c>
      <x:c r="C156" s="6" t="str">
        <x:v>Connected industry</x:v>
      </x:c>
      <x:c r="D156" s="6" t="str">
        <x:v>IoT Business News</x:v>
      </x:c>
      <x:c r="E156" s="6" t="str">
        <x:v>iotbusinessnews.com</x:v>
      </x:c>
      <x:c r="F156" s="6" t="str">
        <x:v>Specialist news</x:v>
      </x:c>
      <x:c r="G156" s="6" t="str">
        <x:v>Industrial IoT, modules, satellite connectivity and operator partnerships.</x:v>
      </x:c>
      <x:c r="H156" s="6" t="str">
        <x:v>https://iotbusinessnews.com/</x:v>
      </x:c>
      <x:c r="I156" s="16" t="d">
        <x:v>2026-10-16T12:00:00.000Z</x:v>
      </x:c>
      <x:c r="J156" s="6" t="str">
        <x:v>https://iotbusinessnews.com/</x:v>
      </x:c>
      <x:c r="K156" s="6" t="str">
        <x:v>Recent dated coverage verified on the linked page.</x:v>
      </x:c>
    </x:row>
    <x:row r="157" ht="15" hidden="0" customHeight="1">
      <x:c r="A157" s="12" t="n">
        <x:v>14</x:v>
      </x:c>
      <x:c r="B157" s="6" t="str">
        <x:v>Industrial digital twins</x:v>
      </x:c>
      <x:c r="C157" s="6" t="str">
        <x:v>Connected industry</x:v>
      </x:c>
      <x:c r="D157" s="6" t="str">
        <x:v>EE Times</x:v>
      </x:c>
      <x:c r="E157" s="6" t="str">
        <x:v>eetimes.com</x:v>
      </x:c>
      <x:c r="F157" s="6" t="str">
        <x:v>Specialist news</x:v>
      </x:c>
      <x:c r="G157" s="6" t="str">
        <x:v>Semiconductors, embedded AI, optics and industrial electronics.</x:v>
      </x:c>
      <x:c r="H157" s="6" t="str">
        <x:v>https://www.eetimes.com/</x:v>
      </x:c>
      <x:c r="I157" s="16" t="d">
        <x:v>2026-10-16T12:00:00.000Z</x:v>
      </x:c>
      <x:c r="J157" s="6" t="str">
        <x:v>https://www.eetimes.com/</x:v>
      </x:c>
      <x:c r="K157" s="6" t="str">
        <x:v>Recent dated coverage verified on the linked page.</x:v>
      </x:c>
    </x:row>
    <x:row r="158" ht="15" hidden="0" customHeight="1">
      <x:c r="A158" s="12" t="n">
        <x:v>14</x:v>
      </x:c>
      <x:c r="B158" s="6" t="str">
        <x:v>Industrial digital twins</x:v>
      </x:c>
      <x:c r="C158" s="6" t="str">
        <x:v>Connected industry</x:v>
      </x:c>
      <x:c r="D158" s="6" t="str">
        <x:v>Network World</x:v>
      </x:c>
      <x:c r="E158" s="6" t="str">
        <x:v>networkworld.com</x:v>
      </x:c>
      <x:c r="F158" s="6" t="str">
        <x:v>Specialist news</x:v>
      </x:c>
      <x:c r="G158" s="6" t="str">
        <x:v>Enterprise networks, edge, data-center AI and knowledge infrastructure.</x:v>
      </x:c>
      <x:c r="H158" s="6" t="str">
        <x:v>https://www.networkworld.com/</x:v>
      </x:c>
      <x:c r="I158" s="16" t="d">
        <x:v>2026-10-07T12:00:00.000Z</x:v>
      </x:c>
      <x:c r="J158" s="6" t="str">
        <x:v>https://www.networkworld.com/</x:v>
      </x:c>
      <x:c r="K158" s="6" t="str">
        <x:v>Recent dated coverage verified on the linked page.</x:v>
      </x:c>
    </x:row>
    <x:row r="159" ht="15" hidden="0" customHeight="1">
      <x:c r="A159" s="12" t="n">
        <x:v>14</x:v>
      </x:c>
      <x:c r="B159" s="6" t="str">
        <x:v>Industrial digital twins</x:v>
      </x:c>
      <x:c r="C159" s="6" t="str">
        <x:v>Connected industry</x:v>
      </x:c>
      <x:c r="D159" s="6" t="str">
        <x:v>IoT Analytics</x:v>
      </x:c>
      <x:c r="E159" s="6" t="str">
        <x:v>iot-analytics.com</x:v>
      </x:c>
      <x:c r="F159" s="6" t="str">
        <x:v>Industry research updates</x:v>
      </x:c>
      <x:c r="G159" s="6" t="str">
        <x:v>Research on connected devices and industrial/enterprise AI.</x:v>
      </x:c>
      <x:c r="H159" s="6" t="str">
        <x:v>https://iot-analytics.com/</x:v>
      </x:c>
      <x:c r="I159" s="16" t="d">
        <x:v>2026-02-04T12:00:00.000Z</x:v>
      </x:c>
      <x:c r="J159" s="6" t="str">
        <x:v>https://iot-analytics.com/state-of-enterprise-iot-from-iot-autonomous-connected-operations/</x:v>
      </x:c>
      <x:c r="K159" s="6" t="str">
        <x:v>Recent dated coverage verified on the linked page.</x:v>
      </x:c>
    </x:row>
    <x:row r="160" ht="15" hidden="0" customHeight="1">
      <x:c r="A160" s="12" t="n">
        <x:v>14</x:v>
      </x:c>
      <x:c r="B160" s="6" t="str">
        <x:v>Industrial digital twins</x:v>
      </x:c>
      <x:c r="C160" s="6" t="str">
        <x:v>Connected industry</x:v>
      </x:c>
      <x:c r="D160" s="6" t="str">
        <x:v>The Register</x:v>
      </x:c>
      <x:c r="E160" s="6" t="str">
        <x:v>theregister.com</x:v>
      </x:c>
      <x:c r="F160" s="6" t="str">
        <x:v>Specialist news</x:v>
      </x:c>
      <x:c r="G160" s="6" t="str">
        <x:v>Enterprise AI, infrastructure, local models and deployment risks.</x:v>
      </x:c>
      <x:c r="H160" s="6" t="str">
        <x:v>https://www.theregister.com/ai_ml/</x:v>
      </x:c>
      <x:c r="I160" s="16" t="d">
        <x:v>2026-10-16T12:00:00.000Z</x:v>
      </x:c>
      <x:c r="J160" s="6" t="str">
        <x:v>https://www.theregister.com/ai-and-ml/2026/10/16/want-your-ai-chats-to-stay-private-brave-tees-up-end-to-end-encryption/5303462</x:v>
      </x:c>
      <x:c r="K160" s="6" t="str">
        <x:v>Recent dated coverage verified on the linked page.</x:v>
      </x:c>
    </x:row>
    <x:row r="161" ht="15" hidden="0" customHeight="1">
      <x:c r="A161" s="12" t="n">
        <x:v>15</x:v>
      </x:c>
      <x:c r="B161" s="6" t="str">
        <x:v>Enterprise spatial computing</x:v>
      </x:c>
      <x:c r="C161" s="6" t="str">
        <x:v>Connected industry</x:v>
      </x:c>
      <x:c r="D161" s="6" t="str">
        <x:v>UC Today — Immersive Work</x:v>
      </x:c>
      <x:c r="E161" s="6" t="str">
        <x:v>uctoday.com</x:v>
      </x:c>
      <x:c r="F161" s="6" t="str">
        <x:v>Specialist news</x:v>
      </x:c>
      <x:c r="G161" s="6" t="str">
        <x:v>Enterprise XR, spatial collaboration and immersive training.</x:v>
      </x:c>
      <x:c r="H161" s="6" t="str">
        <x:v>https://uctoday.com/beat/immersive-work</x:v>
      </x:c>
      <x:c r="I161" s="16" t="d">
        <x:v>2026-10-15T12:00:00.000Z</x:v>
      </x:c>
      <x:c r="J161" s="6" t="str">
        <x:v>https://uctoday.com/beat/immersive-work</x:v>
      </x:c>
      <x:c r="K161" s="6" t="str">
        <x:v>Former XR Today redirects to this active Immersive Work beat.</x:v>
      </x:c>
    </x:row>
    <x:row r="162" ht="15" hidden="0" customHeight="1">
      <x:c r="A162" s="12" t="n">
        <x:v>15</x:v>
      </x:c>
      <x:c r="B162" s="6" t="str">
        <x:v>Enterprise spatial computing</x:v>
      </x:c>
      <x:c r="C162" s="6" t="str">
        <x:v>Connected industry</x:v>
      </x:c>
      <x:c r="D162" s="6" t="str">
        <x:v>Road to VR</x:v>
      </x:c>
      <x:c r="E162" s="6" t="str">
        <x:v>roadtovr.com</x:v>
      </x:c>
      <x:c r="F162" s="6" t="str">
        <x:v>Specialist news</x:v>
      </x:c>
      <x:c r="G162" s="6" t="str">
        <x:v>VR/AR hardware, platforms and market direction.</x:v>
      </x:c>
      <x:c r="H162" s="6" t="str">
        <x:v>https://roadtovr.com/</x:v>
      </x:c>
      <x:c r="I162" s="16" t="d">
        <x:v>2026-10-15T12:00:00.000Z</x:v>
      </x:c>
      <x:c r="J162" s="6" t="str">
        <x:v>https://roadtovr.com/</x:v>
      </x:c>
      <x:c r="K162" s="6" t="str">
        <x:v>Recent dated coverage verified on the linked page.</x:v>
      </x:c>
    </x:row>
    <x:row r="163" ht="15" hidden="0" customHeight="1">
      <x:c r="A163" s="12" t="n">
        <x:v>15</x:v>
      </x:c>
      <x:c r="B163" s="6" t="str">
        <x:v>Enterprise spatial computing</x:v>
      </x:c>
      <x:c r="C163" s="6" t="str">
        <x:v>Connected industry</x:v>
      </x:c>
      <x:c r="D163" s="6" t="str">
        <x:v>UploadVR</x:v>
      </x:c>
      <x:c r="E163" s="6" t="str">
        <x:v>uploadvr.com</x:v>
      </x:c>
      <x:c r="F163" s="6" t="str">
        <x:v>Specialist news</x:v>
      </x:c>
      <x:c r="G163" s="6" t="str">
        <x:v>Headsets, mixed reality software and platform shifts.</x:v>
      </x:c>
      <x:c r="H163" s="6" t="str">
        <x:v>https://www.uploadvr.com/</x:v>
      </x:c>
      <x:c r="I163" s="16" t="d">
        <x:v>2026-10-13T12:00:00.000Z</x:v>
      </x:c>
      <x:c r="J163" s="6" t="str">
        <x:v>https://www.uploadvr.com/</x:v>
      </x:c>
      <x:c r="K163" s="6" t="str">
        <x:v>Recent dated coverage verified on the linked page.</x:v>
      </x:c>
    </x:row>
    <x:row r="164" ht="15" hidden="0" customHeight="1">
      <x:c r="A164" s="12" t="n">
        <x:v>15</x:v>
      </x:c>
      <x:c r="B164" s="6" t="str">
        <x:v>Enterprise spatial computing</x:v>
      </x:c>
      <x:c r="C164" s="6" t="str">
        <x:v>Connected industry</x:v>
      </x:c>
      <x:c r="D164" s="6" t="str">
        <x:v>MIXED</x:v>
      </x:c>
      <x:c r="E164" s="6" t="str">
        <x:v>mixed-news.com</x:v>
      </x:c>
      <x:c r="F164" s="6" t="str">
        <x:v>Specialist news</x:v>
      </x:c>
      <x:c r="G164" s="6" t="str">
        <x:v>XR hardware, AI wearables and applications.</x:v>
      </x:c>
      <x:c r="H164" s="6" t="str">
        <x:v>https://mixed-news.com/en/</x:v>
      </x:c>
      <x:c r="I164" s="16" t="d">
        <x:v>2026-10-17T12:00:00.000Z</x:v>
      </x:c>
      <x:c r="J164" s="6" t="str">
        <x:v>https://mixed-news.com/en/</x:v>
      </x:c>
      <x:c r="K164" s="6" t="str">
        <x:v>Recent dated coverage verified on the linked page.</x:v>
      </x:c>
    </x:row>
    <x:row r="165" ht="15" hidden="0" customHeight="1">
      <x:c r="A165" s="12" t="n">
        <x:v>15</x:v>
      </x:c>
      <x:c r="B165" s="6" t="str">
        <x:v>Enterprise spatial computing</x:v>
      </x:c>
      <x:c r="C165" s="6" t="str">
        <x:v>Connected industry</x:v>
      </x:c>
      <x:c r="D165" s="6" t="str">
        <x:v>Auganix</x:v>
      </x:c>
      <x:c r="E165" s="6" t="str">
        <x:v>auganix.org</x:v>
      </x:c>
      <x:c r="F165" s="6" t="str">
        <x:v>Specialist news</x:v>
      </x:c>
      <x:c r="G165" s="6" t="str">
        <x:v>AR/VR companies, enterprise training and spatial hardware.</x:v>
      </x:c>
      <x:c r="H165" s="6" t="str">
        <x:v>https://www.auganix.org/</x:v>
      </x:c>
      <x:c r="I165" s="16" t="d">
        <x:v>2026-10-16T12:00:00.000Z</x:v>
      </x:c>
      <x:c r="J165" s="6" t="str">
        <x:v>https://www.auganix.org/</x:v>
      </x:c>
      <x:c r="K165" s="6" t="str">
        <x:v>Recent dated coverage verified on the linked page.</x:v>
      </x:c>
    </x:row>
    <x:row r="166" ht="15" hidden="0" customHeight="1">
      <x:c r="A166" s="12" t="n">
        <x:v>15</x:v>
      </x:c>
      <x:c r="B166" s="6" t="str">
        <x:v>Enterprise spatial computing</x:v>
      </x:c>
      <x:c r="C166" s="6" t="str">
        <x:v>Connected industry</x:v>
      </x:c>
      <x:c r="D166" s="6" t="str">
        <x:v>The Ghost Howls</x:v>
      </x:c>
      <x:c r="E166" s="6" t="str">
        <x:v>skarredghost.com</x:v>
      </x:c>
      <x:c r="F166" s="6" t="str">
        <x:v>Specialist news</x:v>
      </x:c>
      <x:c r="G166" s="6" t="str">
        <x:v>Recurring independent XR news and developer experience.</x:v>
      </x:c>
      <x:c r="H166" s="6" t="str">
        <x:v>https://skarredghost.com/</x:v>
      </x:c>
      <x:c r="I166" s="16" t="d">
        <x:v>2026-10-05T12:00:00.000Z</x:v>
      </x:c>
      <x:c r="J166" s="6" t="str">
        <x:v>https://skarredghost.com/</x:v>
      </x:c>
      <x:c r="K166" s="6" t="str">
        <x:v>Recent dated coverage verified on the linked page.</x:v>
      </x:c>
    </x:row>
    <x:row r="167" ht="15" hidden="0" customHeight="1">
      <x:c r="A167" s="12" t="n">
        <x:v>15</x:v>
      </x:c>
      <x:c r="B167" s="6" t="str">
        <x:v>Enterprise spatial computing</x:v>
      </x:c>
      <x:c r="C167" s="6" t="str">
        <x:v>Connected industry</x:v>
      </x:c>
      <x:c r="D167" s="6" t="str">
        <x:v>TechCrunch</x:v>
      </x:c>
      <x:c r="E167" s="6" t="str">
        <x:v>techcrunch.com</x:v>
      </x:c>
      <x:c r="F167" s="6" t="str">
        <x:v>Specialist news</x:v>
      </x:c>
      <x:c r="G167" s="6" t="str">
        <x:v>XR company launches, headset platforms and enterprise glasses.</x:v>
      </x:c>
      <x:c r="H167" s="6" t="str">
        <x:v>https://techcrunch.com/tag/vr/</x:v>
      </x:c>
      <x:c r="I167" s="16" t="d">
        <x:v>2026-09-23T12:00:00.000Z</x:v>
      </x:c>
      <x:c r="J167" s="6" t="str">
        <x:v>https://techcrunch.com/2026/09/23/meta-is-trying-vr-glasses-again-this-time-with-more-imax/</x:v>
      </x:c>
      <x:c r="K167" s="6" t="str">
        <x:v>Recent dated coverage verified on the linked page.</x:v>
      </x:c>
    </x:row>
    <x:row r="168" ht="15" hidden="0" customHeight="1">
      <x:c r="A168" s="12" t="n">
        <x:v>15</x:v>
      </x:c>
      <x:c r="B168" s="6" t="str">
        <x:v>Enterprise spatial computing</x:v>
      </x:c>
      <x:c r="C168" s="6" t="str">
        <x:v>Connected industry</x:v>
      </x:c>
      <x:c r="D168" s="6" t="str">
        <x:v>Ars Technica</x:v>
      </x:c>
      <x:c r="E168" s="6" t="str">
        <x:v>arstechnica.com</x:v>
      </x:c>
      <x:c r="F168" s="6" t="str">
        <x:v>Specialist news</x:v>
      </x:c>
      <x:c r="G168" s="6" t="str">
        <x:v>Broad technology beat with recurring XR hardware, privacy and wearable coverage.</x:v>
      </x:c>
      <x:c r="H168" s="6" t="str">
        <x:v>https://arstechnica.com/tag/smart-glasses/</x:v>
      </x:c>
      <x:c r="I168" s="16" t="d">
        <x:v>2026-10-16T12:00:00.000Z</x:v>
      </x:c>
      <x:c r="J168" s="6" t="str">
        <x:v>https://arstechnica.com/gadgets/2026/10/ray-ban-meta-smart-glasses-found-recording-audio-without-wearers-consent/</x:v>
      </x:c>
      <x:c r="K168" s="6" t="str">
        <x:v>Recent dated coverage verified on the linked page.</x:v>
      </x:c>
    </x:row>
    <x:row r="169" ht="15" hidden="0" customHeight="1">
      <x:c r="A169" s="12" t="n">
        <x:v>15</x:v>
      </x:c>
      <x:c r="B169" s="6" t="str">
        <x:v>Enterprise spatial computing</x:v>
      </x:c>
      <x:c r="C169" s="6" t="str">
        <x:v>Connected industry</x:v>
      </x:c>
      <x:c r="D169" s="6" t="str">
        <x:v>Computerworld</x:v>
      </x:c>
      <x:c r="E169" s="6" t="str">
        <x:v>computerworld.com</x:v>
      </x:c>
      <x:c r="F169" s="6" t="str">
        <x:v>Specialist news</x:v>
      </x:c>
      <x:c r="G169" s="6" t="str">
        <x:v>Enterprise XR adoption, collaboration and workplace use.</x:v>
      </x:c>
      <x:c r="H169" s="6" t="str">
        <x:v>https://www.computerworld.com/virtual-reality/</x:v>
      </x:c>
      <x:c r="I169" s="16" t="d">
        <x:v>2026-02-25T12:00:00.000Z</x:v>
      </x:c>
      <x:c r="J169" s="6" t="str">
        <x:v>https://www.computerworld.com/article/4136836/with-attention-shifting-to-ai-smart-glasses-vr-faces-another-reality-check.html</x:v>
      </x:c>
      <x:c r="K169" s="6" t="str">
        <x:v>Recent dated coverage verified on the linked page.</x:v>
      </x:c>
    </x:row>
    <x:row r="170" ht="15" hidden="0" customHeight="1">
      <x:c r="A170" s="12" t="n">
        <x:v>15</x:v>
      </x:c>
      <x:c r="B170" s="6" t="str">
        <x:v>Enterprise spatial computing</x:v>
      </x:c>
      <x:c r="C170" s="6" t="str">
        <x:v>Connected industry</x:v>
      </x:c>
      <x:c r="D170" s="6" t="str">
        <x:v>The Register</x:v>
      </x:c>
      <x:c r="E170" s="6" t="str">
        <x:v>theregister.com</x:v>
      </x:c>
      <x:c r="F170" s="6" t="str">
        <x:v>Specialist news</x:v>
      </x:c>
      <x:c r="G170" s="6" t="str">
        <x:v>Broad technology beat covering headset economics, enterprise hardware and platform changes.</x:v>
      </x:c>
      <x:c r="H170" s="6" t="str">
        <x:v>https://www.theregister.com/ai_ml/</x:v>
      </x:c>
      <x:c r="I170" s="16" t="d">
        <x:v>2026-01-02T12:00:00.000Z</x:v>
      </x:c>
      <x:c r="J170" s="6" t="str">
        <x:v>https://www.theregister.com/on-prem/2026/01/02/apple-meta-ship-significantly-fewer-vr-headsets-in-2025/2670882</x:v>
      </x:c>
      <x:c r="K170" s="6" t="str">
        <x:v>Recent dated coverage verified on the linked page.</x:v>
      </x:c>
    </x:row>
    <x:row r="171" ht="15" hidden="0" customHeight="1">
      <x:c r="A171" s="12" t="n">
        <x:v>15</x:v>
      </x:c>
      <x:c r="B171" s="6" t="str">
        <x:v>Enterprise spatial computing</x:v>
      </x:c>
      <x:c r="C171" s="6" t="str">
        <x:v>Connected industry</x:v>
      </x:c>
      <x:c r="D171" s="6" t="str">
        <x:v>Engineering.com</x:v>
      </x:c>
      <x:c r="E171" s="6" t="str">
        <x:v>engineering.com</x:v>
      </x:c>
      <x:c r="F171" s="6" t="str">
        <x:v>Specialist news</x:v>
      </x:c>
      <x:c r="G171" s="6" t="str">
        <x:v>Engineering software, twins, physical AI and industrial technology.</x:v>
      </x:c>
      <x:c r="H171" s="6" t="str">
        <x:v>https://www.engineering.com/</x:v>
      </x:c>
      <x:c r="I171" s="16" t="d">
        <x:v>2026-10-14T12:00:00.000Z</x:v>
      </x:c>
      <x:c r="J171" s="6" t="str">
        <x:v>https://www.engineering.com/</x:v>
      </x:c>
      <x:c r="K171" s="6" t="str">
        <x:v>Recent dated coverage verified on the linked page.</x:v>
      </x:c>
    </x:row>
    <x:row r="172" ht="15" hidden="0" customHeight="1">
      <x:c r="A172" s="12" t="n">
        <x:v>16</x:v>
      </x:c>
      <x:c r="B172" s="6" t="str">
        <x:v>Collaborative robots and autonomous mobile robots</x:v>
      </x:c>
      <x:c r="C172" s="6" t="str">
        <x:v>Automation &amp; mobility</x:v>
      </x:c>
      <x:c r="D172" s="6" t="str">
        <x:v>Automation World</x:v>
      </x:c>
      <x:c r="E172" s="6" t="str">
        <x:v>automationworld.com</x:v>
      </x:c>
      <x:c r="F172" s="6" t="str">
        <x:v>Specialist news</x:v>
      </x:c>
      <x:c r="G172" s="6" t="str">
        <x:v>Industrial AI, robots, maintenance, digital twins and plant operations.</x:v>
      </x:c>
      <x:c r="H172" s="6" t="str">
        <x:v>https://www.automationworld.com/</x:v>
      </x:c>
      <x:c r="I172" s="16" t="d">
        <x:v>2026-10-15T12:00:00.000Z</x:v>
      </x:c>
      <x:c r="J172" s="6" t="str">
        <x:v>https://www.automationworld.com/</x:v>
      </x:c>
      <x:c r="K172" s="6" t="str">
        <x:v>Recent dated coverage verified on the linked page.</x:v>
      </x:c>
    </x:row>
    <x:row r="173" ht="15" hidden="0" customHeight="1">
      <x:c r="A173" s="12" t="n">
        <x:v>16</x:v>
      </x:c>
      <x:c r="B173" s="6" t="str">
        <x:v>Collaborative robots and autonomous mobile robots</x:v>
      </x:c>
      <x:c r="C173" s="6" t="str">
        <x:v>Automation &amp; mobility</x:v>
      </x:c>
      <x:c r="D173" s="6" t="str">
        <x:v>Control Engineering</x:v>
      </x:c>
      <x:c r="E173" s="6" t="str">
        <x:v>controleng.com</x:v>
      </x:c>
      <x:c r="F173" s="6" t="str">
        <x:v>Specialist news</x:v>
      </x:c>
      <x:c r="G173" s="6" t="str">
        <x:v>Controls, digital twins, industrial AI, motion and implementation.</x:v>
      </x:c>
      <x:c r="H173" s="6" t="str">
        <x:v>https://www.controleng.com/</x:v>
      </x:c>
      <x:c r="I173" s="16" t="d">
        <x:v>2026-10-05T12:00:00.000Z</x:v>
      </x:c>
      <x:c r="J173" s="6" t="str">
        <x:v>https://www.controleng.com/how-integrating-new-ai-tools-helps-automation-motion-control/</x:v>
      </x:c>
      <x:c r="K173" s="6" t="str">
        <x:v>Recent dated coverage verified on the linked page.</x:v>
      </x:c>
    </x:row>
    <x:row r="174" ht="15" hidden="0" customHeight="1">
      <x:c r="A174" s="12" t="n">
        <x:v>16</x:v>
      </x:c>
      <x:c r="B174" s="6" t="str">
        <x:v>Collaborative robots and autonomous mobile robots</x:v>
      </x:c>
      <x:c r="C174" s="6" t="str">
        <x:v>Automation &amp; mobility</x:v>
      </x:c>
      <x:c r="D174" s="6" t="str">
        <x:v>Design World</x:v>
      </x:c>
      <x:c r="E174" s="6" t="str">
        <x:v>designworldonline.com</x:v>
      </x:c>
      <x:c r="F174" s="6" t="str">
        <x:v>Specialist news</x:v>
      </x:c>
      <x:c r="G174" s="6" t="str">
        <x:v>Robots, motion systems, industrial machinery and components.</x:v>
      </x:c>
      <x:c r="H174" s="6" t="str">
        <x:v>https://www.designworldonline.com/</x:v>
      </x:c>
      <x:c r="I174" s="16" t="d">
        <x:v>2026-10-16T12:00:00.000Z</x:v>
      </x:c>
      <x:c r="J174" s="6" t="str">
        <x:v>https://www.designworldonline.com/</x:v>
      </x:c>
      <x:c r="K174" s="6" t="str">
        <x:v>Recent dated coverage verified on the linked page.</x:v>
      </x:c>
    </x:row>
    <x:row r="175" ht="15" hidden="0" customHeight="1">
      <x:c r="A175" s="12" t="n">
        <x:v>16</x:v>
      </x:c>
      <x:c r="B175" s="6" t="str">
        <x:v>Collaborative robots and autonomous mobile robots</x:v>
      </x:c>
      <x:c r="C175" s="6" t="str">
        <x:v>Automation &amp; mobility</x:v>
      </x:c>
      <x:c r="D175" s="6" t="str">
        <x:v>Engineering.com</x:v>
      </x:c>
      <x:c r="E175" s="6" t="str">
        <x:v>engineering.com</x:v>
      </x:c>
      <x:c r="F175" s="6" t="str">
        <x:v>Specialist news</x:v>
      </x:c>
      <x:c r="G175" s="6" t="str">
        <x:v>Engineering software, twins, physical AI and industrial technology.</x:v>
      </x:c>
      <x:c r="H175" s="6" t="str">
        <x:v>https://www.engineering.com/</x:v>
      </x:c>
      <x:c r="I175" s="16" t="d">
        <x:v>2026-10-14T12:00:00.000Z</x:v>
      </x:c>
      <x:c r="J175" s="6" t="str">
        <x:v>https://www.engineering.com/</x:v>
      </x:c>
      <x:c r="K175" s="6" t="str">
        <x:v>Recent dated coverage verified on the linked page.</x:v>
      </x:c>
    </x:row>
    <x:row r="176" ht="15" hidden="0" customHeight="1">
      <x:c r="A176" s="12" t="n">
        <x:v>16</x:v>
      </x:c>
      <x:c r="B176" s="6" t="str">
        <x:v>Collaborative robots and autonomous mobile robots</x:v>
      </x:c>
      <x:c r="C176" s="6" t="str">
        <x:v>Automation &amp; mobility</x:v>
      </x:c>
      <x:c r="D176" s="6" t="str">
        <x:v>Robotics &amp; Automation News</x:v>
      </x:c>
      <x:c r="E176" s="6" t="str">
        <x:v>roboticsandautomationnews.com</x:v>
      </x:c>
      <x:c r="F176" s="6" t="str">
        <x:v>Specialist news</x:v>
      </x:c>
      <x:c r="G176" s="6" t="str">
        <x:v>Cobots, AMRs, humanoids, suppliers and deployments.</x:v>
      </x:c>
      <x:c r="H176" s="6" t="str">
        <x:v>https://roboticsandautomationnews.com/</x:v>
      </x:c>
      <x:c r="I176" s="16" t="d">
        <x:v>2026-10-02T12:00:00.000Z</x:v>
      </x:c>
      <x:c r="J176" s="6" t="str">
        <x:v>https://roboticsandautomationnews.com/2026/10/02/flexiv-features-the-future-of-force-control-at-iros-2026/105435/</x:v>
      </x:c>
      <x:c r="K176" s="6" t="str">
        <x:v>Recent dated coverage verified on the linked page.</x:v>
      </x:c>
    </x:row>
    <x:row r="177" ht="15" hidden="0" customHeight="1">
      <x:c r="A177" s="12" t="n">
        <x:v>16</x:v>
      </x:c>
      <x:c r="B177" s="6" t="str">
        <x:v>Collaborative robots and autonomous mobile robots</x:v>
      </x:c>
      <x:c r="C177" s="6" t="str">
        <x:v>Automation &amp; mobility</x:v>
      </x:c>
      <x:c r="D177" s="6" t="str">
        <x:v>Association for Advancing Automation</x:v>
      </x:c>
      <x:c r="E177" s="6" t="str">
        <x:v>automate.org</x:v>
      </x:c>
      <x:c r="F177" s="6" t="str">
        <x:v>Industry association news</x:v>
      </x:c>
      <x:c r="G177" s="6" t="str">
        <x:v>Robot orders, adoption economics and industrial automation news.</x:v>
      </x:c>
      <x:c r="H177" s="6" t="str">
        <x:v>https://www.automate.org/</x:v>
      </x:c>
      <x:c r="I177" s="16" t="d">
        <x:v>2026-09-11T12:00:00.000Z</x:v>
      </x:c>
      <x:c r="J177" s="6" t="str">
        <x:v>https://www.automate.org/business-of-automation/episodes</x:v>
      </x:c>
      <x:c r="K177" s="6" t="str">
        <x:v>Recent dated coverage verified on the linked page.</x:v>
      </x:c>
    </x:row>
    <x:row r="178" ht="15" hidden="0" customHeight="1">
      <x:c r="A178" s="12" t="n">
        <x:v>16</x:v>
      </x:c>
      <x:c r="B178" s="6" t="str">
        <x:v>Collaborative robots and autonomous mobile robots</x:v>
      </x:c>
      <x:c r="C178" s="6" t="str">
        <x:v>Automation &amp; mobility</x:v>
      </x:c>
      <x:c r="D178" s="6" t="str">
        <x:v>EE Times</x:v>
      </x:c>
      <x:c r="E178" s="6" t="str">
        <x:v>eetimes.com</x:v>
      </x:c>
      <x:c r="F178" s="6" t="str">
        <x:v>Specialist news</x:v>
      </x:c>
      <x:c r="G178" s="6" t="str">
        <x:v>Semiconductors, embedded AI, optics and industrial electronics.</x:v>
      </x:c>
      <x:c r="H178" s="6" t="str">
        <x:v>https://www.eetimes.com/</x:v>
      </x:c>
      <x:c r="I178" s="16" t="d">
        <x:v>2026-10-16T12:00:00.000Z</x:v>
      </x:c>
      <x:c r="J178" s="6" t="str">
        <x:v>https://www.eetimes.com/</x:v>
      </x:c>
      <x:c r="K178" s="6" t="str">
        <x:v>Recent dated coverage verified on the linked page.</x:v>
      </x:c>
    </x:row>
    <x:row r="179" ht="15" hidden="0" customHeight="1">
      <x:c r="A179" s="12" t="n">
        <x:v>16</x:v>
      </x:c>
      <x:c r="B179" s="6" t="str">
        <x:v>Collaborative robots and autonomous mobile robots</x:v>
      </x:c>
      <x:c r="C179" s="6" t="str">
        <x:v>Automation &amp; mobility</x:v>
      </x:c>
      <x:c r="D179" s="6" t="str">
        <x:v>Manufacturing Dive</x:v>
      </x:c>
      <x:c r="E179" s="6" t="str">
        <x:v>manufacturingdive.com</x:v>
      </x:c>
      <x:c r="F179" s="6" t="str">
        <x:v>Specialist news</x:v>
      </x:c>
      <x:c r="G179" s="6" t="str">
        <x:v>Broad manufacturing business beat: investment, automation and labor.</x:v>
      </x:c>
      <x:c r="H179" s="6" t="str">
        <x:v>https://www.manufacturingdive.com/</x:v>
      </x:c>
      <x:c r="I179" s="16" t="d">
        <x:v>2026-10-06T12:00:00.000Z</x:v>
      </x:c>
      <x:c r="J179" s="6" t="str">
        <x:v>https://www.manufacturingdive.com/</x:v>
      </x:c>
      <x:c r="K179" s="6" t="str">
        <x:v>Recent dated coverage verified on the linked page.</x:v>
      </x:c>
    </x:row>
    <x:row r="180" ht="15" hidden="0" customHeight="1">
      <x:c r="A180" s="12" t="n">
        <x:v>16</x:v>
      </x:c>
      <x:c r="B180" s="6" t="str">
        <x:v>Collaborative robots and autonomous mobile robots</x:v>
      </x:c>
      <x:c r="C180" s="6" t="str">
        <x:v>Automation &amp; mobility</x:v>
      </x:c>
      <x:c r="D180" s="6" t="str">
        <x:v>VentureBeat</x:v>
      </x:c>
      <x:c r="E180" s="6" t="str">
        <x:v>venturebeat.com</x:v>
      </x:c>
      <x:c r="F180" s="6" t="str">
        <x:v>Specialist news</x:v>
      </x:c>
      <x:c r="G180" s="6" t="str">
        <x:v>Enterprise AI: agents, models and operating economics.</x:v>
      </x:c>
      <x:c r="H180" s="6" t="str">
        <x:v>https://venturebeat.com/</x:v>
      </x:c>
      <x:c r="I180" s="16" t="d">
        <x:v>2026-10-16T12:00:00.000Z</x:v>
      </x:c>
      <x:c r="J180" s="6" t="str">
        <x:v>https://venturebeat.com/</x:v>
      </x:c>
      <x:c r="K180" s="6" t="str">
        <x:v>Recent dated coverage verified on the linked page.</x:v>
      </x:c>
    </x:row>
    <x:row r="181" ht="15" hidden="0" customHeight="1">
      <x:c r="A181" s="12" t="n">
        <x:v>16</x:v>
      </x:c>
      <x:c r="B181" s="6" t="str">
        <x:v>Collaborative robots and autonomous mobile robots</x:v>
      </x:c>
      <x:c r="C181" s="6" t="str">
        <x:v>Automation &amp; mobility</x:v>
      </x:c>
      <x:c r="D181" s="6" t="str">
        <x:v>TechCrunch</x:v>
      </x:c>
      <x:c r="E181" s="6" t="str">
        <x:v>techcrunch.com</x:v>
      </x:c>
      <x:c r="F181" s="6" t="str">
        <x:v>Specialist news</x:v>
      </x:c>
      <x:c r="G181" s="6" t="str">
        <x:v>Robotics companies, funding and deployment strategy; broad technology beat.</x:v>
      </x:c>
      <x:c r="H181" s="6" t="str">
        <x:v>https://techcrunch.com/category/artificial-intelligence/</x:v>
      </x:c>
      <x:c r="I181" s="16" t="d">
        <x:v>2026-07-17T12:00:00.000Z</x:v>
      </x:c>
      <x:c r="J181" s="6" t="str">
        <x:v>https://techcrunch.com/2026/07/17/agility-robotics-plants-its-flag-in-teslas-backyard/</x:v>
      </x:c>
      <x:c r="K181" s="6" t="str">
        <x:v>Recent dated coverage verified on the linked page.</x:v>
      </x:c>
    </x:row>
    <x:row r="182" ht="15" hidden="0" customHeight="1">
      <x:c r="A182" s="12" t="n">
        <x:v>16</x:v>
      </x:c>
      <x:c r="B182" s="6" t="str">
        <x:v>Collaborative robots and autonomous mobile robots</x:v>
      </x:c>
      <x:c r="C182" s="6" t="str">
        <x:v>Automation &amp; mobility</x:v>
      </x:c>
      <x:c r="D182" s="6" t="str">
        <x:v>Ars Technica</x:v>
      </x:c>
      <x:c r="E182" s="6" t="str">
        <x:v>arstechnica.com</x:v>
      </x:c>
      <x:c r="F182" s="6" t="str">
        <x:v>Specialist news</x:v>
      </x:c>
      <x:c r="G182" s="6" t="str">
        <x:v>Broad technology beat covering Amazon robotics, physical AI and automation.</x:v>
      </x:c>
      <x:c r="H182" s="6" t="str">
        <x:v>https://arstechnica.com/ai/</x:v>
      </x:c>
      <x:c r="I182" s="16" t="d">
        <x:v>2026-10-12T12:00:00.000Z</x:v>
      </x:c>
      <x:c r="J182" s="6" t="str">
        <x:v>https://arstechnica.com/ai/</x:v>
      </x:c>
      <x:c r="K182" s="6" t="str">
        <x:v>Recent dated coverage verified on the linked page.</x:v>
      </x:c>
    </x:row>
    <x:row r="183" ht="15" hidden="0" customHeight="1">
      <x:c r="A183" s="12" t="n">
        <x:v>17</x:v>
      </x:c>
      <x:c r="B183" s="6" t="str">
        <x:v>Humanoid robots in structured industrial work</x:v>
      </x:c>
      <x:c r="C183" s="6" t="str">
        <x:v>Automation &amp; mobility</x:v>
      </x:c>
      <x:c r="D183" s="6" t="str">
        <x:v>Robotics &amp; Automation News</x:v>
      </x:c>
      <x:c r="E183" s="6" t="str">
        <x:v>roboticsandautomationnews.com</x:v>
      </x:c>
      <x:c r="F183" s="6" t="str">
        <x:v>Specialist news</x:v>
      </x:c>
      <x:c r="G183" s="6" t="str">
        <x:v>Specialist humanoid shipments, supplier launches and industrial trials.</x:v>
      </x:c>
      <x:c r="H183" s="6" t="str">
        <x:v>https://roboticsandautomationnews.com/</x:v>
      </x:c>
      <x:c r="I183" s="16" t="d">
        <x:v>2026-10-02T12:00:00.000Z</x:v>
      </x:c>
      <x:c r="J183" s="6" t="str">
        <x:v>https://roboticsandautomationnews.com/2026/10/02/idc-data-shows-agibot-led-global-humanoid-robot-shipments-in-h1-2026/105463/</x:v>
      </x:c>
      <x:c r="K183" s="6" t="str">
        <x:v>Recent dated coverage verified on the linked page.</x:v>
      </x:c>
    </x:row>
    <x:row r="184" ht="15" hidden="0" customHeight="1">
      <x:c r="A184" s="12" t="n">
        <x:v>17</x:v>
      </x:c>
      <x:c r="B184" s="6" t="str">
        <x:v>Humanoid robots in structured industrial work</x:v>
      </x:c>
      <x:c r="C184" s="6" t="str">
        <x:v>Automation &amp; mobility</x:v>
      </x:c>
      <x:c r="D184" s="6" t="str">
        <x:v>Association for Advancing Automation</x:v>
      </x:c>
      <x:c r="E184" s="6" t="str">
        <x:v>automate.org</x:v>
      </x:c>
      <x:c r="F184" s="6" t="str">
        <x:v>Industry association news</x:v>
      </x:c>
      <x:c r="G184" s="6" t="str">
        <x:v>Humanoid adoption economics, factory buyers and alternatives.</x:v>
      </x:c>
      <x:c r="H184" s="6" t="str">
        <x:v>https://www.automate.org/</x:v>
      </x:c>
      <x:c r="I184" s="16" t="d">
        <x:v>2026-09-11T12:00:00.000Z</x:v>
      </x:c>
      <x:c r="J184" s="6" t="str">
        <x:v>https://www.automate.org/business-of-automation/episodes</x:v>
      </x:c>
      <x:c r="K184" s="6" t="str">
        <x:v>Dated September 11 episode verifies recent publication; the separately sourced September humanoid article adds topic-specific evidence.</x:v>
      </x:c>
    </x:row>
    <x:row r="185" ht="15" hidden="0" customHeight="1">
      <x:c r="A185" s="12" t="n">
        <x:v>17</x:v>
      </x:c>
      <x:c r="B185" s="6" t="str">
        <x:v>Humanoid robots in structured industrial work</x:v>
      </x:c>
      <x:c r="C185" s="6" t="str">
        <x:v>Automation &amp; mobility</x:v>
      </x:c>
      <x:c r="D185" s="6" t="str">
        <x:v>Automation World</x:v>
      </x:c>
      <x:c r="E185" s="6" t="str">
        <x:v>automationworld.com</x:v>
      </x:c>
      <x:c r="F185" s="6" t="str">
        <x:v>Specialist news</x:v>
      </x:c>
      <x:c r="G185" s="6" t="str">
        <x:v>Industrial AI, robots, maintenance, digital twins and plant operations.</x:v>
      </x:c>
      <x:c r="H185" s="6" t="str">
        <x:v>https://www.automationworld.com/</x:v>
      </x:c>
      <x:c r="I185" s="16" t="d">
        <x:v>2026-10-15T12:00:00.000Z</x:v>
      </x:c>
      <x:c r="J185" s="6" t="str">
        <x:v>https://www.automationworld.com/</x:v>
      </x:c>
      <x:c r="K185" s="6" t="str">
        <x:v>Recent dated coverage verified on the linked page.</x:v>
      </x:c>
    </x:row>
    <x:row r="186" ht="15" hidden="0" customHeight="1">
      <x:c r="A186" s="12" t="n">
        <x:v>17</x:v>
      </x:c>
      <x:c r="B186" s="6" t="str">
        <x:v>Humanoid robots in structured industrial work</x:v>
      </x:c>
      <x:c r="C186" s="6" t="str">
        <x:v>Automation &amp; mobility</x:v>
      </x:c>
      <x:c r="D186" s="6" t="str">
        <x:v>Control Engineering</x:v>
      </x:c>
      <x:c r="E186" s="6" t="str">
        <x:v>controleng.com</x:v>
      </x:c>
      <x:c r="F186" s="6" t="str">
        <x:v>Specialist news</x:v>
      </x:c>
      <x:c r="G186" s="6" t="str">
        <x:v>Controls, digital twins, industrial AI, motion and implementation.</x:v>
      </x:c>
      <x:c r="H186" s="6" t="str">
        <x:v>https://www.controleng.com/</x:v>
      </x:c>
      <x:c r="I186" s="16" t="d">
        <x:v>2026-10-05T12:00:00.000Z</x:v>
      </x:c>
      <x:c r="J186" s="6" t="str">
        <x:v>https://www.controleng.com/how-integrating-new-ai-tools-helps-automation-motion-control/</x:v>
      </x:c>
      <x:c r="K186" s="6" t="str">
        <x:v>Recent dated coverage verified on the linked page.</x:v>
      </x:c>
    </x:row>
    <x:row r="187" ht="15" hidden="0" customHeight="1">
      <x:c r="A187" s="12" t="n">
        <x:v>17</x:v>
      </x:c>
      <x:c r="B187" s="6" t="str">
        <x:v>Humanoid robots in structured industrial work</x:v>
      </x:c>
      <x:c r="C187" s="6" t="str">
        <x:v>Automation &amp; mobility</x:v>
      </x:c>
      <x:c r="D187" s="6" t="str">
        <x:v>Design World</x:v>
      </x:c>
      <x:c r="E187" s="6" t="str">
        <x:v>designworldonline.com</x:v>
      </x:c>
      <x:c r="F187" s="6" t="str">
        <x:v>Specialist news</x:v>
      </x:c>
      <x:c r="G187" s="6" t="str">
        <x:v>Robots, motion systems, industrial machinery and components.</x:v>
      </x:c>
      <x:c r="H187" s="6" t="str">
        <x:v>https://www.designworldonline.com/</x:v>
      </x:c>
      <x:c r="I187" s="16" t="d">
        <x:v>2026-10-16T12:00:00.000Z</x:v>
      </x:c>
      <x:c r="J187" s="6" t="str">
        <x:v>https://www.designworldonline.com/</x:v>
      </x:c>
      <x:c r="K187" s="6" t="str">
        <x:v>Recent dated coverage verified on the linked page.</x:v>
      </x:c>
    </x:row>
    <x:row r="188" ht="15" hidden="0" customHeight="1">
      <x:c r="A188" s="12" t="n">
        <x:v>17</x:v>
      </x:c>
      <x:c r="B188" s="6" t="str">
        <x:v>Humanoid robots in structured industrial work</x:v>
      </x:c>
      <x:c r="C188" s="6" t="str">
        <x:v>Automation &amp; mobility</x:v>
      </x:c>
      <x:c r="D188" s="6" t="str">
        <x:v>Engineering.com</x:v>
      </x:c>
      <x:c r="E188" s="6" t="str">
        <x:v>engineering.com</x:v>
      </x:c>
      <x:c r="F188" s="6" t="str">
        <x:v>Specialist news</x:v>
      </x:c>
      <x:c r="G188" s="6" t="str">
        <x:v>Engineering software, twins, physical AI and industrial technology.</x:v>
      </x:c>
      <x:c r="H188" s="6" t="str">
        <x:v>https://www.engineering.com/</x:v>
      </x:c>
      <x:c r="I188" s="16" t="d">
        <x:v>2026-10-14T12:00:00.000Z</x:v>
      </x:c>
      <x:c r="J188" s="6" t="str">
        <x:v>https://www.engineering.com/</x:v>
      </x:c>
      <x:c r="K188" s="6" t="str">
        <x:v>Recent dated coverage verified on the linked page.</x:v>
      </x:c>
    </x:row>
    <x:row r="189" ht="15" hidden="0" customHeight="1">
      <x:c r="A189" s="12" t="n">
        <x:v>17</x:v>
      </x:c>
      <x:c r="B189" s="6" t="str">
        <x:v>Humanoid robots in structured industrial work</x:v>
      </x:c>
      <x:c r="C189" s="6" t="str">
        <x:v>Automation &amp; mobility</x:v>
      </x:c>
      <x:c r="D189" s="6" t="str">
        <x:v>EE Times</x:v>
      </x:c>
      <x:c r="E189" s="6" t="str">
        <x:v>eetimes.com</x:v>
      </x:c>
      <x:c r="F189" s="6" t="str">
        <x:v>Specialist news</x:v>
      </x:c>
      <x:c r="G189" s="6" t="str">
        <x:v>Semiconductors, embedded AI, optics and industrial electronics.</x:v>
      </x:c>
      <x:c r="H189" s="6" t="str">
        <x:v>https://www.eetimes.com/</x:v>
      </x:c>
      <x:c r="I189" s="16" t="d">
        <x:v>2026-10-16T12:00:00.000Z</x:v>
      </x:c>
      <x:c r="J189" s="6" t="str">
        <x:v>https://www.eetimes.com/</x:v>
      </x:c>
      <x:c r="K189" s="6" t="str">
        <x:v>Recent dated coverage verified on the linked page.</x:v>
      </x:c>
    </x:row>
    <x:row r="190" ht="15" hidden="0" customHeight="1">
      <x:c r="A190" s="12" t="n">
        <x:v>17</x:v>
      </x:c>
      <x:c r="B190" s="6" t="str">
        <x:v>Humanoid robots in structured industrial work</x:v>
      </x:c>
      <x:c r="C190" s="6" t="str">
        <x:v>Automation &amp; mobility</x:v>
      </x:c>
      <x:c r="D190" s="6" t="str">
        <x:v>Manufacturing Dive</x:v>
      </x:c>
      <x:c r="E190" s="6" t="str">
        <x:v>manufacturingdive.com</x:v>
      </x:c>
      <x:c r="F190" s="6" t="str">
        <x:v>Specialist news</x:v>
      </x:c>
      <x:c r="G190" s="6" t="str">
        <x:v>Broad manufacturing business beat: investment, automation and labor.</x:v>
      </x:c>
      <x:c r="H190" s="6" t="str">
        <x:v>https://www.manufacturingdive.com/</x:v>
      </x:c>
      <x:c r="I190" s="16" t="d">
        <x:v>2026-10-06T12:00:00.000Z</x:v>
      </x:c>
      <x:c r="J190" s="6" t="str">
        <x:v>https://www.manufacturingdive.com/</x:v>
      </x:c>
      <x:c r="K190" s="6" t="str">
        <x:v>Recent dated coverage verified on the linked page.</x:v>
      </x:c>
    </x:row>
    <x:row r="191" ht="15" hidden="0" customHeight="1">
      <x:c r="A191" s="12" t="n">
        <x:v>17</x:v>
      </x:c>
      <x:c r="B191" s="6" t="str">
        <x:v>Humanoid robots in structured industrial work</x:v>
      </x:c>
      <x:c r="C191" s="6" t="str">
        <x:v>Automation &amp; mobility</x:v>
      </x:c>
      <x:c r="D191" s="6" t="str">
        <x:v>VentureBeat</x:v>
      </x:c>
      <x:c r="E191" s="6" t="str">
        <x:v>venturebeat.com</x:v>
      </x:c>
      <x:c r="F191" s="6" t="str">
        <x:v>Specialist news</x:v>
      </x:c>
      <x:c r="G191" s="6" t="str">
        <x:v>Enterprise AI: agents, models and operating economics.</x:v>
      </x:c>
      <x:c r="H191" s="6" t="str">
        <x:v>https://venturebeat.com/</x:v>
      </x:c>
      <x:c r="I191" s="16" t="d">
        <x:v>2026-10-16T12:00:00.000Z</x:v>
      </x:c>
      <x:c r="J191" s="6" t="str">
        <x:v>https://venturebeat.com/</x:v>
      </x:c>
      <x:c r="K191" s="6" t="str">
        <x:v>Recent dated coverage verified on the linked page.</x:v>
      </x:c>
    </x:row>
    <x:row r="192" ht="15" hidden="0" customHeight="1">
      <x:c r="A192" s="12" t="n">
        <x:v>17</x:v>
      </x:c>
      <x:c r="B192" s="6" t="str">
        <x:v>Humanoid robots in structured industrial work</x:v>
      </x:c>
      <x:c r="C192" s="6" t="str">
        <x:v>Automation &amp; mobility</x:v>
      </x:c>
      <x:c r="D192" s="6" t="str">
        <x:v>TechCrunch</x:v>
      </x:c>
      <x:c r="E192" s="6" t="str">
        <x:v>techcrunch.com</x:v>
      </x:c>
      <x:c r="F192" s="6" t="str">
        <x:v>Specialist news</x:v>
      </x:c>
      <x:c r="G192" s="6" t="str">
        <x:v>Humanoid startups, funding, deployments and expansion.</x:v>
      </x:c>
      <x:c r="H192" s="6" t="str">
        <x:v>https://techcrunch.com/category/artificial-intelligence/</x:v>
      </x:c>
      <x:c r="I192" s="16" t="d">
        <x:v>2026-07-17T12:00:00.000Z</x:v>
      </x:c>
      <x:c r="J192" s="6" t="str">
        <x:v>https://techcrunch.com/2026/07/17/agility-robotics-plants-its-flag-in-teslas-backyard/</x:v>
      </x:c>
      <x:c r="K192" s="6" t="str">
        <x:v>Recent dated coverage verified on the linked page.</x:v>
      </x:c>
    </x:row>
    <x:row r="193" ht="15" hidden="0" customHeight="1">
      <x:c r="A193" s="12" t="n">
        <x:v>17</x:v>
      </x:c>
      <x:c r="B193" s="6" t="str">
        <x:v>Humanoid robots in structured industrial work</x:v>
      </x:c>
      <x:c r="C193" s="6" t="str">
        <x:v>Automation &amp; mobility</x:v>
      </x:c>
      <x:c r="D193" s="6" t="str">
        <x:v>Ars Technica</x:v>
      </x:c>
      <x:c r="E193" s="6" t="str">
        <x:v>arstechnica.com</x:v>
      </x:c>
      <x:c r="F193" s="6" t="str">
        <x:v>Specialist news</x:v>
      </x:c>
      <x:c r="G193" s="6" t="str">
        <x:v>Broad technology beat covering physical AI, robotics and deployment limits.</x:v>
      </x:c>
      <x:c r="H193" s="6" t="str">
        <x:v>https://arstechnica.com/ai/</x:v>
      </x:c>
      <x:c r="I193" s="16" t="d">
        <x:v>2026-10-12T12:00:00.000Z</x:v>
      </x:c>
      <x:c r="J193" s="6" t="str">
        <x:v>https://arstechnica.com/ai/</x:v>
      </x:c>
      <x:c r="K193" s="6" t="str">
        <x:v>Recent dated coverage verified on the linked page.</x:v>
      </x:c>
    </x:row>
    <x:row r="194" ht="15" hidden="0" customHeight="1">
      <x:c r="A194" s="12" t="n">
        <x:v>18</x:v>
      </x:c>
      <x:c r="B194" s="6" t="str">
        <x:v>Robotaxis and autonomous driving</x:v>
      </x:c>
      <x:c r="C194" s="6" t="str">
        <x:v>Automation &amp; mobility</x:v>
      </x:c>
      <x:c r="D194" s="6" t="str">
        <x:v>TechCrunch</x:v>
      </x:c>
      <x:c r="E194" s="6" t="str">
        <x:v>techcrunch.com</x:v>
      </x:c>
      <x:c r="F194" s="6" t="str">
        <x:v>Specialist news</x:v>
      </x:c>
      <x:c r="G194" s="6" t="str">
        <x:v>Robotaxi launches, operators, funding and autonomous-driving partnerships.</x:v>
      </x:c>
      <x:c r="H194" s="6" t="str">
        <x:v>https://techcrunch.com/tag/autonomous-vehicles/</x:v>
      </x:c>
      <x:c r="I194" s="16" t="d">
        <x:v>2026-10-16T12:00:00.000Z</x:v>
      </x:c>
      <x:c r="J194" s="6" t="str">
        <x:v>https://techcrunch.com/2026/10/16/waymos-robotaxis-are-headed-to-canada/</x:v>
      </x:c>
      <x:c r="K194" s="6" t="str">
        <x:v>Publication date and topic coverage observed in the live page or search index; subscription access may be required for the full article.</x:v>
      </x:c>
    </x:row>
    <x:row r="195" ht="15" hidden="0" customHeight="1">
      <x:c r="A195" s="12" t="n">
        <x:v>18</x:v>
      </x:c>
      <x:c r="B195" s="6" t="str">
        <x:v>Robotaxis and autonomous driving</x:v>
      </x:c>
      <x:c r="C195" s="6" t="str">
        <x:v>Automation &amp; mobility</x:v>
      </x:c>
      <x:c r="D195" s="6" t="str">
        <x:v>Reuters</x:v>
      </x:c>
      <x:c r="E195" s="6" t="str">
        <x:v>reuters.com</x:v>
      </x:c>
      <x:c r="F195" s="6" t="str">
        <x:v>Business news</x:v>
      </x:c>
      <x:c r="G195" s="6" t="str">
        <x:v>Global operator expansion, regulation and commercial partnerships.</x:v>
      </x:c>
      <x:c r="H195" s="6" t="str">
        <x:v>https://www.reuters.com/business/autos-transportation/</x:v>
      </x:c>
      <x:c r="I195" s="16" t="d">
        <x:v>2026-10-16T12:00:00.000Z</x:v>
      </x:c>
      <x:c r="J195" s="6" t="str">
        <x:v>https://www.reuters.com/business/googles-waymo-plans-first-canada-robotaxi-service-toronto-2028-2026-10-16/</x:v>
      </x:c>
      <x:c r="K195" s="6" t="str">
        <x:v>Publication date and topic coverage observed in the live page or search index; subscription access may be required for the full article.</x:v>
      </x:c>
    </x:row>
    <x:row r="196" ht="15" hidden="0" customHeight="1">
      <x:c r="A196" s="12" t="n">
        <x:v>18</x:v>
      </x:c>
      <x:c r="B196" s="6" t="str">
        <x:v>Robotaxis and autonomous driving</x:v>
      </x:c>
      <x:c r="C196" s="6" t="str">
        <x:v>Automation &amp; mobility</x:v>
      </x:c>
      <x:c r="D196" s="6" t="str">
        <x:v>Electrek</x:v>
      </x:c>
      <x:c r="E196" s="6" t="str">
        <x:v>electrek.co</x:v>
      </x:c>
      <x:c r="F196" s="6" t="str">
        <x:v>Specialist news</x:v>
      </x:c>
      <x:c r="G196" s="6" t="str">
        <x:v>Electric robotaxis and deployment plans.</x:v>
      </x:c>
      <x:c r="H196" s="6" t="str">
        <x:v>https://electrek.co/</x:v>
      </x:c>
      <x:c r="I196" s="16" t="d">
        <x:v>2026-10-16T12:00:00.000Z</x:v>
      </x:c>
      <x:c r="J196" s="6" t="str">
        <x:v>https://electrek.co/2026/10/16/waymo-toronto-canada-robotaxi-2028/</x:v>
      </x:c>
      <x:c r="K196" s="6" t="str">
        <x:v>Publication date and topic coverage observed in the live page or search index; subscription access may be required for the full article.</x:v>
      </x:c>
    </x:row>
    <x:row r="197" ht="15" hidden="0" customHeight="1">
      <x:c r="A197" s="12" t="n">
        <x:v>18</x:v>
      </x:c>
      <x:c r="B197" s="6" t="str">
        <x:v>Robotaxis and autonomous driving</x:v>
      </x:c>
      <x:c r="C197" s="6" t="str">
        <x:v>Automation &amp; mobility</x:v>
      </x:c>
      <x:c r="D197" s="6" t="str">
        <x:v>The Guardian</x:v>
      </x:c>
      <x:c r="E197" s="6" t="str">
        <x:v>theguardian.com</x:v>
      </x:c>
      <x:c r="F197" s="6" t="str">
        <x:v>General news</x:v>
      </x:c>
      <x:c r="G197" s="6" t="str">
        <x:v>Public deployment, transport policy and social response to autonomous vehicles.</x:v>
      </x:c>
      <x:c r="H197" s="6" t="str">
        <x:v>https://www.theguardian.com/technology</x:v>
      </x:c>
      <x:c r="I197" s="16" t="d">
        <x:v>2026-10-14T12:00:00.000Z</x:v>
      </x:c>
      <x:c r="J197" s="6" t="str">
        <x:v>https://www.theguardian.com/technology/2026/oct/14/uber-self-driving-robotaxi-trial-manchester</x:v>
      </x:c>
      <x:c r="K197" s="6" t="str">
        <x:v>Publication date and topic coverage observed in the live page or search index; subscription access may be required for the full article.</x:v>
      </x:c>
    </x:row>
    <x:row r="198" ht="15" hidden="0" customHeight="1">
      <x:c r="A198" s="12" t="n">
        <x:v>18</x:v>
      </x:c>
      <x:c r="B198" s="6" t="str">
        <x:v>Robotaxis and autonomous driving</x:v>
      </x:c>
      <x:c r="C198" s="6" t="str">
        <x:v>Automation &amp; mobility</x:v>
      </x:c>
      <x:c r="D198" s="6" t="str">
        <x:v>Ars Technica</x:v>
      </x:c>
      <x:c r="E198" s="6" t="str">
        <x:v>arstechnica.com</x:v>
      </x:c>
      <x:c r="F198" s="6" t="str">
        <x:v>Specialist news</x:v>
      </x:c>
      <x:c r="G198" s="6" t="str">
        <x:v>Autonomous-driving engineering, safety and operator strategy.</x:v>
      </x:c>
      <x:c r="H198" s="6" t="str">
        <x:v>https://arstechnica.com/cars/</x:v>
      </x:c>
      <x:c r="I198" s="16" t="d">
        <x:v>2026-06-16T12:00:00.000Z</x:v>
      </x:c>
      <x:c r="J198" s="6" t="str">
        <x:v>https://arstechnica.com/cars/2026/06/mobileye-is-entering-the-us-robotaxi-market-with-standalone-service/</x:v>
      </x:c>
      <x:c r="K198" s="6" t="str">
        <x:v>Publication date and topic coverage observed in the live page or search index; subscription access may be required for the full article.</x:v>
      </x:c>
    </x:row>
    <x:row r="199" ht="15" hidden="0" customHeight="1">
      <x:c r="A199" s="12" t="n">
        <x:v>18</x:v>
      </x:c>
      <x:c r="B199" s="6" t="str">
        <x:v>Robotaxis and autonomous driving</x:v>
      </x:c>
      <x:c r="C199" s="6" t="str">
        <x:v>Automation &amp; mobility</x:v>
      </x:c>
      <x:c r="D199" s="6" t="str">
        <x:v>EE Times</x:v>
      </x:c>
      <x:c r="E199" s="6" t="str">
        <x:v>eetimes.com</x:v>
      </x:c>
      <x:c r="F199" s="6" t="str">
        <x:v>Specialist news</x:v>
      </x:c>
      <x:c r="G199" s="6" t="str">
        <x:v>Sensors, vehicle compute and autonomous-driving engineering; topic feed.</x:v>
      </x:c>
      <x:c r="H199" s="6" t="str">
        <x:v>https://www.eetimes.com/tag/autonomous-vehicles/</x:v>
      </x:c>
      <x:c r="I199" s="16" t="d">
        <x:v>2026-01-28T12:00:00.000Z</x:v>
      </x:c>
      <x:c r="J199" s="6" t="str">
        <x:v>https://www.eetimes.com/waymo-year-end-2025-status/</x:v>
      </x:c>
      <x:c r="K199" s="6" t="str">
        <x:v>Dated January 28, 2026 article directly verified; vehicle launch announcements and rider-only operations are distinguished.</x:v>
      </x:c>
    </x:row>
    <x:row r="200" ht="15" hidden="0" customHeight="1">
      <x:c r="A200" s="12" t="n">
        <x:v>18</x:v>
      </x:c>
      <x:c r="B200" s="6" t="str">
        <x:v>Robotaxis and autonomous driving</x:v>
      </x:c>
      <x:c r="C200" s="6" t="str">
        <x:v>Automation &amp; mobility</x:v>
      </x:c>
      <x:c r="D200" s="6" t="str">
        <x:v>electrive</x:v>
      </x:c>
      <x:c r="E200" s="6" t="str">
        <x:v>electrive.com</x:v>
      </x:c>
      <x:c r="F200" s="6" t="str">
        <x:v>Specialist news</x:v>
      </x:c>
      <x:c r="G200" s="6" t="str">
        <x:v>European and global robotaxi programmes and autonomous EV partnerships.</x:v>
      </x:c>
      <x:c r="H200" s="6" t="str">
        <x:v>https://www.electrive.com/category/autonomous-driving/</x:v>
      </x:c>
      <x:c r="I200" s="16" t="d">
        <x:v>2026-10-13T12:00:00.000Z</x:v>
      </x:c>
      <x:c r="J200" s="6" t="str">
        <x:v>https://www.electrive.com/category/autonomous-driving/</x:v>
      </x:c>
      <x:c r="K200" s="6" t="str">
        <x:v>Topic feed directly verified with October 13, 2026 fleet-management news and multiple October autonomous-driving updates.</x:v>
      </x:c>
    </x:row>
    <x:row r="201" ht="15" hidden="0" customHeight="1">
      <x:c r="A201" s="12" t="n">
        <x:v>18</x:v>
      </x:c>
      <x:c r="B201" s="6" t="str">
        <x:v>Robotaxis and autonomous driving</x:v>
      </x:c>
      <x:c r="C201" s="6" t="str">
        <x:v>Automation &amp; mobility</x:v>
      </x:c>
      <x:c r="D201" s="6" t="str">
        <x:v>Bloomberg</x:v>
      </x:c>
      <x:c r="E201" s="6" t="str">
        <x:v>bloomberg.com</x:v>
      </x:c>
      <x:c r="F201" s="6" t="str">
        <x:v>Business news</x:v>
      </x:c>
      <x:c r="G201" s="6" t="str">
        <x:v>Fleet expansion economics and public/private company financing.</x:v>
      </x:c>
      <x:c r="H201" s="6" t="str">
        <x:v>https://www.bloomberg.com/technology</x:v>
      </x:c>
      <x:c r="I201" s="16" t="d">
        <x:v>2026-02-11T12:00:00.000Z</x:v>
      </x:c>
      <x:c r="J201" s="6" t="str">
        <x:v>https://www.bloomberg.com/news/articles/2026-02-11/waymo-co-ceo-outlines-path-to-1-million-weekly-trips-in-2026</x:v>
      </x:c>
      <x:c r="K201" s="6" t="str">
        <x:v>Headline and publication date verified; full story may be paywalled.</x:v>
      </x:c>
    </x:row>
    <x:row r="202" ht="15" hidden="0" customHeight="1">
      <x:c r="A202" s="12" t="n">
        <x:v>18</x:v>
      </x:c>
      <x:c r="B202" s="6" t="str">
        <x:v>Robotaxis and autonomous driving</x:v>
      </x:c>
      <x:c r="C202" s="6" t="str">
        <x:v>Automation &amp; mobility</x:v>
      </x:c>
      <x:c r="D202" s="6" t="str">
        <x:v>Design News</x:v>
      </x:c>
      <x:c r="E202" s="6" t="str">
        <x:v>designnews.com</x:v>
      </x:c>
      <x:c r="F202" s="6" t="str">
        <x:v>Specialist news</x:v>
      </x:c>
      <x:c r="G202" s="6" t="str">
        <x:v>Autonomous vehicle engineering and deployment economics.</x:v>
      </x:c>
      <x:c r="H202" s="6" t="str">
        <x:v>https://www.designnews.com/automotive-engineering</x:v>
      </x:c>
      <x:c r="I202" s="16" t="d">
        <x:v>2026-02-02T12:00:00.000Z</x:v>
      </x:c>
      <x:c r="J202" s="6" t="str">
        <x:v>https://www.designnews.com/automotive-engineering/autonomous-taxi-turning-point-2026</x:v>
      </x:c>
      <x:c r="K202" s="6" t="str">
        <x:v>Publication date and topic coverage observed in the live page or search index; subscription access may be required for the full article.</x:v>
      </x:c>
    </x:row>
    <x:row r="203" ht="15" hidden="0" customHeight="1">
      <x:c r="A203" s="12" t="n">
        <x:v>18</x:v>
      </x:c>
      <x:c r="B203" s="6" t="str">
        <x:v>Robotaxis and autonomous driving</x:v>
      </x:c>
      <x:c r="C203" s="6" t="str">
        <x:v>Automation &amp; mobility</x:v>
      </x:c>
      <x:c r="D203" s="6" t="str">
        <x:v>RoboTaxiReport</x:v>
      </x:c>
      <x:c r="E203" s="6" t="str">
        <x:v>robotaxireport.com</x:v>
      </x:c>
      <x:c r="F203" s="6" t="str">
        <x:v>Specialist newsletter</x:v>
      </x:c>
      <x:c r="G203" s="6" t="str">
        <x:v>Specialist weekly operator and robotaxi deployment roundup.</x:v>
      </x:c>
      <x:c r="H203" s="6" t="str">
        <x:v>https://robotaxireport.com/report</x:v>
      </x:c>
      <x:c r="I203" s="16" t="d">
        <x:v>2026-10-05T12:00:00.000Z</x:v>
      </x:c>
      <x:c r="J203" s="6" t="str">
        <x:v>https://robotaxireport.com/report</x:v>
      </x:c>
      <x:c r="K203" s="6" t="str">
        <x:v>Issue dated October 5, 2026 observed; a specialised newsletter rather than a primary safety dataset.</x:v>
      </x:c>
    </x:row>
    <x:row r="204" ht="15" hidden="0" customHeight="1">
      <x:c r="A204" s="12" t="n">
        <x:v>19</x:v>
      </x:c>
      <x:c r="B204" s="6" t="str">
        <x:v>Autonomous delivery drones</x:v>
      </x:c>
      <x:c r="C204" s="6" t="str">
        <x:v>Automation &amp; mobility</x:v>
      </x:c>
      <x:c r="D204" s="6" t="str">
        <x:v>DroneDJ</x:v>
      </x:c>
      <x:c r="E204" s="6" t="str">
        <x:v>dronedj.com</x:v>
      </x:c>
      <x:c r="F204" s="6" t="str">
        <x:v>Specialist news</x:v>
      </x:c>
      <x:c r="G204" s="6" t="str">
        <x:v>Drone delivery operators, aircraft, retailer integrations and approvals.</x:v>
      </x:c>
      <x:c r="H204" s="6" t="str">
        <x:v>https://dronedj.com/</x:v>
      </x:c>
      <x:c r="I204" s="16" t="d">
        <x:v>2026-10-13T12:00:00.000Z</x:v>
      </x:c>
      <x:c r="J204" s="6" t="str">
        <x:v>https://dronedj.com/</x:v>
      </x:c>
      <x:c r="K204" s="6" t="str">
        <x:v>Publication date and topic coverage observed in the live page or search index; subscription access may be required for the full article.</x:v>
      </x:c>
    </x:row>
    <x:row r="205" ht="15" hidden="0" customHeight="1">
      <x:c r="A205" s="12" t="n">
        <x:v>19</x:v>
      </x:c>
      <x:c r="B205" s="6" t="str">
        <x:v>Autonomous delivery drones</x:v>
      </x:c>
      <x:c r="C205" s="6" t="str">
        <x:v>Automation &amp; mobility</x:v>
      </x:c>
      <x:c r="D205" s="6" t="str">
        <x:v>DroneXL</x:v>
      </x:c>
      <x:c r="E205" s="6" t="str">
        <x:v>dronexl.co</x:v>
      </x:c>
      <x:c r="F205" s="6" t="str">
        <x:v>Specialist news</x:v>
      </x:c>
      <x:c r="G205" s="6" t="str">
        <x:v>Drone delivery deployment tracker with operator-specific updates.</x:v>
      </x:c>
      <x:c r="H205" s="6" t="str">
        <x:v>https://dronexl.co/tracker/drone-delivery/</x:v>
      </x:c>
      <x:c r="I205" s="16" t="d">
        <x:v>2026-10-12T12:00:00.000Z</x:v>
      </x:c>
      <x:c r="J205" s="6" t="str">
        <x:v>https://dronexl.co/tracker/drone-delivery/operators/wing/</x:v>
      </x:c>
      <x:c r="K205" s="6" t="str">
        <x:v>Publication date and topic coverage observed in the live page or search index; subscription access may be required for the full article.</x:v>
      </x:c>
    </x:row>
    <x:row r="206" ht="15" hidden="0" customHeight="1">
      <x:c r="A206" s="12" t="n">
        <x:v>19</x:v>
      </x:c>
      <x:c r="B206" s="6" t="str">
        <x:v>Autonomous delivery drones</x:v>
      </x:c>
      <x:c r="C206" s="6" t="str">
        <x:v>Automation &amp; mobility</x:v>
      </x:c>
      <x:c r="D206" s="6" t="str">
        <x:v>Commercial UAV News</x:v>
      </x:c>
      <x:c r="E206" s="6" t="str">
        <x:v>commercialuavnews.com</x:v>
      </x:c>
      <x:c r="F206" s="6" t="str">
        <x:v>Specialist news</x:v>
      </x:c>
      <x:c r="G206" s="6" t="str">
        <x:v>Commercial delivery, traffic management and aircraft operations.</x:v>
      </x:c>
      <x:c r="H206" s="6" t="str">
        <x:v>https://www.commercialuavnews.com/drone-delivery/</x:v>
      </x:c>
      <x:c r="I206" s="16" t="d">
        <x:v>2026-10-16T12:00:00.000Z</x:v>
      </x:c>
      <x:c r="J206" s="6" t="str">
        <x:v>https://www.commercialuavnews.com/drone-delivery/</x:v>
      </x:c>
      <x:c r="K206" s="6" t="str">
        <x:v>Publication date and topic coverage observed in the live page or search index; subscription access may be required for the full article.</x:v>
      </x:c>
    </x:row>
    <x:row r="207" ht="15" hidden="0" customHeight="1">
      <x:c r="A207" s="12" t="n">
        <x:v>19</x:v>
      </x:c>
      <x:c r="B207" s="6" t="str">
        <x:v>Autonomous delivery drones</x:v>
      </x:c>
      <x:c r="C207" s="6" t="str">
        <x:v>Automation &amp; mobility</x:v>
      </x:c>
      <x:c r="D207" s="6" t="str">
        <x:v>Unmanned Systems Technology</x:v>
      </x:c>
      <x:c r="E207" s="6" t="str">
        <x:v>unmannedsystemstechnology.com</x:v>
      </x:c>
      <x:c r="F207" s="6" t="str">
        <x:v>Specialist news</x:v>
      </x:c>
      <x:c r="G207" s="6" t="str">
        <x:v>Cargo aircraft, payload systems and commercial drone deployments.</x:v>
      </x:c>
      <x:c r="H207" s="6" t="str">
        <x:v>https://www.unmannedsystemstechnology.com/category/news/cargo-delivery-drones/</x:v>
      </x:c>
      <x:c r="I207" s="16" t="d">
        <x:v>2026-09-16T12:00:00.000Z</x:v>
      </x:c>
      <x:c r="J207" s="6" t="str">
        <x:v>https://www.unmannedsystemstechnology.com/category/news/cargo-delivery-drones/</x:v>
      </x:c>
      <x:c r="K207" s="6" t="str">
        <x:v>Publication date and topic coverage observed in the live page or search index; subscription access may be required for the full article.</x:v>
      </x:c>
    </x:row>
    <x:row r="208" ht="15" hidden="0" customHeight="1">
      <x:c r="A208" s="12" t="n">
        <x:v>19</x:v>
      </x:c>
      <x:c r="B208" s="6" t="str">
        <x:v>Autonomous delivery drones</x:v>
      </x:c>
      <x:c r="C208" s="6" t="str">
        <x:v>Automation &amp; mobility</x:v>
      </x:c>
      <x:c r="D208" s="6" t="str">
        <x:v>Supply Chain Dive</x:v>
      </x:c>
      <x:c r="E208" s="6" t="str">
        <x:v>supplychaindive.com</x:v>
      </x:c>
      <x:c r="F208" s="6" t="str">
        <x:v>Specialist news</x:v>
      </x:c>
      <x:c r="G208" s="6" t="str">
        <x:v>Retail deployment and last-mile logistics economics.</x:v>
      </x:c>
      <x:c r="H208" s="6" t="str">
        <x:v>https://www.supplychaindive.com/</x:v>
      </x:c>
      <x:c r="I208" s="16" t="d">
        <x:v>2026-10-13T12:00:00.000Z</x:v>
      </x:c>
      <x:c r="J208" s="6" t="str">
        <x:v>https://www.supplychaindive.com/news/walmart-to-expand-wing-drone-delivery-to-denver-seattle/832654/</x:v>
      </x:c>
      <x:c r="K208" s="6" t="str">
        <x:v>Publication date and topic coverage observed in the live page or search index; subscription access may be required for the full article.</x:v>
      </x:c>
    </x:row>
    <x:row r="209" ht="15" hidden="0" customHeight="1">
      <x:c r="A209" s="12" t="n">
        <x:v>19</x:v>
      </x:c>
      <x:c r="B209" s="6" t="str">
        <x:v>Autonomous delivery drones</x:v>
      </x:c>
      <x:c r="C209" s="6" t="str">
        <x:v>Automation &amp; mobility</x:v>
      </x:c>
      <x:c r="D209" s="6" t="str">
        <x:v>TechCrunch</x:v>
      </x:c>
      <x:c r="E209" s="6" t="str">
        <x:v>techcrunch.com</x:v>
      </x:c>
      <x:c r="F209" s="6" t="str">
        <x:v>Specialist news</x:v>
      </x:c>
      <x:c r="G209" s="6" t="str">
        <x:v>Drone delivery startup, retail and platform developments.</x:v>
      </x:c>
      <x:c r="H209" s="6" t="str">
        <x:v>https://techcrunch.com/</x:v>
      </x:c>
      <x:c r="I209" s="16" t="d">
        <x:v>2026-06-10T12:00:00.000Z</x:v>
      </x:c>
      <x:c r="J209" s="6" t="str">
        <x:v>https://techcrunch.com/2026/06/10/wing-drone-delivery-might-not-be-a-novelty-anymore/</x:v>
      </x:c>
      <x:c r="K209" s="6" t="str">
        <x:v>Publication date and topic coverage observed in the live page or search index; subscription access may be required for the full article.</x:v>
      </x:c>
    </x:row>
    <x:row r="210" ht="15" hidden="0" customHeight="1">
      <x:c r="A210" s="12" t="n">
        <x:v>19</x:v>
      </x:c>
      <x:c r="B210" s="6" t="str">
        <x:v>Autonomous delivery drones</x:v>
      </x:c>
      <x:c r="C210" s="6" t="str">
        <x:v>Automation &amp; mobility</x:v>
      </x:c>
      <x:c r="D210" s="6" t="str">
        <x:v>Reuters</x:v>
      </x:c>
      <x:c r="E210" s="6" t="str">
        <x:v>reuters.com</x:v>
      </x:c>
      <x:c r="F210" s="6" t="str">
        <x:v>Business news</x:v>
      </x:c>
      <x:c r="G210" s="6" t="str">
        <x:v>Drone delivery regulation, corporate investment and operating launches.</x:v>
      </x:c>
      <x:c r="H210" s="6" t="str">
        <x:v>https://www.reuters.com/technology/</x:v>
      </x:c>
      <x:c r="I210" s="16" t="d">
        <x:v>2026-10-14T12:00:00.000Z</x:v>
      </x:c>
      <x:c r="J210" s="6" t="str">
        <x:v>https://www.reuters.com/business/retail-consumer/us-lawmakers-ask-faa-conduct-review-before-allowing-amazon-drone-hub-near-boston-2026-10-14/</x:v>
      </x:c>
      <x:c r="K210" s="6" t="str">
        <x:v>Publication date and topic coverage observed in the live page or search index; subscription access may be required for the full article.</x:v>
      </x:c>
    </x:row>
    <x:row r="211" ht="15" hidden="0" customHeight="1">
      <x:c r="A211" s="12" t="n">
        <x:v>19</x:v>
      </x:c>
      <x:c r="B211" s="6" t="str">
        <x:v>Autonomous delivery drones</x:v>
      </x:c>
      <x:c r="C211" s="6" t="str">
        <x:v>Automation &amp; mobility</x:v>
      </x:c>
      <x:c r="D211" s="6" t="str">
        <x:v>FLYING</x:v>
      </x:c>
      <x:c r="E211" s="6" t="str">
        <x:v>flyingmag.com</x:v>
      </x:c>
      <x:c r="F211" s="6" t="str">
        <x:v>Specialist news</x:v>
      </x:c>
      <x:c r="G211" s="6" t="str">
        <x:v>Delivery aircraft, FAA approvals and operator networks.</x:v>
      </x:c>
      <x:c r="H211" s="6" t="str">
        <x:v>https://www.flyingmag.com/</x:v>
      </x:c>
      <x:c r="I211" s="16" t="d">
        <x:v>2026-07-30T12:00:00.000Z</x:v>
      </x:c>
      <x:c r="J211" s="6" t="str">
        <x:v>https://www.flyingmag.com/how-doordash-will-build-drone-delivery-business/</x:v>
      </x:c>
      <x:c r="K211" s="6" t="str">
        <x:v>Publication date and topic coverage observed in the live page or search index; subscription access may be required for the full article.</x:v>
      </x:c>
    </x:row>
    <x:row r="212" ht="15" hidden="0" customHeight="1">
      <x:c r="A212" s="12" t="n">
        <x:v>19</x:v>
      </x:c>
      <x:c r="B212" s="6" t="str">
        <x:v>Autonomous delivery drones</x:v>
      </x:c>
      <x:c r="C212" s="6" t="str">
        <x:v>Automation &amp; mobility</x:v>
      </x:c>
      <x:c r="D212" s="6" t="str">
        <x:v>Axios</x:v>
      </x:c>
      <x:c r="E212" s="6" t="str">
        <x:v>axios.com</x:v>
      </x:c>
      <x:c r="F212" s="6" t="str">
        <x:v>Business news</x:v>
      </x:c>
      <x:c r="G212" s="6" t="str">
        <x:v>Commercial delivery scale and private-company financing; broad technology/business beat.</x:v>
      </x:c>
      <x:c r="H212" s="6" t="str">
        <x:v>https://www.axios.com/</x:v>
      </x:c>
      <x:c r="I212" s="16" t="d">
        <x:v>2026-01-21T12:00:00.000Z</x:v>
      </x:c>
      <x:c r="J212" s="6" t="str">
        <x:v>https://www.axios.com/2026/01/21/zipline-drone-deliveries</x:v>
      </x:c>
      <x:c r="K212" s="6" t="str">
        <x:v>Publication date and topic coverage observed in the live page or search index; subscription access may be required for the full article.</x:v>
      </x:c>
    </x:row>
    <x:row r="213" ht="15" hidden="0" customHeight="1">
      <x:c r="A213" s="12" t="n">
        <x:v>19</x:v>
      </x:c>
      <x:c r="B213" s="6" t="str">
        <x:v>Autonomous delivery drones</x:v>
      </x:c>
      <x:c r="C213" s="6" t="str">
        <x:v>Automation &amp; mobility</x:v>
      </x:c>
      <x:c r="D213" s="6" t="str">
        <x:v>TechCentral.ie</x:v>
      </x:c>
      <x:c r="E213" s="6" t="str">
        <x:v>techcentral.ie</x:v>
      </x:c>
      <x:c r="F213" s="6" t="str">
        <x:v>Specialist news</x:v>
      </x:c>
      <x:c r="G213" s="6" t="str">
        <x:v>Irish and European delivery partnerships and commercial technology.</x:v>
      </x:c>
      <x:c r="H213" s="6" t="str">
        <x:v>https://www.techcentral.ie/</x:v>
      </x:c>
      <x:c r="I213" s="16" t="d">
        <x:v>2026-02-27T12:00:00.000Z</x:v>
      </x:c>
      <x:c r="J213" s="6" t="str">
        <x:v>https://www.techcentral.ie/uber-launches-drone-delivery-service-in-partnership-with-manna/</x:v>
      </x:c>
      <x:c r="K213" s="6" t="str">
        <x:v>Publication date and topic coverage observed in the live page or search index; subscription access may be required for the full article.</x:v>
      </x:c>
    </x:row>
    <x:row r="214" ht="15" hidden="0" customHeight="1">
      <x:c r="A214" s="12" t="n">
        <x:v>20</x:v>
      </x:c>
      <x:c r="B214" s="6" t="str">
        <x:v>Software-defined vehicles</x:v>
      </x:c>
      <x:c r="C214" s="6" t="str">
        <x:v>Automation &amp; mobility</x:v>
      </x:c>
      <x:c r="D214" s="6" t="str">
        <x:v>Embedded</x:v>
      </x:c>
      <x:c r="E214" s="6" t="str">
        <x:v>embedded.com</x:v>
      </x:c>
      <x:c r="F214" s="6" t="str">
        <x:v>Specialist news</x:v>
      </x:c>
      <x:c r="G214" s="6" t="str">
        <x:v>Embedded vehicle software, security and development architecture.</x:v>
      </x:c>
      <x:c r="H214" s="6" t="str">
        <x:v>https://www.embedded.com/</x:v>
      </x:c>
      <x:c r="I214" s="16" t="d">
        <x:v>2026-09-24T12:00:00.000Z</x:v>
      </x:c>
      <x:c r="J214" s="6" t="str">
        <x:v>https://www.embedded.com/why-software-defined-vehicles-need-a-new-security-foundation/</x:v>
      </x:c>
      <x:c r="K214" s="6" t="str">
        <x:v>Publication date and topic coverage observed in the live page or search index; subscription access may be required for the full article.</x:v>
      </x:c>
    </x:row>
    <x:row r="215" ht="24" hidden="0" customHeight="1">
      <x:c r="A215" s="12" t="n">
        <x:v>20</x:v>
      </x:c>
      <x:c r="B215" s="6" t="str">
        <x:v>Software-defined vehicles</x:v>
      </x:c>
      <x:c r="C215" s="6" t="str">
        <x:v>Automation &amp; mobility</x:v>
      </x:c>
      <x:c r="D215" s="6" t="str">
        <x:v>Automotive Testing Technology International</x:v>
      </x:c>
      <x:c r="E215" s="6" t="str">
        <x:v>automotivetestingtechnologyinternational.com</x:v>
      </x:c>
      <x:c r="F215" s="6" t="str">
        <x:v>Specialist news</x:v>
      </x:c>
      <x:c r="G215" s="6" t="str">
        <x:v>SDV engineering, simulation, software partnerships and validation.</x:v>
      </x:c>
      <x:c r="H215" s="6" t="str">
        <x:v>https://www.automotivetestingtechnologyinternational.com/news/software-engineering-sdvs</x:v>
      </x:c>
      <x:c r="I215" s="16" t="d">
        <x:v>2026-10-07T12:00:00.000Z</x:v>
      </x:c>
      <x:c r="J215" s="6" t="str">
        <x:v>https://www.automotivetestingtechnologyinternational.com/news/software-engineering-sdvs/applied-intuition-and-honda-collaborate-on-next-gen-software-defined-vehicle-development.html</x:v>
      </x:c>
      <x:c r="K215" s="6" t="str">
        <x:v>Publication date and topic coverage observed in the live page or search index; subscription access may be required for the full article.</x:v>
      </x:c>
    </x:row>
    <x:row r="216" ht="15" hidden="0" customHeight="1">
      <x:c r="A216" s="12" t="n">
        <x:v>20</x:v>
      </x:c>
      <x:c r="B216" s="6" t="str">
        <x:v>Software-defined vehicles</x:v>
      </x:c>
      <x:c r="C216" s="6" t="str">
        <x:v>Automation &amp; mobility</x:v>
      </x:c>
      <x:c r="D216" s="6" t="str">
        <x:v>WardsAuto</x:v>
      </x:c>
      <x:c r="E216" s="6" t="str">
        <x:v>wardsauto.com</x:v>
      </x:c>
      <x:c r="F216" s="6" t="str">
        <x:v>Specialist news</x:v>
      </x:c>
      <x:c r="G216" s="6" t="str">
        <x:v>Automaker execution and the commercial shift to software-defined vehicles.</x:v>
      </x:c>
      <x:c r="H216" s="6" t="str">
        <x:v>https://www.wardsauto.com/</x:v>
      </x:c>
      <x:c r="I216" s="16" t="d">
        <x:v>2026-06-04T12:00:00.000Z</x:v>
      </x:c>
      <x:c r="J216" s="6" t="str">
        <x:v>https://www.wardsauto.com/news/why-western-oems-are-falling-behind-china-in-sdv-development/821897/</x:v>
      </x:c>
      <x:c r="K216" s="6" t="str">
        <x:v>Publication date and topic coverage observed in the live page or search index; subscription access may be required for the full article.</x:v>
      </x:c>
    </x:row>
    <x:row r="217" ht="15" hidden="0" customHeight="1">
      <x:c r="A217" s="12" t="n">
        <x:v>20</x:v>
      </x:c>
      <x:c r="B217" s="6" t="str">
        <x:v>Software-defined vehicles</x:v>
      </x:c>
      <x:c r="C217" s="6" t="str">
        <x:v>Automation &amp; mobility</x:v>
      </x:c>
      <x:c r="D217" s="6" t="str">
        <x:v>electrive</x:v>
      </x:c>
      <x:c r="E217" s="6" t="str">
        <x:v>electrive.com</x:v>
      </x:c>
      <x:c r="F217" s="6" t="str">
        <x:v>Specialist news</x:v>
      </x:c>
      <x:c r="G217" s="6" t="str">
        <x:v>EV software architectures, suppliers and driver-assistance partnerships.</x:v>
      </x:c>
      <x:c r="H217" s="6" t="str">
        <x:v>https://www.electrive.com/</x:v>
      </x:c>
      <x:c r="I217" s="16" t="d">
        <x:v>2026-01-07T12:00:00.000Z</x:v>
      </x:c>
      <x:c r="J217" s="6" t="str">
        <x:v>https://www.electrive.com/2026/01/07/zf-and-qualcomm-develop-adas-systems-up-to-level-3/</x:v>
      </x:c>
      <x:c r="K217" s="6" t="str">
        <x:v>Publication date and topic coverage observed in the live page or search index; subscription access may be required for the full article.</x:v>
      </x:c>
    </x:row>
    <x:row r="218" ht="15" hidden="0" customHeight="1">
      <x:c r="A218" s="12" t="n">
        <x:v>20</x:v>
      </x:c>
      <x:c r="B218" s="6" t="str">
        <x:v>Software-defined vehicles</x:v>
      </x:c>
      <x:c r="C218" s="6" t="str">
        <x:v>Automation &amp; mobility</x:v>
      </x:c>
      <x:c r="D218" s="6" t="str">
        <x:v>Design News</x:v>
      </x:c>
      <x:c r="E218" s="6" t="str">
        <x:v>designnews.com</x:v>
      </x:c>
      <x:c r="F218" s="6" t="str">
        <x:v>Specialist news</x:v>
      </x:c>
      <x:c r="G218" s="6" t="str">
        <x:v>Automotive connectivity and software architecture engineering.</x:v>
      </x:c>
      <x:c r="H218" s="6" t="str">
        <x:v>https://www.designnews.com/automotive-engineering</x:v>
      </x:c>
      <x:c r="I218" s="16" t="d">
        <x:v>2026-08-11T12:00:00.000Z</x:v>
      </x:c>
      <x:c r="J218" s="6" t="str">
        <x:v>https://www.designnews.com/automotive-engineering/software-defined-connectivity-becomes-strategic-priority-for-automakers-as-networks-evolve</x:v>
      </x:c>
      <x:c r="K218" s="6" t="str">
        <x:v>Publication date and topic coverage observed in the live page or search index; subscription access may be required for the full article.</x:v>
      </x:c>
    </x:row>
    <x:row r="219" ht="15" hidden="0" customHeight="1">
      <x:c r="A219" s="12" t="n">
        <x:v>20</x:v>
      </x:c>
      <x:c r="B219" s="6" t="str">
        <x:v>Software-defined vehicles</x:v>
      </x:c>
      <x:c r="C219" s="6" t="str">
        <x:v>Automation &amp; mobility</x:v>
      </x:c>
      <x:c r="D219" s="6" t="str">
        <x:v>TechCrunch</x:v>
      </x:c>
      <x:c r="E219" s="6" t="str">
        <x:v>techcrunch.com</x:v>
      </x:c>
      <x:c r="F219" s="6" t="str">
        <x:v>Specialist news</x:v>
      </x:c>
      <x:c r="G219" s="6" t="str">
        <x:v>Vehicle-platform strategy and software-led competition; broader mobility beat.</x:v>
      </x:c>
      <x:c r="H219" s="6" t="str">
        <x:v>https://techcrunch.com/</x:v>
      </x:c>
      <x:c r="I219" s="16" t="d">
        <x:v>2026-03-14T12:00:00.000Z</x:v>
      </x:c>
      <x:c r="J219" s="6" t="str">
        <x:v>https://techcrunch.com/2026/03/14/honda-is-killing-its-evs-and-any-chance-of-competing-in-the-future/</x:v>
      </x:c>
      <x:c r="K219" s="6" t="str">
        <x:v>Publication date and topic coverage observed in the live page or search index; subscription access may be required for the full article.</x:v>
      </x:c>
    </x:row>
    <x:row r="220" ht="15" hidden="0" customHeight="1">
      <x:c r="A220" s="12" t="n">
        <x:v>20</x:v>
      </x:c>
      <x:c r="B220" s="6" t="str">
        <x:v>Software-defined vehicles</x:v>
      </x:c>
      <x:c r="C220" s="6" t="str">
        <x:v>Automation &amp; mobility</x:v>
      </x:c>
      <x:c r="D220" s="6" t="str">
        <x:v>EE Times</x:v>
      </x:c>
      <x:c r="E220" s="6" t="str">
        <x:v>eetimes.com</x:v>
      </x:c>
      <x:c r="F220" s="6" t="str">
        <x:v>Specialist news</x:v>
      </x:c>
      <x:c r="G220" s="6" t="str">
        <x:v>Automotive semiconductors, software tooling and safety architectures.</x:v>
      </x:c>
      <x:c r="H220" s="6" t="str">
        <x:v>https://www.eetimes.com/designline/automotive-designline/</x:v>
      </x:c>
      <x:c r="I220" s="16" t="d">
        <x:v>2026-01-26T12:00:00.000Z</x:v>
      </x:c>
      <x:c r="J220" s="6" t="str">
        <x:v>https://www.eetimes.com/software-takes-the-wheel-building-safer-smarter-sdvs/</x:v>
      </x:c>
      <x:c r="K220" s="6" t="str">
        <x:v>Publication date and topic coverage observed in the live page or search index; subscription access may be required for the full article.</x:v>
      </x:c>
    </x:row>
    <x:row r="221" ht="15" hidden="0" customHeight="1">
      <x:c r="A221" s="12" t="n">
        <x:v>20</x:v>
      </x:c>
      <x:c r="B221" s="6" t="str">
        <x:v>Software-defined vehicles</x:v>
      </x:c>
      <x:c r="C221" s="6" t="str">
        <x:v>Automation &amp; mobility</x:v>
      </x:c>
      <x:c r="D221" s="6" t="str">
        <x:v>Automotive World</x:v>
      </x:c>
      <x:c r="E221" s="6" t="str">
        <x:v>automotiveworld.com</x:v>
      </x:c>
      <x:c r="F221" s="6" t="str">
        <x:v>Specialist news</x:v>
      </x:c>
      <x:c r="G221" s="6" t="str">
        <x:v>Automotive software, supply-chain and manufacturer strategy.</x:v>
      </x:c>
      <x:c r="H221" s="6" t="str">
        <x:v>https://www.automotiveworld.com/</x:v>
      </x:c>
      <x:c r="I221" s="16" t="d">
        <x:v>2026-06-10T12:00:00.000Z</x:v>
      </x:c>
      <x:c r="J221" s="6" t="str">
        <x:v>https://www.automotiveworld.com/magazine/automotive-world-magazine-june-2026/</x:v>
      </x:c>
      <x:c r="K221" s="6" t="str">
        <x:v>June 2026 issue date and coverage indexed; direct fetch returned 403, so full articles may require access.</x:v>
      </x:c>
    </x:row>
    <x:row r="222" ht="15" hidden="0" customHeight="1">
      <x:c r="A222" s="12" t="n">
        <x:v>20</x:v>
      </x:c>
      <x:c r="B222" s="6" t="str">
        <x:v>Software-defined vehicles</x:v>
      </x:c>
      <x:c r="C222" s="6" t="str">
        <x:v>Automation &amp; mobility</x:v>
      </x:c>
      <x:c r="D222" s="6" t="str">
        <x:v>Reuters</x:v>
      </x:c>
      <x:c r="E222" s="6" t="str">
        <x:v>reuters.com</x:v>
      </x:c>
      <x:c r="F222" s="6" t="str">
        <x:v>Business news</x:v>
      </x:c>
      <x:c r="G222" s="6" t="str">
        <x:v>Automaker/supplier software agreements and platform investment.</x:v>
      </x:c>
      <x:c r="H222" s="6" t="str">
        <x:v>https://www.reuters.com/business/autos-transportation/</x:v>
      </x:c>
      <x:c r="I222" s="16" t="d">
        <x:v>2026-07-21T12:00:00.000Z</x:v>
      </x:c>
      <x:c r="J222" s="6" t="str">
        <x:v>https://www.reuters.com/business/autos-transportation/mobileye-supply-stellantis-with-cloud-based-driver-assistance-technology-2026-07-21/</x:v>
      </x:c>
      <x:c r="K222" s="6" t="str">
        <x:v>Publication date and topic coverage observed in the live page or search index; subscription access may be required for the full article.</x:v>
      </x:c>
    </x:row>
    <x:row r="223" ht="15" hidden="0" customHeight="1">
      <x:c r="A223" s="12" t="n">
        <x:v>20</x:v>
      </x:c>
      <x:c r="B223" s="6" t="str">
        <x:v>Software-defined vehicles</x:v>
      </x:c>
      <x:c r="C223" s="6" t="str">
        <x:v>Automation &amp; mobility</x:v>
      </x:c>
      <x:c r="D223" s="6" t="str">
        <x:v>SAE Mobilus</x:v>
      </x:c>
      <x:c r="E223" s="6" t="str">
        <x:v>saemobilus.sae.org</x:v>
      </x:c>
      <x:c r="F223" s="6" t="str">
        <x:v>Research and standards feed</x:v>
      </x:c>
      <x:c r="G223" s="6" t="str">
        <x:v>New SDV technical papers, standards context and engineering developments.</x:v>
      </x:c>
      <x:c r="H223" s="6" t="str">
        <x:v>https://saemobilus.sae.org/</x:v>
      </x:c>
      <x:c r="I223" s="16" t="d">
        <x:v>2026-01-16T12:00:00.000Z</x:v>
      </x:c>
      <x:c r="J223" s="6" t="str">
        <x:v>https://saemobilus.sae.org/papers/software-defined-vehicles-architecting-future-intelligent-connected-mobility-2026-26-0691</x:v>
      </x:c>
      <x:c r="K223" s="6" t="str">
        <x:v>Technical-paper publication dated January 16, 2026; conference date January 28 differs. A research tracker rather than daily news.</x:v>
      </x:c>
    </x:row>
    <x:row r="224" ht="15" hidden="0" customHeight="1">
      <x:c r="A224" s="12" t="n">
        <x:v>20</x:v>
      </x:c>
      <x:c r="B224" s="6" t="str">
        <x:v>Software-defined vehicles</x:v>
      </x:c>
      <x:c r="C224" s="6" t="str">
        <x:v>Automation &amp; mobility</x:v>
      </x:c>
      <x:c r="D224" s="6" t="str">
        <x:v>QNX newsroom</x:v>
      </x:c>
      <x:c r="E224" s="6" t="str">
        <x:v>qnx.software</x:v>
      </x:c>
      <x:c r="F224" s="6" t="str">
        <x:v>Vendor newsroom</x:v>
      </x:c>
      <x:c r="G224" s="6" t="str">
        <x:v>Vehicle software product releases and design wins; company perspective.</x:v>
      </x:c>
      <x:c r="H224" s="6" t="str">
        <x:v>https://qnx.software/</x:v>
      </x:c>
      <x:c r="I224" s="16" t="d">
        <x:v>2026-01-06T12:00:00.000Z</x:v>
      </x:c>
      <x:c r="J224" s="6" t="str">
        <x:v>https://qnx.software/en/press-release/2026/qnx-technology-to-help-drive-bmw-group-s-next-generation-of-software-defined-vehicles</x:v>
      </x:c>
      <x:c r="K224" s="6" t="str">
        <x:v>Publication date and topic coverage observed in the live page or search index; subscription access may be required for the full article.</x:v>
      </x:c>
    </x:row>
    <x:row r="225" ht="15" hidden="0" customHeight="1">
      <x:c r="A225" s="12" t="n">
        <x:v>21</x:v>
      </x:c>
      <x:c r="B225" s="6" t="str">
        <x:v>AI diagnostics and clinical copilots</x:v>
      </x:c>
      <x:c r="C225" s="6" t="str">
        <x:v>Healthcare</x:v>
      </x:c>
      <x:c r="D225" s="6" t="str">
        <x:v>MobiHealthNews</x:v>
      </x:c>
      <x:c r="E225" s="6" t="str">
        <x:v>mobihealthnews.com</x:v>
      </x:c>
      <x:c r="F225" s="6" t="str">
        <x:v>Specialist news</x:v>
      </x:c>
      <x:c r="G225" s="6" t="str">
        <x:v>Clinical AI, digital health funding and workflow deployments.</x:v>
      </x:c>
      <x:c r="H225" s="6" t="str">
        <x:v>https://www.mobihealthnews.com/tag/ai</x:v>
      </x:c>
      <x:c r="I225" s="16" t="d">
        <x:v>2026-10-14T12:00:00.000Z</x:v>
      </x:c>
      <x:c r="J225" s="6" t="str">
        <x:v>https://www.mobihealthnews.com/</x:v>
      </x:c>
      <x:c r="K225" s="6" t="str">
        <x:v>Publication date and topic coverage observed in the live page or search index; subscription access may be required for the full article.</x:v>
      </x:c>
    </x:row>
    <x:row r="226" ht="15" hidden="0" customHeight="1">
      <x:c r="A226" s="12" t="n">
        <x:v>21</x:v>
      </x:c>
      <x:c r="B226" s="6" t="str">
        <x:v>AI diagnostics and clinical copilots</x:v>
      </x:c>
      <x:c r="C226" s="6" t="str">
        <x:v>Healthcare</x:v>
      </x:c>
      <x:c r="D226" s="6" t="str">
        <x:v>Healthcare IT News</x:v>
      </x:c>
      <x:c r="E226" s="6" t="str">
        <x:v>healthcareitnews.com</x:v>
      </x:c>
      <x:c r="F226" s="6" t="str">
        <x:v>Specialist news</x:v>
      </x:c>
      <x:c r="G226" s="6" t="str">
        <x:v>Hospital AI deployment, ambient tools and clinical governance.</x:v>
      </x:c>
      <x:c r="H226" s="6" t="str">
        <x:v>https://www.healthcareitnews.com/topics/artificial-intelligence</x:v>
      </x:c>
      <x:c r="I226" s="16" t="d">
        <x:v>2026-08-28T12:00:00.000Z</x:v>
      </x:c>
      <x:c r="J226" s="6" t="str">
        <x:v>https://www.healthcareitnews.com/topics/artificial-intelligence</x:v>
      </x:c>
      <x:c r="K226" s="6" t="str">
        <x:v>Publication date and topic coverage observed in the live page or search index; subscription access may be required for the full article.</x:v>
      </x:c>
    </x:row>
    <x:row r="227" ht="15" hidden="0" customHeight="1">
      <x:c r="A227" s="12" t="n">
        <x:v>21</x:v>
      </x:c>
      <x:c r="B227" s="6" t="str">
        <x:v>AI diagnostics and clinical copilots</x:v>
      </x:c>
      <x:c r="C227" s="6" t="str">
        <x:v>Healthcare</x:v>
      </x:c>
      <x:c r="D227" s="6" t="str">
        <x:v>Fierce Healthcare</x:v>
      </x:c>
      <x:c r="E227" s="6" t="str">
        <x:v>fiercehealthcare.com</x:v>
      </x:c>
      <x:c r="F227" s="6" t="str">
        <x:v>Specialist news</x:v>
      </x:c>
      <x:c r="G227" s="6" t="str">
        <x:v>Clinical AI companies, health-system purchases and implementation.</x:v>
      </x:c>
      <x:c r="H227" s="6" t="str">
        <x:v>https://www.fiercehealthcare.com/ai-and-machine-learning</x:v>
      </x:c>
      <x:c r="I227" s="16" t="d">
        <x:v>2026-09-15T12:00:00.000Z</x:v>
      </x:c>
      <x:c r="J227" s="6" t="str">
        <x:v>https://www.fiercehealthcare.com/ai-and-machine-learning/knowtex-launches-frontier-healthcare-ai-lab</x:v>
      </x:c>
      <x:c r="K227" s="6" t="str">
        <x:v>Publication date and topic coverage observed in the live page or search index; subscription access may be required for the full article.</x:v>
      </x:c>
    </x:row>
    <x:row r="228" ht="15" hidden="0" customHeight="1">
      <x:c r="A228" s="12" t="n">
        <x:v>21</x:v>
      </x:c>
      <x:c r="B228" s="6" t="str">
        <x:v>AI diagnostics and clinical copilots</x:v>
      </x:c>
      <x:c r="C228" s="6" t="str">
        <x:v>Healthcare</x:v>
      </x:c>
      <x:c r="D228" s="6" t="str">
        <x:v>MedCity News</x:v>
      </x:c>
      <x:c r="E228" s="6" t="str">
        <x:v>medcitynews.com</x:v>
      </x:c>
      <x:c r="F228" s="6" t="str">
        <x:v>Specialist news</x:v>
      </x:c>
      <x:c r="G228" s="6" t="str">
        <x:v>Healthcare AI business, data quality and implementation; includes contributed analysis.</x:v>
      </x:c>
      <x:c r="H228" s="6" t="str">
        <x:v>https://medcitynews.com/</x:v>
      </x:c>
      <x:c r="I228" s="16" t="d">
        <x:v>2026-03-11T12:00:00.000Z</x:v>
      </x:c>
      <x:c r="J228" s="6" t="str">
        <x:v>https://medcitynews.com/2026/03/artificial-intelligence-and-the-data-quality-problem-no-one-can-ignore/</x:v>
      </x:c>
      <x:c r="K228" s="6" t="str">
        <x:v>Publication date and topic coverage observed in the live page or search index; subscription access may be required for the full article.</x:v>
      </x:c>
    </x:row>
    <x:row r="229" ht="15" hidden="0" customHeight="1">
      <x:c r="A229" s="12" t="n">
        <x:v>21</x:v>
      </x:c>
      <x:c r="B229" s="6" t="str">
        <x:v>AI diagnostics and clinical copilots</x:v>
      </x:c>
      <x:c r="C229" s="6" t="str">
        <x:v>Healthcare</x:v>
      </x:c>
      <x:c r="D229" s="6" t="str">
        <x:v>MedTech Dive</x:v>
      </x:c>
      <x:c r="E229" s="6" t="str">
        <x:v>medtechdive.com</x:v>
      </x:c>
      <x:c r="F229" s="6" t="str">
        <x:v>Specialist news</x:v>
      </x:c>
      <x:c r="G229" s="6" t="str">
        <x:v>Diagnostic AI devices, regulatory milestones and commercialisation.</x:v>
      </x:c>
      <x:c r="H229" s="6" t="str">
        <x:v>https://www.medtechdive.com/topic/ai/</x:v>
      </x:c>
      <x:c r="I229" s="16" t="d">
        <x:v>2026-06-26T12:00:00.000Z</x:v>
      </x:c>
      <x:c r="J229" s="6" t="str">
        <x:v>https://www.medtechdive.com/news/aidoc-wins-breakthrough-nod-for-ai-that-reads-chest-x-rays/823895/</x:v>
      </x:c>
      <x:c r="K229" s="6" t="str">
        <x:v>Publication date and topic coverage observed in the live page or search index; subscription access may be required for the full article.</x:v>
      </x:c>
    </x:row>
    <x:row r="230" ht="15" hidden="0" customHeight="1">
      <x:c r="A230" s="12" t="n">
        <x:v>21</x:v>
      </x:c>
      <x:c r="B230" s="6" t="str">
        <x:v>AI diagnostics and clinical copilots</x:v>
      </x:c>
      <x:c r="C230" s="6" t="str">
        <x:v>Healthcare</x:v>
      </x:c>
      <x:c r="D230" s="6" t="str">
        <x:v>Healthcare Dive</x:v>
      </x:c>
      <x:c r="E230" s="6" t="str">
        <x:v>healthcaredive.com</x:v>
      </x:c>
      <x:c r="F230" s="6" t="str">
        <x:v>Specialist news</x:v>
      </x:c>
      <x:c r="G230" s="6" t="str">
        <x:v>Health-system technology purchasing, costs and payer policy; broad provider beat.</x:v>
      </x:c>
      <x:c r="H230" s="6" t="str">
        <x:v>https://www.healthcaredive.com/</x:v>
      </x:c>
      <x:c r="I230" s="16" t="d">
        <x:v>2026-06-11T12:00:00.000Z</x:v>
      </x:c>
      <x:c r="J230" s="6" t="str">
        <x:v>https://www.healthcaredive.com/news/ai-push-healthcare-costs-higher-health-plans-say-pwc/822645/</x:v>
      </x:c>
      <x:c r="K230" s="6" t="str">
        <x:v>Publication date and topic coverage observed in the live page or search index; subscription access may be required for the full article.</x:v>
      </x:c>
    </x:row>
    <x:row r="231" ht="15" hidden="0" customHeight="1">
      <x:c r="A231" s="12" t="n">
        <x:v>21</x:v>
      </x:c>
      <x:c r="B231" s="6" t="str">
        <x:v>AI diagnostics and clinical copilots</x:v>
      </x:c>
      <x:c r="C231" s="6" t="str">
        <x:v>Healthcare</x:v>
      </x:c>
      <x:c r="D231" s="6" t="str">
        <x:v>AuntMinnie</x:v>
      </x:c>
      <x:c r="E231" s="6" t="str">
        <x:v>auntminnie.com</x:v>
      </x:c>
      <x:c r="F231" s="6" t="str">
        <x:v>Specialist news</x:v>
      </x:c>
      <x:c r="G231" s="6" t="str">
        <x:v>Radiology AI research, products and clinical workflow.</x:v>
      </x:c>
      <x:c r="H231" s="6" t="str">
        <x:v>https://www.auntminnie.com/imaging-informatics/artificial-intelligence</x:v>
      </x:c>
      <x:c r="I231" s="16" t="d">
        <x:v>2026-10-15T12:00:00.000Z</x:v>
      </x:c>
      <x:c r="J231" s="6" t="str">
        <x:v>https://www.auntminnie.com/imaging-informatics/artificial-intelligence</x:v>
      </x:c>
      <x:c r="K231" s="6" t="str">
        <x:v>Publication date and topic coverage observed in the live page or search index; subscription access may be required for the full article.</x:v>
      </x:c>
    </x:row>
    <x:row r="232" ht="15" hidden="0" customHeight="1">
      <x:c r="A232" s="12" t="n">
        <x:v>21</x:v>
      </x:c>
      <x:c r="B232" s="6" t="str">
        <x:v>AI diagnostics and clinical copilots</x:v>
      </x:c>
      <x:c r="C232" s="6" t="str">
        <x:v>Healthcare</x:v>
      </x:c>
      <x:c r="D232" s="6" t="str">
        <x:v>STAT</x:v>
      </x:c>
      <x:c r="E232" s="6" t="str">
        <x:v>statnews.com</x:v>
      </x:c>
      <x:c r="F232" s="6" t="str">
        <x:v>Specialist news</x:v>
      </x:c>
      <x:c r="G232" s="6" t="str">
        <x:v>Clinical AI evidence, regulatory review and health-technology business.</x:v>
      </x:c>
      <x:c r="H232" s="6" t="str">
        <x:v>https://www.statnews.com/</x:v>
      </x:c>
      <x:c r="I232" s="16" t="d">
        <x:v>2026-05-05T12:00:00.000Z</x:v>
      </x:c>
      <x:c r="J232" s="6" t="str">
        <x:v>https://www.statnews.com/2026/05/05/did-ai-really-beat-doctors-at-diagnosis-health-tech/</x:v>
      </x:c>
      <x:c r="K232" s="6" t="str">
        <x:v>Dated article and twice-weekly Health Tech newsletter verified; full article may require STAT+.</x:v>
      </x:c>
    </x:row>
    <x:row r="233" ht="15" hidden="0" customHeight="1">
      <x:c r="A233" s="12" t="n">
        <x:v>21</x:v>
      </x:c>
      <x:c r="B233" s="6" t="str">
        <x:v>AI diagnostics and clinical copilots</x:v>
      </x:c>
      <x:c r="C233" s="6" t="str">
        <x:v>Healthcare</x:v>
      </x:c>
      <x:c r="D233" s="6" t="str">
        <x:v>American Medical Association</x:v>
      </x:c>
      <x:c r="E233" s="6" t="str">
        <x:v>ama-assn.org</x:v>
      </x:c>
      <x:c r="F233" s="6" t="str">
        <x:v>Association news and surveys</x:v>
      </x:c>
      <x:c r="G233" s="6" t="str">
        <x:v>Physician AI use, implementation guidance and professional policy.</x:v>
      </x:c>
      <x:c r="H233" s="6" t="str">
        <x:v>https://www.ama-assn.org/practice-management/digital-health</x:v>
      </x:c>
      <x:c r="I233" s="16" t="d">
        <x:v>2026-03-12T12:00:00.000Z</x:v>
      </x:c>
      <x:c r="J233" s="6" t="str">
        <x:v>https://www.ama-assn.org/press-center/ama-press-releases/ama-ai-usage-among-doctors-doubles-confidence-technology-grows</x:v>
      </x:c>
      <x:c r="K233" s="6" t="str">
        <x:v>Publication date and topic coverage observed in the live page or search index; subscription access may be required for the full article.</x:v>
      </x:c>
    </x:row>
    <x:row r="234" ht="15" hidden="0" customHeight="1">
      <x:c r="A234" s="12" t="n">
        <x:v>21</x:v>
      </x:c>
      <x:c r="B234" s="6" t="str">
        <x:v>AI diagnostics and clinical copilots</x:v>
      </x:c>
      <x:c r="C234" s="6" t="str">
        <x:v>Healthcare</x:v>
      </x:c>
      <x:c r="D234" s="6" t="str">
        <x:v>TechTarget Virtual Healthcare</x:v>
      </x:c>
      <x:c r="E234" s="6" t="str">
        <x:v>techtarget.com</x:v>
      </x:c>
      <x:c r="F234" s="6" t="str">
        <x:v>Specialist news</x:v>
      </x:c>
      <x:c r="G234" s="6" t="str">
        <x:v>Digital health and clinical automation within the broader virtual-care beat; use alongside specialist diagnostic outlets.</x:v>
      </x:c>
      <x:c r="H234" s="6" t="str">
        <x:v>https://www.techtarget.com/virtualhealthcare/resources/Remote-patient-monitoring</x:v>
      </x:c>
      <x:c r="I234" s="16" t="d">
        <x:v>2026-08-18T12:00:00.000Z</x:v>
      </x:c>
      <x:c r="J234" s="6" t="str">
        <x:v>https://www.techtarget.com/virtualhealthcare/resources/Remote-patient-monitoring</x:v>
      </x:c>
      <x:c r="K234" s="6" t="str">
        <x:v>Publication date and topic coverage observed in the live page or search index; subscription access may be required for the full article.</x:v>
      </x:c>
    </x:row>
    <x:row r="235" ht="15" hidden="0" customHeight="1">
      <x:c r="A235" s="12" t="n">
        <x:v>22</x:v>
      </x:c>
      <x:c r="B235" s="6" t="str">
        <x:v>Precision oncology and liquid biopsies</x:v>
      </x:c>
      <x:c r="C235" s="6" t="str">
        <x:v>Healthcare</x:v>
      </x:c>
      <x:c r="D235" s="6" t="str">
        <x:v>GEN</x:v>
      </x:c>
      <x:c r="E235" s="6" t="str">
        <x:v>genengnews.com</x:v>
      </x:c>
      <x:c r="F235" s="6" t="str">
        <x:v>Research news and events</x:v>
      </x:c>
      <x:c r="G235" s="6" t="str">
        <x:v>Liquid-biopsy assays, molecular biomarkers and precision oncology workflows.</x:v>
      </x:c>
      <x:c r="H235" s="6" t="str">
        <x:v>https://www.genengnews.com/subject/biopsy/</x:v>
      </x:c>
      <x:c r="I235" s="16" t="d">
        <x:v>2026-09-10T12:00:00.000Z</x:v>
      </x:c>
      <x:c r="J235" s="6" t="str">
        <x:v>https://www.genengnews.com/multimedia/webinars/highly-multiplexed-droplet-digital-pcr-for-ultra-sensitive-nsclc-biomarker-detection-in-research-workflows/</x:v>
      </x:c>
      <x:c r="K235" s="6" t="str">
        <x:v>Publication date and topic coverage observed in the live page or search index; subscription access may be required for the full article.</x:v>
      </x:c>
    </x:row>
    <x:row r="236" ht="15" hidden="0" customHeight="1">
      <x:c r="A236" s="12" t="n">
        <x:v>22</x:v>
      </x:c>
      <x:c r="B236" s="6" t="str">
        <x:v>Precision oncology and liquid biopsies</x:v>
      </x:c>
      <x:c r="C236" s="6" t="str">
        <x:v>Healthcare</x:v>
      </x:c>
      <x:c r="D236" s="6" t="str">
        <x:v>GenomeWeb</x:v>
      </x:c>
      <x:c r="E236" s="6" t="str">
        <x:v>genomeweb.com</x:v>
      </x:c>
      <x:c r="F236" s="6" t="str">
        <x:v>Specialist news</x:v>
      </x:c>
      <x:c r="G236" s="6" t="str">
        <x:v>Liquid biopsy, sequencing, companion diagnostics and clinical assay companies.</x:v>
      </x:c>
      <x:c r="H236" s="6" t="str">
        <x:v>https://www.genomeweb.com/</x:v>
      </x:c>
      <x:c r="I236" s="16" t="d">
        <x:v>2026-06-30T12:00:00.000Z</x:v>
      </x:c>
      <x:c r="J236" s="6" t="str">
        <x:v>https://arcxp-prod.genomeweb.com/cancer/geneseeq-advances-fragmentomic-cell-free-dna-analysis-novel-computational-model/</x:v>
      </x:c>
      <x:c r="K236" s="6" t="str">
        <x:v>June 30 article date observed in the publisher’s indexed article; access may be paywalled.</x:v>
      </x:c>
    </x:row>
    <x:row r="237" ht="15" hidden="0" customHeight="1">
      <x:c r="A237" s="12" t="n">
        <x:v>22</x:v>
      </x:c>
      <x:c r="B237" s="6" t="str">
        <x:v>Precision oncology and liquid biopsies</x:v>
      </x:c>
      <x:c r="C237" s="6" t="str">
        <x:v>Healthcare</x:v>
      </x:c>
      <x:c r="D237" s="6" t="str">
        <x:v>CancerNetwork</x:v>
      </x:c>
      <x:c r="E237" s="6" t="str">
        <x:v>cancernetwork.com</x:v>
      </x:c>
      <x:c r="F237" s="6" t="str">
        <x:v>Specialist news</x:v>
      </x:c>
      <x:c r="G237" s="6" t="str">
        <x:v>Oncology clinical evidence, ctDNA decisions and disease-specific implementation.</x:v>
      </x:c>
      <x:c r="H237" s="6" t="str">
        <x:v>https://www.cancernetwork.com/</x:v>
      </x:c>
      <x:c r="I237" s="16" t="d">
        <x:v>2026-07-02T12:00:00.000Z</x:v>
      </x:c>
      <x:c r="J237" s="6" t="str">
        <x:v>https://www.cancernetwork.com/view/3-things-you-should-know-about-translating-ctdna-into-clinical-decisions-in-breast-cancer</x:v>
      </x:c>
      <x:c r="K237" s="6" t="str">
        <x:v>Publication date and topic coverage observed in the live page or search index; subscription access may be required for the full article.</x:v>
      </x:c>
    </x:row>
    <x:row r="238" ht="15" hidden="0" customHeight="1">
      <x:c r="A238" s="12" t="n">
        <x:v>22</x:v>
      </x:c>
      <x:c r="B238" s="6" t="str">
        <x:v>Precision oncology and liquid biopsies</x:v>
      </x:c>
      <x:c r="C238" s="6" t="str">
        <x:v>Healthcare</x:v>
      </x:c>
      <x:c r="D238" s="6" t="str">
        <x:v>OncLive</x:v>
      </x:c>
      <x:c r="E238" s="6" t="str">
        <x:v>onclive.com</x:v>
      </x:c>
      <x:c r="F238" s="6" t="str">
        <x:v>Specialist news</x:v>
      </x:c>
      <x:c r="G238" s="6" t="str">
        <x:v>Clinical oncology, testing guidelines and molecular treatment selection.</x:v>
      </x:c>
      <x:c r="H238" s="6" t="str">
        <x:v>https://www.onclive.com/</x:v>
      </x:c>
      <x:c r="I238" s="16" t="d">
        <x:v>2026-08-21T12:00:00.000Z</x:v>
      </x:c>
      <x:c r="J238" s="6" t="str">
        <x:v>https://www.onclive.com/view/asco-issues-first-guideline-on-ctdna-testing-in-solid-tumors-and-lymphoma</x:v>
      </x:c>
      <x:c r="K238" s="6" t="str">
        <x:v>Publication date and topic coverage observed in the live page or search index; subscription access may be required for the full article.</x:v>
      </x:c>
    </x:row>
    <x:row r="239" ht="15" hidden="0" customHeight="1">
      <x:c r="A239" s="12" t="n">
        <x:v>22</x:v>
      </x:c>
      <x:c r="B239" s="6" t="str">
        <x:v>Precision oncology and liquid biopsies</x:v>
      </x:c>
      <x:c r="C239" s="6" t="str">
        <x:v>Healthcare</x:v>
      </x:c>
      <x:c r="D239" s="6" t="str">
        <x:v>Fierce Biotech</x:v>
      </x:c>
      <x:c r="E239" s="6" t="str">
        <x:v>fiercebiotech.com</x:v>
      </x:c>
      <x:c r="F239" s="6" t="str">
        <x:v>Specialist news</x:v>
      </x:c>
      <x:c r="G239" s="6" t="str">
        <x:v>Cancer blood-test approvals, diagnostics companies and commercial adoption.</x:v>
      </x:c>
      <x:c r="H239" s="6" t="str">
        <x:v>https://www.fiercebiotech.com/medtech</x:v>
      </x:c>
      <x:c r="I239" s="16" t="d">
        <x:v>2026-09-24T12:00:00.000Z</x:v>
      </x:c>
      <x:c r="J239" s="6" t="str">
        <x:v>https://www.fiercebiotech.com/medtech/grail-survives-adcomm-vote-it-now-awaits-fda-decision-cancer-blood-test</x:v>
      </x:c>
      <x:c r="K239" s="6" t="str">
        <x:v>Publication date and topic coverage observed in the live page or search index; subscription access may be required for the full article.</x:v>
      </x:c>
    </x:row>
    <x:row r="240" ht="15" hidden="0" customHeight="1">
      <x:c r="A240" s="12" t="n">
        <x:v>22</x:v>
      </x:c>
      <x:c r="B240" s="6" t="str">
        <x:v>Precision oncology and liquid biopsies</x:v>
      </x:c>
      <x:c r="C240" s="6" t="str">
        <x:v>Healthcare</x:v>
      </x:c>
      <x:c r="D240" s="6" t="str">
        <x:v>BioSpace</x:v>
      </x:c>
      <x:c r="E240" s="6" t="str">
        <x:v>biospace.com</x:v>
      </x:c>
      <x:c r="F240" s="6" t="str">
        <x:v>Specialist news and press releases</x:v>
      </x:c>
      <x:c r="G240" s="6" t="str">
        <x:v>Diagnostics partnerships, test launches and molecular testing company releases.</x:v>
      </x:c>
      <x:c r="H240" s="6" t="str">
        <x:v>https://www.biospace.com/</x:v>
      </x:c>
      <x:c r="I240" s="16" t="d">
        <x:v>2026-05-13T12:00:00.000Z</x:v>
      </x:c>
      <x:c r="J240" s="6" t="str">
        <x:v>https://www.biospace.com/press-releases/synnovis-and-sophia-genetics-partner-to-bring-blood-based-cancer-testing-to-patients-across-the-u-k</x:v>
      </x:c>
      <x:c r="K240" s="6" t="str">
        <x:v>Publication date and topic coverage observed in the live page or search index; subscription access may be required for the full article.</x:v>
      </x:c>
    </x:row>
    <x:row r="241" ht="15" hidden="0" customHeight="1">
      <x:c r="A241" s="12" t="n">
        <x:v>22</x:v>
      </x:c>
      <x:c r="B241" s="6" t="str">
        <x:v>Precision oncology and liquid biopsies</x:v>
      </x:c>
      <x:c r="C241" s="6" t="str">
        <x:v>Healthcare</x:v>
      </x:c>
      <x:c r="D241" s="6" t="str">
        <x:v>Clinical Lab Products</x:v>
      </x:c>
      <x:c r="E241" s="6" t="str">
        <x:v>clpmag.com</x:v>
      </x:c>
      <x:c r="F241" s="6" t="str">
        <x:v>Specialist news</x:v>
      </x:c>
      <x:c r="G241" s="6" t="str">
        <x:v>Clinical laboratory assays, liquid-biopsy products and study announcements.</x:v>
      </x:c>
      <x:c r="H241" s="6" t="str">
        <x:v>https://clpmag.com/</x:v>
      </x:c>
      <x:c r="I241" s="16" t="d">
        <x:v>2026-09-10T12:00:00.000Z</x:v>
      </x:c>
      <x:c r="J241" s="6" t="str">
        <x:v>https://clpmag.com/disease-states/cancer/volition-capture-seq-liquid-biopsy-early-cancer-detection-esmo-map/</x:v>
      </x:c>
      <x:c r="K241" s="6" t="str">
        <x:v>Publication date and topic coverage observed in the live page or search index; subscription access may be required for the full article.</x:v>
      </x:c>
    </x:row>
    <x:row r="242" ht="15" hidden="0" customHeight="1">
      <x:c r="A242" s="12" t="n">
        <x:v>22</x:v>
      </x:c>
      <x:c r="B242" s="6" t="str">
        <x:v>Precision oncology and liquid biopsies</x:v>
      </x:c>
      <x:c r="C242" s="6" t="str">
        <x:v>Healthcare</x:v>
      </x:c>
      <x:c r="D242" s="6" t="str">
        <x:v>MedTech Dive</x:v>
      </x:c>
      <x:c r="E242" s="6" t="str">
        <x:v>medtechdive.com</x:v>
      </x:c>
      <x:c r="F242" s="6" t="str">
        <x:v>Specialist news</x:v>
      </x:c>
      <x:c r="G242" s="6" t="str">
        <x:v>Cancer diagnostics commercialisation, screening reimbursement and regulatory decisions.</x:v>
      </x:c>
      <x:c r="H242" s="6" t="str">
        <x:v>https://www.medtechdive.com/</x:v>
      </x:c>
      <x:c r="I242" s="16" t="d">
        <x:v>2026-08-18T12:00:00.000Z</x:v>
      </x:c>
      <x:c r="J242" s="6" t="str">
        <x:v>https://www.medtechdive.com/news/how-guardant-aims-to-expand-cancer-screening-with-a-blood-test/828083/</x:v>
      </x:c>
      <x:c r="K242" s="6" t="str">
        <x:v>Publication date and topic coverage observed in the live page or search index; subscription access may be required for the full article.</x:v>
      </x:c>
    </x:row>
    <x:row r="243" ht="15" hidden="0" customHeight="1">
      <x:c r="A243" s="12" t="n">
        <x:v>22</x:v>
      </x:c>
      <x:c r="B243" s="6" t="str">
        <x:v>Precision oncology and liquid biopsies</x:v>
      </x:c>
      <x:c r="C243" s="6" t="str">
        <x:v>Healthcare</x:v>
      </x:c>
      <x:c r="D243" s="6" t="str">
        <x:v>Nature</x:v>
      </x:c>
      <x:c r="E243" s="6" t="str">
        <x:v>nature.com</x:v>
      </x:c>
      <x:c r="F243" s="6" t="str">
        <x:v>Research news and reviews</x:v>
      </x:c>
      <x:c r="G243" s="6" t="str">
        <x:v>Liquid-biopsy research, clinical translation and evidence reviews.</x:v>
      </x:c>
      <x:c r="H243" s="6" t="str">
        <x:v>https://www.nature.com/</x:v>
      </x:c>
      <x:c r="I243" s="16" t="d">
        <x:v>2026-07-24T12:00:00.000Z</x:v>
      </x:c>
      <x:c r="J243" s="6" t="str">
        <x:v>https://www.nature.com/articles/s41571-026-01181-8</x:v>
      </x:c>
      <x:c r="K243" s="6" t="str">
        <x:v>Publication date and topic coverage observed in the live page or search index; subscription access may be required for the full article.</x:v>
      </x:c>
    </x:row>
    <x:row r="244" ht="24" hidden="0" customHeight="1">
      <x:c r="A244" s="12" t="n">
        <x:v>22</x:v>
      </x:c>
      <x:c r="B244" s="6" t="str">
        <x:v>Precision oncology and liquid biopsies</x:v>
      </x:c>
      <x:c r="C244" s="6" t="str">
        <x:v>Healthcare</x:v>
      </x:c>
      <x:c r="D244" s="6" t="str">
        <x:v>STAT</x:v>
      </x:c>
      <x:c r="E244" s="6" t="str">
        <x:v>statnews.com</x:v>
      </x:c>
      <x:c r="F244" s="6" t="str">
        <x:v>Specialist news</x:v>
      </x:c>
      <x:c r="G244" s="6" t="str">
        <x:v>Diagnostics, liquid-biopsy trials and biotech company economics; broad biotech beat.</x:v>
      </x:c>
      <x:c r="H244" s="6" t="str">
        <x:v>https://www.statnews.com/category/biotech/</x:v>
      </x:c>
      <x:c r="I244" s="16" t="d">
        <x:v>2026-07-08T12:00:00.000Z</x:v>
      </x:c>
      <x:c r="J244" s="6" t="str">
        <x:v>https://www.statnews.com/2026/07/08/prime-medicine-beam-therapeutics-arbitration-outcome/</x:v>
      </x:c>
      <x:c r="K244" s="6" t="str">
        <x:v>July 8, 2026 verifies publisher activity. Liquid-biopsy coverage separately observed in STAT’s AACR 2026 topic page: https://www.statnews.com/topic/aacr/.</x:v>
      </x:c>
    </x:row>
    <x:row r="245" ht="15" hidden="0" customHeight="1">
      <x:c r="A245" s="12" t="n">
        <x:v>23</x:v>
      </x:c>
      <x:c r="B245" s="6" t="str">
        <x:v>Gene-editing therapies</x:v>
      </x:c>
      <x:c r="C245" s="6" t="str">
        <x:v>Healthcare</x:v>
      </x:c>
      <x:c r="D245" s="6" t="str">
        <x:v>GEN</x:v>
      </x:c>
      <x:c r="E245" s="6" t="str">
        <x:v>genengnews.com</x:v>
      </x:c>
      <x:c r="F245" s="6" t="str">
        <x:v>Specialist news</x:v>
      </x:c>
      <x:c r="G245" s="6" t="str">
        <x:v>Genome editing, bioprocess engineering and therapeutic manufacturing.</x:v>
      </x:c>
      <x:c r="H245" s="6" t="str">
        <x:v>https://www.genengnews.com/</x:v>
      </x:c>
      <x:c r="I245" s="16" t="d">
        <x:v>2026-07-01T12:00:00.000Z</x:v>
      </x:c>
      <x:c r="J245" s="6" t="str">
        <x:v>https://www.genengnews.com/topics/bioprocessing/standardizing-personalized-crispr-gene-editing-therapies/</x:v>
      </x:c>
      <x:c r="K245" s="6" t="str">
        <x:v>Publication date and topic coverage observed in the live page or search index; subscription access may be required for the full article.</x:v>
      </x:c>
    </x:row>
    <x:row r="246" ht="15" hidden="0" customHeight="1">
      <x:c r="A246" s="12" t="n">
        <x:v>23</x:v>
      </x:c>
      <x:c r="B246" s="6" t="str">
        <x:v>Gene-editing therapies</x:v>
      </x:c>
      <x:c r="C246" s="6" t="str">
        <x:v>Healthcare</x:v>
      </x:c>
      <x:c r="D246" s="6" t="str">
        <x:v>Fierce Biotech</x:v>
      </x:c>
      <x:c r="E246" s="6" t="str">
        <x:v>fiercebiotech.com</x:v>
      </x:c>
      <x:c r="F246" s="6" t="str">
        <x:v>Specialist news</x:v>
      </x:c>
      <x:c r="G246" s="6" t="str">
        <x:v>Gene-editing programmes, funding, clinical trials and biotechnology company strategy.</x:v>
      </x:c>
      <x:c r="H246" s="6" t="str">
        <x:v>https://www.fiercebiotech.com/</x:v>
      </x:c>
      <x:c r="I246" s="16" t="d">
        <x:v>2026-06-23T12:00:00.000Z</x:v>
      </x:c>
      <x:c r="J246" s="6" t="str">
        <x:v>https://www.fiercebiotech.com/biotech/serapha-bio-takes-flight-boundless-merger-230m-and-gene-editing-prospect-china</x:v>
      </x:c>
      <x:c r="K246" s="6" t="str">
        <x:v>Publication date and topic coverage observed in the live page or search index; subscription access may be required for the full article.</x:v>
      </x:c>
    </x:row>
    <x:row r="247" ht="15" hidden="0" customHeight="1">
      <x:c r="A247" s="12" t="n">
        <x:v>23</x:v>
      </x:c>
      <x:c r="B247" s="6" t="str">
        <x:v>Gene-editing therapies</x:v>
      </x:c>
      <x:c r="C247" s="6" t="str">
        <x:v>Healthcare</x:v>
      </x:c>
      <x:c r="D247" s="6" t="str">
        <x:v>BioPharma Dive</x:v>
      </x:c>
      <x:c r="E247" s="6" t="str">
        <x:v>biopharmadive.com</x:v>
      </x:c>
      <x:c r="F247" s="6" t="str">
        <x:v>Specialist news</x:v>
      </x:c>
      <x:c r="G247" s="6" t="str">
        <x:v>Gene editing, regulatory decisions and drug-development economics.</x:v>
      </x:c>
      <x:c r="H247" s="6" t="str">
        <x:v>https://www.biopharmadive.com/topic/gene-therapy/</x:v>
      </x:c>
      <x:c r="I247" s="16" t="d">
        <x:v>2026-07-08T12:00:00.000Z</x:v>
      </x:c>
      <x:c r="J247" s="6" t="str">
        <x:v>https://www.biopharmadive.com/news/prime-beam-aatd-saol-fda-ema-daraxonrasib-cyllene/824574/</x:v>
      </x:c>
      <x:c r="K247" s="6" t="str">
        <x:v>Publication date and topic coverage observed in the live page or search index; subscription access may be required for the full article.</x:v>
      </x:c>
    </x:row>
    <x:row r="248" ht="15" hidden="0" customHeight="1">
      <x:c r="A248" s="12" t="n">
        <x:v>23</x:v>
      </x:c>
      <x:c r="B248" s="6" t="str">
        <x:v>Gene-editing therapies</x:v>
      </x:c>
      <x:c r="C248" s="6" t="str">
        <x:v>Healthcare</x:v>
      </x:c>
      <x:c r="D248" s="6" t="str">
        <x:v>STAT</x:v>
      </x:c>
      <x:c r="E248" s="6" t="str">
        <x:v>statnews.com</x:v>
      </x:c>
      <x:c r="F248" s="6" t="str">
        <x:v>Specialist news</x:v>
      </x:c>
      <x:c r="G248" s="6" t="str">
        <x:v>Biotechnology company deals, clinical evidence and platform economics; broader life-sciences beat.</x:v>
      </x:c>
      <x:c r="H248" s="6" t="str">
        <x:v>https://www.statnews.com/category/biotech/</x:v>
      </x:c>
      <x:c r="I248" s="16" t="d">
        <x:v>2026-07-08T12:00:00.000Z</x:v>
      </x:c>
      <x:c r="J248" s="6" t="str">
        <x:v>https://www.statnews.com/2026/07/08/prime-medicine-beam-therapeutics-arbitration-outcome/</x:v>
      </x:c>
      <x:c r="K248" s="6" t="str">
        <x:v>Publication date and topic coverage observed in the live page or search index; subscription access may be required for the full article.</x:v>
      </x:c>
    </x:row>
    <x:row r="249" ht="15" hidden="0" customHeight="1">
      <x:c r="A249" s="12" t="n">
        <x:v>23</x:v>
      </x:c>
      <x:c r="B249" s="6" t="str">
        <x:v>Gene-editing therapies</x:v>
      </x:c>
      <x:c r="C249" s="6" t="str">
        <x:v>Healthcare</x:v>
      </x:c>
      <x:c r="D249" s="6" t="str">
        <x:v>BioSpace</x:v>
      </x:c>
      <x:c r="E249" s="6" t="str">
        <x:v>biospace.com</x:v>
      </x:c>
      <x:c r="F249" s="6" t="str">
        <x:v>Specialist news and press releases</x:v>
      </x:c>
      <x:c r="G249" s="6" t="str">
        <x:v>Gene-editing trials, company news, partnerships and regulatory submissions.</x:v>
      </x:c>
      <x:c r="H249" s="6" t="str">
        <x:v>https://www.biospace.com/gene-editing</x:v>
      </x:c>
      <x:c r="I249" s="16" t="d">
        <x:v>2026-06-16T12:00:00.000Z</x:v>
      </x:c>
      <x:c r="J249" s="6" t="str">
        <x:v>https://www.biospace.com/gene-editing</x:v>
      </x:c>
      <x:c r="K249" s="6" t="str">
        <x:v>Publication date and topic coverage observed in the live page or search index; subscription access may be required for the full article.</x:v>
      </x:c>
    </x:row>
    <x:row r="250" ht="15" hidden="0" customHeight="1">
      <x:c r="A250" s="12" t="n">
        <x:v>23</x:v>
      </x:c>
      <x:c r="B250" s="6" t="str">
        <x:v>Gene-editing therapies</x:v>
      </x:c>
      <x:c r="C250" s="6" t="str">
        <x:v>Healthcare</x:v>
      </x:c>
      <x:c r="D250" s="6" t="str">
        <x:v>Labiotech</x:v>
      </x:c>
      <x:c r="E250" s="6" t="str">
        <x:v>labiotech.eu</x:v>
      </x:c>
      <x:c r="F250" s="6" t="str">
        <x:v>Specialist news</x:v>
      </x:c>
      <x:c r="G250" s="6" t="str">
        <x:v>European and global gene-editing research and company developments.</x:v>
      </x:c>
      <x:c r="H250" s="6" t="str">
        <x:v>https://www.labiotech.eu/</x:v>
      </x:c>
      <x:c r="I250" s="16" t="d">
        <x:v>2026-04-24T12:00:00.000Z</x:v>
      </x:c>
      <x:c r="J250" s="6" t="str">
        <x:v>https://www.labiotech.eu/trends-news/crispr-tool-targets-down-syndrome/</x:v>
      </x:c>
      <x:c r="K250" s="6" t="str">
        <x:v>Publication date and topic coverage observed in the live page or search index; subscription access may be required for the full article.</x:v>
      </x:c>
    </x:row>
    <x:row r="251" ht="15" hidden="0" customHeight="1">
      <x:c r="A251" s="12" t="n">
        <x:v>23</x:v>
      </x:c>
      <x:c r="B251" s="6" t="str">
        <x:v>Gene-editing therapies</x:v>
      </x:c>
      <x:c r="C251" s="6" t="str">
        <x:v>Healthcare</x:v>
      </x:c>
      <x:c r="D251" s="6" t="str">
        <x:v>Nature</x:v>
      </x:c>
      <x:c r="E251" s="6" t="str">
        <x:v>nature.com</x:v>
      </x:c>
      <x:c r="F251" s="6" t="str">
        <x:v>Research news</x:v>
      </x:c>
      <x:c r="G251" s="6" t="str">
        <x:v>New gene-editing research and AI-designed editing proteins.</x:v>
      </x:c>
      <x:c r="H251" s="6" t="str">
        <x:v>https://www.nature.com/</x:v>
      </x:c>
      <x:c r="I251" s="16" t="d">
        <x:v>2026-07-16T12:00:00.000Z</x:v>
      </x:c>
      <x:c r="J251" s="6" t="str">
        <x:v>https://www.nature.com/articles/d41586-026-02217-w</x:v>
      </x:c>
      <x:c r="K251" s="6" t="str">
        <x:v>Publication date and topic coverage observed in the live page or search index; subscription access may be required for the full article.</x:v>
      </x:c>
    </x:row>
    <x:row r="252" ht="15" hidden="0" customHeight="1">
      <x:c r="A252" s="12" t="n">
        <x:v>23</x:v>
      </x:c>
      <x:c r="B252" s="6" t="str">
        <x:v>Gene-editing therapies</x:v>
      </x:c>
      <x:c r="C252" s="6" t="str">
        <x:v>Healthcare</x:v>
      </x:c>
      <x:c r="D252" s="6" t="str">
        <x:v>CRISPR Medicine News</x:v>
      </x:c>
      <x:c r="E252" s="6" t="str">
        <x:v>crisprmedicinenews.com</x:v>
      </x:c>
      <x:c r="F252" s="6" t="str">
        <x:v>Specialist news</x:v>
      </x:c>
      <x:c r="G252" s="6" t="str">
        <x:v>Specialist gene-editing trials, companies and global pipeline database.</x:v>
      </x:c>
      <x:c r="H252" s="6" t="str">
        <x:v>https://crisprmedicinenews.com/</x:v>
      </x:c>
      <x:c r="I252" s="16" t="d">
        <x:v>2026-09-10T12:00:00.000Z</x:v>
      </x:c>
      <x:c r="J252" s="6" t="str">
        <x:v>https://crisprmedicinenews.com/news/crispr-trials-global-overview-q2-2026-from-cmn-intelligence-300-gene-editing-trials-in-the-worlds/</x:v>
      </x:c>
      <x:c r="K252" s="6" t="str">
        <x:v>Publication date and topic coverage observed in the live page or search index; subscription access may be required for the full article.</x:v>
      </x:c>
    </x:row>
    <x:row r="253" ht="15" hidden="0" customHeight="1">
      <x:c r="A253" s="12" t="n">
        <x:v>23</x:v>
      </x:c>
      <x:c r="B253" s="6" t="str">
        <x:v>Gene-editing therapies</x:v>
      </x:c>
      <x:c r="C253" s="6" t="str">
        <x:v>Healthcare</x:v>
      </x:c>
      <x:c r="D253" s="6" t="str">
        <x:v>ASGCT</x:v>
      </x:c>
      <x:c r="E253" s="6" t="str">
        <x:v>asgct.org</x:v>
      </x:c>
      <x:c r="F253" s="6" t="str">
        <x:v>Association news</x:v>
      </x:c>
      <x:c r="G253" s="6" t="str">
        <x:v>Cell/gene therapy scientific, clinical and regulatory developments.</x:v>
      </x:c>
      <x:c r="H253" s="6" t="str">
        <x:v>https://www.asgct.org/news-publications/asgct-news</x:v>
      </x:c>
      <x:c r="I253" s="16" t="d">
        <x:v>2026-09-16T12:00:00.000Z</x:v>
      </x:c>
      <x:c r="J253" s="6" t="str">
        <x:v>https://www.asgct.org/news-publications/asgct-news/asgct-comments-on-fda-draft-guidance-for-ngs-based-safety-assessment-of-genome-editing-products</x:v>
      </x:c>
      <x:c r="K253" s="6" t="str">
        <x:v>Publication date and topic coverage observed in the live page or search index; subscription access may be required for the full article.</x:v>
      </x:c>
    </x:row>
    <x:row r="254" ht="15" hidden="0" customHeight="1">
      <x:c r="A254" s="12" t="n">
        <x:v>23</x:v>
      </x:c>
      <x:c r="B254" s="6" t="str">
        <x:v>Gene-editing therapies</x:v>
      </x:c>
      <x:c r="C254" s="6" t="str">
        <x:v>Healthcare</x:v>
      </x:c>
      <x:c r="D254" s="6" t="str">
        <x:v>Technology Networks</x:v>
      </x:c>
      <x:c r="E254" s="6" t="str">
        <x:v>technologynetworks.com</x:v>
      </x:c>
      <x:c r="F254" s="6" t="str">
        <x:v>Research news</x:v>
      </x:c>
      <x:c r="G254" s="6" t="str">
        <x:v>Genome-editing research methods, risks and translational tools.</x:v>
      </x:c>
      <x:c r="H254" s="6" t="str">
        <x:v>https://www.technologynetworks.com/</x:v>
      </x:c>
      <x:c r="I254" s="16" t="d">
        <x:v>2026-09-15T12:00:00.000Z</x:v>
      </x:c>
      <x:c r="J254" s="6" t="str">
        <x:v>https://www.technologynetworks.com/genomics/news/study-evalutes-the-promise-and-risk-of-precise-gene-editing-in-human-embryos-416512</x:v>
      </x:c>
      <x:c r="K254" s="6" t="str">
        <x:v>Publication date and topic coverage observed in the live page or search index; subscription access may be required for the full article.</x:v>
      </x:c>
    </x:row>
    <x:row r="255" ht="15" hidden="0" customHeight="1">
      <x:c r="A255" s="12" t="n">
        <x:v>24</x:v>
      </x:c>
      <x:c r="B255" s="6" t="str">
        <x:v>RNA therapeutics and next-generation vaccines</x:v>
      </x:c>
      <x:c r="C255" s="6" t="str">
        <x:v>Healthcare</x:v>
      </x:c>
      <x:c r="D255" s="6" t="str">
        <x:v>GEN</x:v>
      </x:c>
      <x:c r="E255" s="6" t="str">
        <x:v>genengnews.com</x:v>
      </x:c>
      <x:c r="F255" s="6" t="str">
        <x:v>Research news and events</x:v>
      </x:c>
      <x:c r="G255" s="6" t="str">
        <x:v>RNA design, delivery, manufacturing and clinical research.</x:v>
      </x:c>
      <x:c r="H255" s="6" t="str">
        <x:v>https://www.genengnews.com/subject/rna/</x:v>
      </x:c>
      <x:c r="I255" s="16" t="d">
        <x:v>2026-06-24T12:00:00.000Z</x:v>
      </x:c>
      <x:c r="J255" s="6" t="str">
        <x:v>https://www.genengnews.com/multimedia/summits/spotlight-on-rna-therapeutics/</x:v>
      </x:c>
      <x:c r="K255" s="6" t="str">
        <x:v>Publication date and topic coverage observed in the live page or search index; subscription access may be required for the full article.</x:v>
      </x:c>
    </x:row>
    <x:row r="256" ht="15" hidden="0" customHeight="1">
      <x:c r="A256" s="12" t="n">
        <x:v>24</x:v>
      </x:c>
      <x:c r="B256" s="6" t="str">
        <x:v>RNA therapeutics and next-generation vaccines</x:v>
      </x:c>
      <x:c r="C256" s="6" t="str">
        <x:v>Healthcare</x:v>
      </x:c>
      <x:c r="D256" s="6" t="str">
        <x:v>Fierce Biotech</x:v>
      </x:c>
      <x:c r="E256" s="6" t="str">
        <x:v>fiercebiotech.com</x:v>
      </x:c>
      <x:c r="F256" s="6" t="str">
        <x:v>Specialist news</x:v>
      </x:c>
      <x:c r="G256" s="6" t="str">
        <x:v>RNA therapeutic modalities, vaccines, partnerships and clinical progress.</x:v>
      </x:c>
      <x:c r="H256" s="6" t="str">
        <x:v>https://www.fiercebiotech.com/</x:v>
      </x:c>
      <x:c r="I256" s="16" t="d">
        <x:v>2026-08-27T12:00:00.000Z</x:v>
      </x:c>
      <x:c r="J256" s="6" t="str">
        <x:v>https://www.fiercebiotech.com/research/trna-has-entered-ring-possible-therapeutic-avenue-while-mrna-rise</x:v>
      </x:c>
      <x:c r="K256" s="6" t="str">
        <x:v>Publication date and topic coverage observed in the live page or search index; subscription access may be required for the full article.</x:v>
      </x:c>
    </x:row>
    <x:row r="257" ht="15" hidden="0" customHeight="1">
      <x:c r="A257" s="12" t="n">
        <x:v>24</x:v>
      </x:c>
      <x:c r="B257" s="6" t="str">
        <x:v>RNA therapeutics and next-generation vaccines</x:v>
      </x:c>
      <x:c r="C257" s="6" t="str">
        <x:v>Healthcare</x:v>
      </x:c>
      <x:c r="D257" s="6" t="str">
        <x:v>BioPharma Dive</x:v>
      </x:c>
      <x:c r="E257" s="6" t="str">
        <x:v>biopharmadive.com</x:v>
      </x:c>
      <x:c r="F257" s="6" t="str">
        <x:v>Specialist news</x:v>
      </x:c>
      <x:c r="G257" s="6" t="str">
        <x:v>RNA medicine programmes and the commercial consequences of clinical results.</x:v>
      </x:c>
      <x:c r="H257" s="6" t="str">
        <x:v>https://www.biopharmadive.com/</x:v>
      </x:c>
      <x:c r="I257" s="16" t="d">
        <x:v>2026-02-02T12:00:00.000Z</x:v>
      </x:c>
      <x:c r="J257" s="6" t="str">
        <x:v>https://www.biopharmadive.com/news/wave-gsk-reacquire-rna-editing-drug-aatd/811067/</x:v>
      </x:c>
      <x:c r="K257" s="6" t="str">
        <x:v>Publication date and topic coverage observed in the live page or search index; subscription access may be required for the full article.</x:v>
      </x:c>
    </x:row>
    <x:row r="258" ht="15" hidden="0" customHeight="1">
      <x:c r="A258" s="12" t="n">
        <x:v>24</x:v>
      </x:c>
      <x:c r="B258" s="6" t="str">
        <x:v>RNA therapeutics and next-generation vaccines</x:v>
      </x:c>
      <x:c r="C258" s="6" t="str">
        <x:v>Healthcare</x:v>
      </x:c>
      <x:c r="D258" s="6" t="str">
        <x:v>STAT</x:v>
      </x:c>
      <x:c r="E258" s="6" t="str">
        <x:v>statnews.com</x:v>
      </x:c>
      <x:c r="F258" s="6" t="str">
        <x:v>Specialist news</x:v>
      </x:c>
      <x:c r="G258" s="6" t="str">
        <x:v>Vaccine science, approval and policy coverage; this activity example is commentary.</x:v>
      </x:c>
      <x:c r="H258" s="6" t="str">
        <x:v>https://www.statnews.com/</x:v>
      </x:c>
      <x:c r="I258" s="16" t="d">
        <x:v>2026-08-06T12:00:00.000Z</x:v>
      </x:c>
      <x:c r="J258" s="6" t="str">
        <x:v>https://www.statnews.com/2026/08/06/mflusiva-fda-mrna-flu-vaccine-rfk-jr/</x:v>
      </x:c>
      <x:c r="K258" s="6" t="str">
        <x:v>Publication date and topic coverage observed in the live page or search index; subscription access may be required for the full article.</x:v>
      </x:c>
    </x:row>
    <x:row r="259" ht="15" hidden="0" customHeight="1">
      <x:c r="A259" s="12" t="n">
        <x:v>24</x:v>
      </x:c>
      <x:c r="B259" s="6" t="str">
        <x:v>RNA therapeutics and next-generation vaccines</x:v>
      </x:c>
      <x:c r="C259" s="6" t="str">
        <x:v>Healthcare</x:v>
      </x:c>
      <x:c r="D259" s="6" t="str">
        <x:v>BioSpace</x:v>
      </x:c>
      <x:c r="E259" s="6" t="str">
        <x:v>biospace.com</x:v>
      </x:c>
      <x:c r="F259" s="6" t="str">
        <x:v>Specialist news and press releases</x:v>
      </x:c>
      <x:c r="G259" s="6" t="str">
        <x:v>RNA development companies, delivery platforms and financing announcements.</x:v>
      </x:c>
      <x:c r="H259" s="6" t="str">
        <x:v>https://www.biospace.com/</x:v>
      </x:c>
      <x:c r="I259" s="16" t="d">
        <x:v>2026-04-15T12:00:00.000Z</x:v>
      </x:c>
      <x:c r="J259" s="6" t="str">
        <x:v>https://www.biospace.com/press-releases/aerska-strengthens-leadership-and-board-with-key-appointments-to-advance-systemically-delivered-rna-medicines-for-the-brain</x:v>
      </x:c>
      <x:c r="K259" s="6" t="str">
        <x:v>Publication date and topic coverage observed in the live page or search index; subscription access may be required for the full article.</x:v>
      </x:c>
    </x:row>
    <x:row r="260" ht="15" hidden="0" customHeight="1">
      <x:c r="A260" s="12" t="n">
        <x:v>24</x:v>
      </x:c>
      <x:c r="B260" s="6" t="str">
        <x:v>RNA therapeutics and next-generation vaccines</x:v>
      </x:c>
      <x:c r="C260" s="6" t="str">
        <x:v>Healthcare</x:v>
      </x:c>
      <x:c r="D260" s="6" t="str">
        <x:v>Labiotech</x:v>
      </x:c>
      <x:c r="E260" s="6" t="str">
        <x:v>labiotech.eu</x:v>
      </x:c>
      <x:c r="F260" s="6" t="str">
        <x:v>Specialist news</x:v>
      </x:c>
      <x:c r="G260" s="6" t="str">
        <x:v>mRNA, RNA interference, delivery and biotechnology company tracking.</x:v>
      </x:c>
      <x:c r="H260" s="6" t="str">
        <x:v>https://www.labiotech.eu/</x:v>
      </x:c>
      <x:c r="I260" s="16" t="d">
        <x:v>2026-07-17T12:00:00.000Z</x:v>
      </x:c>
      <x:c r="J260" s="6" t="str">
        <x:v>https://www.labiotech.eu/best-biotech/mrna-companies/</x:v>
      </x:c>
      <x:c r="K260" s="6" t="str">
        <x:v>Publication date and topic coverage observed in the live page or search index; subscription access may be required for the full article.</x:v>
      </x:c>
    </x:row>
    <x:row r="261" ht="15" hidden="0" customHeight="1">
      <x:c r="A261" s="12" t="n">
        <x:v>24</x:v>
      </x:c>
      <x:c r="B261" s="6" t="str">
        <x:v>RNA therapeutics and next-generation vaccines</x:v>
      </x:c>
      <x:c r="C261" s="6" t="str">
        <x:v>Healthcare</x:v>
      </x:c>
      <x:c r="D261" s="6" t="str">
        <x:v>Technology Networks</x:v>
      </x:c>
      <x:c r="E261" s="6" t="str">
        <x:v>technologynetworks.com</x:v>
      </x:c>
      <x:c r="F261" s="6" t="str">
        <x:v>Research news</x:v>
      </x:c>
      <x:c r="G261" s="6" t="str">
        <x:v>RNA mechanisms, therapeutic platforms and translational research.</x:v>
      </x:c>
      <x:c r="H261" s="6" t="str">
        <x:v>https://www.technologynetworks.com/</x:v>
      </x:c>
      <x:c r="I261" s="16" t="d">
        <x:v>2026-06-15T12:00:00.000Z</x:v>
      </x:c>
      <x:c r="J261" s="6" t="str">
        <x:v>https://www.technologynetworks.com/tn/articles/persist-adapt-resist-has-cancer-met-its-match-in-small-rnas-413569</x:v>
      </x:c>
      <x:c r="K261" s="6" t="str">
        <x:v>Publication date and topic coverage observed in the live page or search index; subscription access may be required for the full article.</x:v>
      </x:c>
    </x:row>
    <x:row r="262" ht="15" hidden="0" customHeight="1">
      <x:c r="A262" s="12" t="n">
        <x:v>24</x:v>
      </x:c>
      <x:c r="B262" s="6" t="str">
        <x:v>RNA therapeutics and next-generation vaccines</x:v>
      </x:c>
      <x:c r="C262" s="6" t="str">
        <x:v>Healthcare</x:v>
      </x:c>
      <x:c r="D262" s="6" t="str">
        <x:v>Nature Communications</x:v>
      </x:c>
      <x:c r="E262" s="6" t="str">
        <x:v>nature.com</x:v>
      </x:c>
      <x:c r="F262" s="6" t="str">
        <x:v>Research feed</x:v>
      </x:c>
      <x:c r="G262" s="6" t="str">
        <x:v>Regular primary-research feed including RNA base editing and genetic-medicine delivery.</x:v>
      </x:c>
      <x:c r="H262" s="6" t="str">
        <x:v>https://www.nature.com/subjects/gene-therapy/ncomms</x:v>
      </x:c>
      <x:c r="I262" s="16" t="d">
        <x:v>2025-11-03T12:00:00.000Z</x:v>
      </x:c>
      <x:c r="J262" s="6" t="str">
        <x:v>https://www.nature.com/subjects/gene-therapy/ncomms</x:v>
      </x:c>
      <x:c r="K262" s="6" t="str">
        <x:v>November 3, 2025 RNA-editing paper date observed in the topic feed; a research tracker rather than daily business news.</x:v>
      </x:c>
    </x:row>
    <x:row r="263" ht="15" hidden="0" customHeight="1">
      <x:c r="A263" s="12" t="n">
        <x:v>24</x:v>
      </x:c>
      <x:c r="B263" s="6" t="str">
        <x:v>RNA therapeutics and next-generation vaccines</x:v>
      </x:c>
      <x:c r="C263" s="6" t="str">
        <x:v>Healthcare</x:v>
      </x:c>
      <x:c r="D263" s="6" t="str">
        <x:v>Drug Discovery &amp; Development</x:v>
      </x:c>
      <x:c r="E263" s="6" t="str">
        <x:v>drugdiscoverytrends.com</x:v>
      </x:c>
      <x:c r="F263" s="6" t="str">
        <x:v>Specialist news</x:v>
      </x:c>
      <x:c r="G263" s="6" t="str">
        <x:v>Drug discovery, AI tools, translational models and pharmaceutical R&amp;D policy.</x:v>
      </x:c>
      <x:c r="H263" s="6" t="str">
        <x:v>https://www.drugdiscoverytrends.com/</x:v>
      </x:c>
      <x:c r="I263" s="16" t="d">
        <x:v>2026-10-16T12:00:00.000Z</x:v>
      </x:c>
      <x:c r="J263" s="6" t="str">
        <x:v>https://www.drugdiscoverytrends.com/</x:v>
      </x:c>
      <x:c r="K263" s="6" t="str">
        <x:v>Publication date and topic coverage observed in the live page or search index; subscription access may be required for the full article.</x:v>
      </x:c>
    </x:row>
    <x:row r="264" ht="24" hidden="0" customHeight="1">
      <x:c r="A264" s="12" t="n">
        <x:v>24</x:v>
      </x:c>
      <x:c r="B264" s="6" t="str">
        <x:v>RNA therapeutics and next-generation vaccines</x:v>
      </x:c>
      <x:c r="C264" s="6" t="str">
        <x:v>Healthcare</x:v>
      </x:c>
      <x:c r="D264" s="6" t="str">
        <x:v>Sirnaomics newsroom</x:v>
      </x:c>
      <x:c r="E264" s="6" t="str">
        <x:v>sirnaomics.com</x:v>
      </x:c>
      <x:c r="F264" s="6" t="str">
        <x:v>Vendor newsroom</x:v>
      </x:c>
      <x:c r="G264" s="6" t="str">
        <x:v>RNA platform and vaccine-programme updates from a developer; company perspective.</x:v>
      </x:c>
      <x:c r="H264" s="6" t="str">
        <x:v>https://www.sirnaomics.com/en/news/</x:v>
      </x:c>
      <x:c r="I264" s="16" t="d">
        <x:v>2026-08-26T12:00:00.000Z</x:v>
      </x:c>
      <x:c r="J264" s="6" t="str">
        <x:v>https://www.sirnaomics.com/en/news/press-release/sirnaomics-investee-rnaimmunecompletes-rmb-30-million-strategic-financing-to-accelerate-mrna-cancer-vaccine-pipeline-development/</x:v>
      </x:c>
      <x:c r="K264" s="6" t="str">
        <x:v>Publication date and topic coverage observed in the live page or search index; subscription access may be required for the full article.</x:v>
      </x:c>
    </x:row>
    <x:row r="265" ht="15" hidden="0" customHeight="1">
      <x:c r="A265" s="12" t="n">
        <x:v>25</x:v>
      </x:c>
      <x:c r="B265" s="6" t="str">
        <x:v>Remote patient monitoring and medical wearables</x:v>
      </x:c>
      <x:c r="C265" s="6" t="str">
        <x:v>Healthcare</x:v>
      </x:c>
      <x:c r="D265" s="6" t="str">
        <x:v>MobiHealthNews</x:v>
      </x:c>
      <x:c r="E265" s="6" t="str">
        <x:v>mobihealthnews.com</x:v>
      </x:c>
      <x:c r="F265" s="6" t="str">
        <x:v>Specialist news</x:v>
      </x:c>
      <x:c r="G265" s="6" t="str">
        <x:v>Remote monitoring vendors, connected devices and care partnerships.</x:v>
      </x:c>
      <x:c r="H265" s="6" t="str">
        <x:v>https://www.mobihealthnews.com/tag/remote-patient-monitoring</x:v>
      </x:c>
      <x:c r="I265" s="16" t="d">
        <x:v>2026-08-06T12:00:00.000Z</x:v>
      </x:c>
      <x:c r="J265" s="6" t="str">
        <x:v>https://www.mobihealthnews.com/tag/remote-patient-monitoring</x:v>
      </x:c>
      <x:c r="K265" s="6" t="str">
        <x:v>Publication date and topic coverage observed in the live page or search index; subscription access may be required for the full article.</x:v>
      </x:c>
    </x:row>
    <x:row r="266" ht="15" hidden="0" customHeight="1">
      <x:c r="A266" s="12" t="n">
        <x:v>25</x:v>
      </x:c>
      <x:c r="B266" s="6" t="str">
        <x:v>Remote patient monitoring and medical wearables</x:v>
      </x:c>
      <x:c r="C266" s="6" t="str">
        <x:v>Healthcare</x:v>
      </x:c>
      <x:c r="D266" s="6" t="str">
        <x:v>Healthcare IT News</x:v>
      </x:c>
      <x:c r="E266" s="6" t="str">
        <x:v>healthcareitnews.com</x:v>
      </x:c>
      <x:c r="F266" s="6" t="str">
        <x:v>Specialist news</x:v>
      </x:c>
      <x:c r="G266" s="6" t="str">
        <x:v>Remote monitoring outcomes, care workflows and reimbursement developments.</x:v>
      </x:c>
      <x:c r="H266" s="6" t="str">
        <x:v>https://www.healthcareitnews.com/enterprise-taxonomy-tag/remote-patient-monitoring</x:v>
      </x:c>
      <x:c r="I266" s="16" t="d">
        <x:v>2026-09-16T12:00:00.000Z</x:v>
      </x:c>
      <x:c r="J266" s="6" t="str">
        <x:v>https://www.healthcareitnews.com/enterprise-taxonomy-tag/remote-patient-monitoring</x:v>
      </x:c>
      <x:c r="K266" s="6" t="str">
        <x:v>Publication date and topic coverage observed in the live page or search index; subscription access may be required for the full article.</x:v>
      </x:c>
    </x:row>
    <x:row r="267" ht="15" hidden="0" customHeight="1">
      <x:c r="A267" s="12" t="n">
        <x:v>25</x:v>
      </x:c>
      <x:c r="B267" s="6" t="str">
        <x:v>Remote patient monitoring and medical wearables</x:v>
      </x:c>
      <x:c r="C267" s="6" t="str">
        <x:v>Healthcare</x:v>
      </x:c>
      <x:c r="D267" s="6" t="str">
        <x:v>Fierce Healthcare</x:v>
      </x:c>
      <x:c r="E267" s="6" t="str">
        <x:v>fiercehealthcare.com</x:v>
      </x:c>
      <x:c r="F267" s="6" t="str">
        <x:v>Specialist news</x:v>
      </x:c>
      <x:c r="G267" s="6" t="str">
        <x:v>Remote monitoring policy, care-management providers and funding.</x:v>
      </x:c>
      <x:c r="H267" s="6" t="str">
        <x:v>https://www.fiercehealthcare.com/</x:v>
      </x:c>
      <x:c r="I267" s="16" t="d">
        <x:v>2026-07-16T12:00:00.000Z</x:v>
      </x:c>
      <x:c r="J267" s="6" t="str">
        <x:v>https://www.fiercehealthcare.com/regulatory/medicare-proposes-stricter-requirements-remote-monitoring-services-limiting-use-third</x:v>
      </x:c>
      <x:c r="K267" s="6" t="str">
        <x:v>Publication date and topic coverage observed in the live page or search index; subscription access may be required for the full article.</x:v>
      </x:c>
    </x:row>
    <x:row r="268" ht="15" hidden="0" customHeight="1">
      <x:c r="A268" s="12" t="n">
        <x:v>25</x:v>
      </x:c>
      <x:c r="B268" s="6" t="str">
        <x:v>Remote patient monitoring and medical wearables</x:v>
      </x:c>
      <x:c r="C268" s="6" t="str">
        <x:v>Healthcare</x:v>
      </x:c>
      <x:c r="D268" s="6" t="str">
        <x:v>MedCity News</x:v>
      </x:c>
      <x:c r="E268" s="6" t="str">
        <x:v>medcitynews.com</x:v>
      </x:c>
      <x:c r="F268" s="6" t="str">
        <x:v>Specialist news</x:v>
      </x:c>
      <x:c r="G268" s="6" t="str">
        <x:v>Monitoring business models and reimbursement; includes contributed analysis.</x:v>
      </x:c>
      <x:c r="H268" s="6" t="str">
        <x:v>https://medcitynews.com/</x:v>
      </x:c>
      <x:c r="I268" s="16" t="d">
        <x:v>2026-06-08T12:00:00.000Z</x:v>
      </x:c>
      <x:c r="J268" s="6" t="str">
        <x:v>https://medcitynews.com/2026/06/expanding-the-reach-of-remote-patient-monitoring-the-real-signal-behind-the-2026-rpm-changes/</x:v>
      </x:c>
      <x:c r="K268" s="6" t="str">
        <x:v>Publication date and topic coverage observed in the live page or search index; subscription access may be required for the full article.</x:v>
      </x:c>
    </x:row>
    <x:row r="269" ht="15" hidden="0" customHeight="1">
      <x:c r="A269" s="12" t="n">
        <x:v>25</x:v>
      </x:c>
      <x:c r="B269" s="6" t="str">
        <x:v>Remote patient monitoring and medical wearables</x:v>
      </x:c>
      <x:c r="C269" s="6" t="str">
        <x:v>Healthcare</x:v>
      </x:c>
      <x:c r="D269" s="6" t="str">
        <x:v>MassDevice</x:v>
      </x:c>
      <x:c r="E269" s="6" t="str">
        <x:v>massdevice.com</x:v>
      </x:c>
      <x:c r="F269" s="6" t="str">
        <x:v>Specialist news</x:v>
      </x:c>
      <x:c r="G269" s="6" t="str">
        <x:v>Connected medical devices, monitoring suppliers and regulatory milestones.</x:v>
      </x:c>
      <x:c r="H269" s="6" t="str">
        <x:v>https://www.massdevice.com/</x:v>
      </x:c>
      <x:c r="I269" s="16" t="d">
        <x:v>2026-07-10T12:00:00.000Z</x:v>
      </x:c>
      <x:c r="J269" s="6" t="str">
        <x:v>https://www.massdevice.com/philips-stacy-kelleher-patient-monitoring-care/</x:v>
      </x:c>
      <x:c r="K269" s="6" t="str">
        <x:v>Publication date and topic coverage observed in the live page or search index; subscription access may be required for the full article.</x:v>
      </x:c>
    </x:row>
    <x:row r="270" ht="15" hidden="0" customHeight="1">
      <x:c r="A270" s="12" t="n">
        <x:v>25</x:v>
      </x:c>
      <x:c r="B270" s="6" t="str">
        <x:v>Remote patient monitoring and medical wearables</x:v>
      </x:c>
      <x:c r="C270" s="6" t="str">
        <x:v>Healthcare</x:v>
      </x:c>
      <x:c r="D270" s="6" t="str">
        <x:v>Medical Design &amp; Outsourcing</x:v>
      </x:c>
      <x:c r="E270" s="6" t="str">
        <x:v>medicaldesignandoutsourcing.com</x:v>
      </x:c>
      <x:c r="F270" s="6" t="str">
        <x:v>Specialist news</x:v>
      </x:c>
      <x:c r="G270" s="6" t="str">
        <x:v>Medical device connectivity, wearable hardware and cybersecurity.</x:v>
      </x:c>
      <x:c r="H270" s="6" t="str">
        <x:v>https://www.medicaldesignandoutsourcing.com/</x:v>
      </x:c>
      <x:c r="I270" s="16" t="d">
        <x:v>2026-08-13T12:00:00.000Z</x:v>
      </x:c>
      <x:c r="J270" s="6" t="str">
        <x:v>https://www.medicaldesignandoutsourcing.com/medical-device-connectivity-hardware-cybersecurity-s3/</x:v>
      </x:c>
      <x:c r="K270" s="6" t="str">
        <x:v>Publication date and topic coverage observed in the live page or search index; subscription access may be required for the full article.</x:v>
      </x:c>
    </x:row>
    <x:row r="271" ht="15" hidden="0" customHeight="1">
      <x:c r="A271" s="12" t="n">
        <x:v>25</x:v>
      </x:c>
      <x:c r="B271" s="6" t="str">
        <x:v>Remote patient monitoring and medical wearables</x:v>
      </x:c>
      <x:c r="C271" s="6" t="str">
        <x:v>Healthcare</x:v>
      </x:c>
      <x:c r="D271" s="6" t="str">
        <x:v>Reuters</x:v>
      </x:c>
      <x:c r="E271" s="6" t="str">
        <x:v>reuters.com</x:v>
      </x:c>
      <x:c r="F271" s="6" t="str">
        <x:v>Business news</x:v>
      </x:c>
      <x:c r="G271" s="6" t="str">
        <x:v>Medical wearable approvals and major monitoring-company transactions.</x:v>
      </x:c>
      <x:c r="H271" s="6" t="str">
        <x:v>https://www.reuters.com/business/healthcare-pharmaceuticals/</x:v>
      </x:c>
      <x:c r="I271" s="16" t="d">
        <x:v>2026-08-25T12:00:00.000Z</x:v>
      </x:c>
      <x:c r="J271" s="6" t="str">
        <x:v>https://www.reuters.com/business/healthcare-pharmaceuticals/fda-authorizes-abbotts-wearable-monitor-ketone-glucose-diabetes-patients-2026-08-25/</x:v>
      </x:c>
      <x:c r="K271" s="6" t="str">
        <x:v>Publication date and topic coverage observed in the live page or search index; subscription access may be required for the full article.</x:v>
      </x:c>
    </x:row>
    <x:row r="272" ht="15" hidden="0" customHeight="1">
      <x:c r="A272" s="12" t="n">
        <x:v>25</x:v>
      </x:c>
      <x:c r="B272" s="6" t="str">
        <x:v>Remote patient monitoring and medical wearables</x:v>
      </x:c>
      <x:c r="C272" s="6" t="str">
        <x:v>Healthcare</x:v>
      </x:c>
      <x:c r="D272" s="6" t="str">
        <x:v>MedTech Dive</x:v>
      </x:c>
      <x:c r="E272" s="6" t="str">
        <x:v>medtechdive.com</x:v>
      </x:c>
      <x:c r="F272" s="6" t="str">
        <x:v>Specialist news</x:v>
      </x:c>
      <x:c r="G272" s="6" t="str">
        <x:v>Medical-device companies, connected-care devices and post-market oversight; broad medtech beat.</x:v>
      </x:c>
      <x:c r="H272" s="6" t="str">
        <x:v>https://www.medtechdive.com/</x:v>
      </x:c>
      <x:c r="I272" s="16" t="d">
        <x:v>2026-10-07T12:00:00.000Z</x:v>
      </x:c>
      <x:c r="J272" s="6" t="str">
        <x:v>https://www.medtechdive.com/news/uk-backs-continuous-oversight-of-ai-medical-devices/832413/</x:v>
      </x:c>
      <x:c r="K272" s="6" t="str">
        <x:v>Publication date and topic coverage observed in the live page or search index; subscription access may be required for the full article.</x:v>
      </x:c>
    </x:row>
    <x:row r="273" ht="15" hidden="0" customHeight="1">
      <x:c r="A273" s="12" t="n">
        <x:v>25</x:v>
      </x:c>
      <x:c r="B273" s="6" t="str">
        <x:v>Remote patient monitoring and medical wearables</x:v>
      </x:c>
      <x:c r="C273" s="6" t="str">
        <x:v>Healthcare</x:v>
      </x:c>
      <x:c r="D273" s="6" t="str">
        <x:v>TechTarget Virtual Healthcare</x:v>
      </x:c>
      <x:c r="E273" s="6" t="str">
        <x:v>techtarget.com</x:v>
      </x:c>
      <x:c r="F273" s="6" t="str">
        <x:v>Specialist news</x:v>
      </x:c>
      <x:c r="G273" s="6" t="str">
        <x:v>Virtual-care technology, automation, clinical workflow and implementation economics.</x:v>
      </x:c>
      <x:c r="H273" s="6" t="str">
        <x:v>https://www.techtarget.com/virtualhealthcare/resources/Remote-patient-monitoring</x:v>
      </x:c>
      <x:c r="I273" s="16" t="d">
        <x:v>2026-08-18T12:00:00.000Z</x:v>
      </x:c>
      <x:c r="J273" s="6" t="str">
        <x:v>https://www.techtarget.com/virtualhealthcare/resources/Remote-patient-monitoring</x:v>
      </x:c>
      <x:c r="K273" s="6" t="str">
        <x:v>Publication date and topic coverage observed in the live page or search index; subscription access may be required for the full article.</x:v>
      </x:c>
    </x:row>
    <x:row r="274" ht="15" hidden="0" customHeight="1">
      <x:c r="A274" s="12" t="n">
        <x:v>25</x:v>
      </x:c>
      <x:c r="B274" s="6" t="str">
        <x:v>Remote patient monitoring and medical wearables</x:v>
      </x:c>
      <x:c r="C274" s="6" t="str">
        <x:v>Healthcare</x:v>
      </x:c>
      <x:c r="D274" s="6" t="str">
        <x:v>STAT</x:v>
      </x:c>
      <x:c r="E274" s="6" t="str">
        <x:v>statnews.com</x:v>
      </x:c>
      <x:c r="F274" s="6" t="str">
        <x:v>Specialist news</x:v>
      </x:c>
      <x:c r="G274" s="6" t="str">
        <x:v>Wearables, clinical devices and reimbursement in the twice-weekly Health Tech newsletter; activity article is on clinical AI.</x:v>
      </x:c>
      <x:c r="H274" s="6" t="str">
        <x:v>https://www.statnews.com/</x:v>
      </x:c>
      <x:c r="I274" s="16" t="d">
        <x:v>2026-05-05T12:00:00.000Z</x:v>
      </x:c>
      <x:c r="J274" s="6" t="str">
        <x:v>https://www.statnews.com/2026/05/05/did-ai-really-beat-doctors-at-diagnosis-health-tech/</x:v>
      </x:c>
      <x:c r="K274" s="6" t="str">
        <x:v>Dated article and twice-weekly Health Tech newsletter verified; full article may require STAT+.</x:v>
      </x:c>
    </x:row>
    <x:row r="275" ht="15" hidden="0" customHeight="1">
      <x:c r="A275" s="12" t="n">
        <x:v>26</x:v>
      </x:c>
      <x:c r="B275" s="6" t="str">
        <x:v>AI-enabled drug discovery</x:v>
      </x:c>
      <x:c r="C275" s="6" t="str">
        <x:v>Bio &amp; production</x:v>
      </x:c>
      <x:c r="D275" s="6" t="str">
        <x:v>Drug Discovery &amp; Development</x:v>
      </x:c>
      <x:c r="E275" s="6" t="str">
        <x:v>drugdiscoverytrends.com</x:v>
      </x:c>
      <x:c r="F275" s="6" t="str">
        <x:v>Specialist news</x:v>
      </x:c>
      <x:c r="G275" s="6" t="str">
        <x:v>Drug discovery, AI tools, translational models and pharmaceutical R&amp;D policy.</x:v>
      </x:c>
      <x:c r="H275" s="6" t="str">
        <x:v>https://www.drugdiscoverytrends.com/</x:v>
      </x:c>
      <x:c r="I275" s="16" t="d">
        <x:v>2026-10-16T12:00:00.000Z</x:v>
      </x:c>
      <x:c r="J275" s="6" t="str">
        <x:v>https://www.drugdiscoverytrends.com/</x:v>
      </x:c>
      <x:c r="K275" s="6" t="str">
        <x:v>Publication date and topic coverage observed in the live page or search index; subscription access may be required for the full article.</x:v>
      </x:c>
    </x:row>
    <x:row r="276" ht="15" hidden="0" customHeight="1">
      <x:c r="A276" s="12" t="n">
        <x:v>26</x:v>
      </x:c>
      <x:c r="B276" s="6" t="str">
        <x:v>AI-enabled drug discovery</x:v>
      </x:c>
      <x:c r="C276" s="6" t="str">
        <x:v>Bio &amp; production</x:v>
      </x:c>
      <x:c r="D276" s="6" t="str">
        <x:v>Drug Target Review</x:v>
      </x:c>
      <x:c r="E276" s="6" t="str">
        <x:v>drugtargetreview.com</x:v>
      </x:c>
      <x:c r="F276" s="6" t="str">
        <x:v>Specialist news</x:v>
      </x:c>
      <x:c r="G276" s="6" t="str">
        <x:v>AI discovery, biological validation and laboratory workflows.</x:v>
      </x:c>
      <x:c r="H276" s="6" t="str">
        <x:v>https://www.drugtargetreview.com/</x:v>
      </x:c>
      <x:c r="I276" s="16" t="d">
        <x:v>2026-06-10T12:00:00.000Z</x:v>
      </x:c>
      <x:c r="J276" s="6" t="str">
        <x:v>https://www.drugtargetreview.com/reports/ai-in-drug-discovery-progress-limits-and-what-comes-next/2135549.article</x:v>
      </x:c>
      <x:c r="K276" s="6" t="str">
        <x:v>Publication date and topic coverage observed in the live page or search index; subscription access may be required for the full article.</x:v>
      </x:c>
    </x:row>
    <x:row r="277" ht="15" hidden="0" customHeight="1">
      <x:c r="A277" s="12" t="n">
        <x:v>26</x:v>
      </x:c>
      <x:c r="B277" s="6" t="str">
        <x:v>AI-enabled drug discovery</x:v>
      </x:c>
      <x:c r="C277" s="6" t="str">
        <x:v>Bio &amp; production</x:v>
      </x:c>
      <x:c r="D277" s="6" t="str">
        <x:v>Fierce Biotech</x:v>
      </x:c>
      <x:c r="E277" s="6" t="str">
        <x:v>fiercebiotech.com</x:v>
      </x:c>
      <x:c r="F277" s="6" t="str">
        <x:v>Specialist news</x:v>
      </x:c>
      <x:c r="G277" s="6" t="str">
        <x:v>AI drug-discovery companies, partnerships and clinical programmes.</x:v>
      </x:c>
      <x:c r="H277" s="6" t="str">
        <x:v>https://www.fiercebiotech.com/</x:v>
      </x:c>
      <x:c r="I277" s="16" t="d">
        <x:v>2026-05-15T12:00:00.000Z</x:v>
      </x:c>
      <x:c r="J277" s="6" t="str">
        <x:v>https://www.fiercebiotech.com/biotech/how-model-medicines-creates-creative-models-ai-drug-development</x:v>
      </x:c>
      <x:c r="K277" s="6" t="str">
        <x:v>Publication date and topic coverage observed in the live page or search index; subscription access may be required for the full article.</x:v>
      </x:c>
    </x:row>
    <x:row r="278" ht="15" hidden="0" customHeight="1">
      <x:c r="A278" s="12" t="n">
        <x:v>26</x:v>
      </x:c>
      <x:c r="B278" s="6" t="str">
        <x:v>AI-enabled drug discovery</x:v>
      </x:c>
      <x:c r="C278" s="6" t="str">
        <x:v>Bio &amp; production</x:v>
      </x:c>
      <x:c r="D278" s="6" t="str">
        <x:v>BioPharma Dive</x:v>
      </x:c>
      <x:c r="E278" s="6" t="str">
        <x:v>biopharmadive.com</x:v>
      </x:c>
      <x:c r="F278" s="6" t="str">
        <x:v>Specialist news</x:v>
      </x:c>
      <x:c r="G278" s="6" t="str">
        <x:v>Clinical progress and failures of AI-origin drug programmes.</x:v>
      </x:c>
      <x:c r="H278" s="6" t="str">
        <x:v>https://www.biopharmadive.com/</x:v>
      </x:c>
      <x:c r="I278" s="16" t="d">
        <x:v>2026-05-27T12:00:00.000Z</x:v>
      </x:c>
      <x:c r="J278" s="6" t="str">
        <x:v>https://www.biopharmadive.com/news/verge-genomics-labs-neuroscience-AI-drug-discovery/821229/</x:v>
      </x:c>
      <x:c r="K278" s="6" t="str">
        <x:v>Publication date and topic coverage observed in the live page or search index; subscription access may be required for the full article.</x:v>
      </x:c>
    </x:row>
    <x:row r="279" ht="15" hidden="0" customHeight="1">
      <x:c r="A279" s="12" t="n">
        <x:v>26</x:v>
      </x:c>
      <x:c r="B279" s="6" t="str">
        <x:v>AI-enabled drug discovery</x:v>
      </x:c>
      <x:c r="C279" s="6" t="str">
        <x:v>Bio &amp; production</x:v>
      </x:c>
      <x:c r="D279" s="6" t="str">
        <x:v>Labiotech</x:v>
      </x:c>
      <x:c r="E279" s="6" t="str">
        <x:v>labiotech.eu</x:v>
      </x:c>
      <x:c r="F279" s="6" t="str">
        <x:v>Specialist news and podcast</x:v>
      </x:c>
      <x:c r="G279" s="6" t="str">
        <x:v>AI-native drug discovery, biological data and biotech company strategy.</x:v>
      </x:c>
      <x:c r="H279" s="6" t="str">
        <x:v>https://www.labiotech.eu/</x:v>
      </x:c>
      <x:c r="I279" s="16" t="d">
        <x:v>2026-10-02T12:00:00.000Z</x:v>
      </x:c>
      <x:c r="J279" s="6" t="str">
        <x:v>https://podcast.labiotech.eu/1995493/episodes/19886114-how-flagship-s-valo-is-reshaping-ai-drug-discovery-with-human-data</x:v>
      </x:c>
      <x:c r="K279" s="6" t="str">
        <x:v>Publication date and topic coverage observed in the live page or search index; subscription access may be required for the full article.</x:v>
      </x:c>
    </x:row>
    <x:row r="280" ht="15" hidden="0" customHeight="1">
      <x:c r="A280" s="12" t="n">
        <x:v>26</x:v>
      </x:c>
      <x:c r="B280" s="6" t="str">
        <x:v>AI-enabled drug discovery</x:v>
      </x:c>
      <x:c r="C280" s="6" t="str">
        <x:v>Bio &amp; production</x:v>
      </x:c>
      <x:c r="D280" s="6" t="str">
        <x:v>GEN</x:v>
      </x:c>
      <x:c r="E280" s="6" t="str">
        <x:v>genengnews.com</x:v>
      </x:c>
      <x:c r="F280" s="6" t="str">
        <x:v>Research news and events</x:v>
      </x:c>
      <x:c r="G280" s="6" t="str">
        <x:v>RNA design, delivery, manufacturing and clinical research.</x:v>
      </x:c>
      <x:c r="H280" s="6" t="str">
        <x:v>https://www.genengnews.com/subject/rna/</x:v>
      </x:c>
      <x:c r="I280" s="16" t="d">
        <x:v>2026-06-24T12:00:00.000Z</x:v>
      </x:c>
      <x:c r="J280" s="6" t="str">
        <x:v>https://www.genengnews.com/multimedia/summits/spotlight-on-rna-therapeutics/</x:v>
      </x:c>
      <x:c r="K280" s="6" t="str">
        <x:v>Publication date and topic coverage observed in the live page or search index; subscription access may be required for the full article.</x:v>
      </x:c>
    </x:row>
    <x:row r="281" ht="15" hidden="0" customHeight="1">
      <x:c r="A281" s="12" t="n">
        <x:v>26</x:v>
      </x:c>
      <x:c r="B281" s="6" t="str">
        <x:v>AI-enabled drug discovery</x:v>
      </x:c>
      <x:c r="C281" s="6" t="str">
        <x:v>Bio &amp; production</x:v>
      </x:c>
      <x:c r="D281" s="6" t="str">
        <x:v>Axios</x:v>
      </x:c>
      <x:c r="E281" s="6" t="str">
        <x:v>axios.com</x:v>
      </x:c>
      <x:c r="F281" s="6" t="str">
        <x:v>Business news</x:v>
      </x:c>
      <x:c r="G281" s="6" t="str">
        <x:v>AI drug-discovery financing, company formation and public-market plans.</x:v>
      </x:c>
      <x:c r="H281" s="6" t="str">
        <x:v>https://www.axios.com/</x:v>
      </x:c>
      <x:c r="I281" s="16" t="d">
        <x:v>2026-10-13T12:00:00.000Z</x:v>
      </x:c>
      <x:c r="J281" s="6" t="str">
        <x:v>https://www.axios.com/2026/10/13/iambic-isomorphic-ipo</x:v>
      </x:c>
      <x:c r="K281" s="6" t="str">
        <x:v>Publication date and topic coverage observed in the live page or search index; subscription access may be required for the full article.</x:v>
      </x:c>
    </x:row>
    <x:row r="282" ht="15" hidden="0" customHeight="1">
      <x:c r="A282" s="12" t="n">
        <x:v>26</x:v>
      </x:c>
      <x:c r="B282" s="6" t="str">
        <x:v>AI-enabled drug discovery</x:v>
      </x:c>
      <x:c r="C282" s="6" t="str">
        <x:v>Bio &amp; production</x:v>
      </x:c>
      <x:c r="D282" s="6" t="str">
        <x:v>Reuters</x:v>
      </x:c>
      <x:c r="E282" s="6" t="str">
        <x:v>reuters.com</x:v>
      </x:c>
      <x:c r="F282" s="6" t="str">
        <x:v>Business news</x:v>
      </x:c>
      <x:c r="G282" s="6" t="str">
        <x:v>AI-enabled drug-company funding, IPOs and major partnerships.</x:v>
      </x:c>
      <x:c r="H282" s="6" t="str">
        <x:v>https://www.reuters.com/business/healthcare-pharmaceuticals/</x:v>
      </x:c>
      <x:c r="I282" s="16" t="d">
        <x:v>2026-02-27T12:00:00.000Z</x:v>
      </x:c>
      <x:c r="J282" s="6" t="str">
        <x:v>https://www.reuters.com/business/healthcare-pharmaceuticals/drug-developer-generate-biomedicines-raises-400-million-us-ipo-2026-02-27/</x:v>
      </x:c>
      <x:c r="K282" s="6" t="str">
        <x:v>Publication date and topic coverage observed in the live page or search index; subscription access may be required for the full article.</x:v>
      </x:c>
    </x:row>
    <x:row r="283" ht="15" hidden="0" customHeight="1">
      <x:c r="A283" s="12" t="n">
        <x:v>26</x:v>
      </x:c>
      <x:c r="B283" s="6" t="str">
        <x:v>AI-enabled drug discovery</x:v>
      </x:c>
      <x:c r="C283" s="6" t="str">
        <x:v>Bio &amp; production</x:v>
      </x:c>
      <x:c r="D283" s="6" t="str">
        <x:v>Nature</x:v>
      </x:c>
      <x:c r="E283" s="6" t="str">
        <x:v>nature.com</x:v>
      </x:c>
      <x:c r="F283" s="6" t="str">
        <x:v>Research news</x:v>
      </x:c>
      <x:c r="G283" s="6" t="str">
        <x:v>New gene-editing research and AI-designed editing proteins.</x:v>
      </x:c>
      <x:c r="H283" s="6" t="str">
        <x:v>https://www.nature.com/</x:v>
      </x:c>
      <x:c r="I283" s="16" t="d">
        <x:v>2026-07-16T12:00:00.000Z</x:v>
      </x:c>
      <x:c r="J283" s="6" t="str">
        <x:v>https://www.nature.com/articles/d41586-026-02217-w</x:v>
      </x:c>
      <x:c r="K283" s="6" t="str">
        <x:v>Publication date and topic coverage observed in the live page or search index; subscription access may be required for the full article.</x:v>
      </x:c>
    </x:row>
    <x:row r="284" ht="15" hidden="0" customHeight="1">
      <x:c r="A284" s="12" t="n">
        <x:v>26</x:v>
      </x:c>
      <x:c r="B284" s="6" t="str">
        <x:v>AI-enabled drug discovery</x:v>
      </x:c>
      <x:c r="C284" s="6" t="str">
        <x:v>Bio &amp; production</x:v>
      </x:c>
      <x:c r="D284" s="6" t="str">
        <x:v>BioSpace</x:v>
      </x:c>
      <x:c r="E284" s="6" t="str">
        <x:v>biospace.com</x:v>
      </x:c>
      <x:c r="F284" s="6" t="str">
        <x:v>Specialist news and press releases</x:v>
      </x:c>
      <x:c r="G284" s="6" t="str">
        <x:v>AI biology platforms, datasets, therapeutic company developments and releases.</x:v>
      </x:c>
      <x:c r="H284" s="6" t="str">
        <x:v>https://www.biospace.com/</x:v>
      </x:c>
      <x:c r="I284" s="16" t="d">
        <x:v>2026-09-15T12:00:00.000Z</x:v>
      </x:c>
      <x:c r="J284" s="6" t="str">
        <x:v>https://www.biospace.com/press-releases/therna-biosciences-releases-chronos-the-data-engine-behind-its-ai-rna-biologist</x:v>
      </x:c>
      <x:c r="K284" s="6" t="str">
        <x:v>Publication date and topic coverage observed in the live page or search index; subscription access may be required for the full article.</x:v>
      </x:c>
    </x:row>
    <x:row r="285" ht="24" hidden="0" customHeight="1">
      <x:c r="A285" s="12" t="n">
        <x:v>27</x:v>
      </x:c>
      <x:c r="B285" s="6" t="str">
        <x:v>Synthetic biology and biomanufacturing</x:v>
      </x:c>
      <x:c r="C285" s="6" t="str">
        <x:v>Bio &amp; production</x:v>
      </x:c>
      <x:c r="D285" s="6" t="str">
        <x:v>SynBioBeta</x:v>
      </x:c>
      <x:c r="E285" s="6" t="str">
        <x:v>synbiobeta.com</x:v>
      </x:c>
      <x:c r="F285" s="6" t="str">
        <x:v>Specialist news and releases</x:v>
      </x:c>
      <x:c r="G285" s="6" t="str">
        <x:v>Synthetic biology companies, fermentation scale-up and bioeconomy financing.</x:v>
      </x:c>
      <x:c r="H285" s="6" t="str">
        <x:v>https://www.synbiobeta.com/</x:v>
      </x:c>
      <x:c r="I285" s="16" t="d">
        <x:v>2026-05-25T12:00:00.000Z</x:v>
      </x:c>
      <x:c r="J285" s="6" t="str">
        <x:v>https://www.synbiobeta.com/read/strainx-has-raised-13m-from-the-vc-firm-behind-impossible-foods-in-one-of-the-largest-food-tech-private-funding-rounds-in-india%E2%80%99s-history</x:v>
      </x:c>
      <x:c r="K285" s="6" t="str">
        <x:v>Publication date and topic coverage observed in the live page or search index; subscription access may be required for the full article.</x:v>
      </x:c>
    </x:row>
    <x:row r="286" ht="15" hidden="0" customHeight="1">
      <x:c r="A286" s="12" t="n">
        <x:v>27</x:v>
      </x:c>
      <x:c r="B286" s="6" t="str">
        <x:v>Synthetic biology and biomanufacturing</x:v>
      </x:c>
      <x:c r="C286" s="6" t="str">
        <x:v>Bio &amp; production</x:v>
      </x:c>
      <x:c r="D286" s="6" t="str">
        <x:v>GEN</x:v>
      </x:c>
      <x:c r="E286" s="6" t="str">
        <x:v>genengnews.com</x:v>
      </x:c>
      <x:c r="F286" s="6" t="str">
        <x:v>Specialist news</x:v>
      </x:c>
      <x:c r="G286" s="6" t="str">
        <x:v>Genome editing, bioprocess engineering and therapeutic manufacturing.</x:v>
      </x:c>
      <x:c r="H286" s="6" t="str">
        <x:v>https://www.genengnews.com/</x:v>
      </x:c>
      <x:c r="I286" s="16" t="d">
        <x:v>2026-07-01T12:00:00.000Z</x:v>
      </x:c>
      <x:c r="J286" s="6" t="str">
        <x:v>https://www.genengnews.com/topics/bioprocessing/standardizing-personalized-crispr-gene-editing-therapies/</x:v>
      </x:c>
      <x:c r="K286" s="6" t="str">
        <x:v>Publication date and topic coverage observed in the live page or search index; subscription access may be required for the full article.</x:v>
      </x:c>
    </x:row>
    <x:row r="287" ht="15" hidden="0" customHeight="1">
      <x:c r="A287" s="12" t="n">
        <x:v>27</x:v>
      </x:c>
      <x:c r="B287" s="6" t="str">
        <x:v>Synthetic biology and biomanufacturing</x:v>
      </x:c>
      <x:c r="C287" s="6" t="str">
        <x:v>Bio &amp; production</x:v>
      </x:c>
      <x:c r="D287" s="6" t="str">
        <x:v>BioProcess International</x:v>
      </x:c>
      <x:c r="E287" s="6" t="str">
        <x:v>bioprocessintl.com</x:v>
      </x:c>
      <x:c r="F287" s="6" t="str">
        <x:v>Specialist news</x:v>
      </x:c>
      <x:c r="G287" s="6" t="str">
        <x:v>Biomanufacturing methods, process development and production technology.</x:v>
      </x:c>
      <x:c r="H287" s="6" t="str">
        <x:v>https://www.bioprocessintl.com/latest-news</x:v>
      </x:c>
      <x:c r="I287" s="16" t="d">
        <x:v>2026-09-08T12:00:00.000Z</x:v>
      </x:c>
      <x:c r="J287" s="6" t="str">
        <x:v>https://www.bioprocessintl.com/cell-therapies/is-the-future-of-car-t-synthetic-a-look-at-advanced-therapies-today</x:v>
      </x:c>
      <x:c r="K287" s="6" t="str">
        <x:v>Publication date and topic coverage observed in the live page or search index; subscription access may be required for the full article.</x:v>
      </x:c>
    </x:row>
    <x:row r="288" ht="15" hidden="0" customHeight="1">
      <x:c r="A288" s="12" t="n">
        <x:v>27</x:v>
      </x:c>
      <x:c r="B288" s="6" t="str">
        <x:v>Synthetic biology and biomanufacturing</x:v>
      </x:c>
      <x:c r="C288" s="6" t="str">
        <x:v>Bio &amp; production</x:v>
      </x:c>
      <x:c r="D288" s="6" t="str">
        <x:v>BioPharm International</x:v>
      </x:c>
      <x:c r="E288" s="6" t="str">
        <x:v>biopharminternational.com</x:v>
      </x:c>
      <x:c r="F288" s="6" t="str">
        <x:v>Specialist news</x:v>
      </x:c>
      <x:c r="G288" s="6" t="str">
        <x:v>Scale-up, purification, process automation and manufacturing suppliers.</x:v>
      </x:c>
      <x:c r="H288" s="6" t="str">
        <x:v>https://www.biopharminternational.com/</x:v>
      </x:c>
      <x:c r="I288" s="16" t="d">
        <x:v>2026-09-30T12:00:00.000Z</x:v>
      </x:c>
      <x:c r="J288" s="6" t="str">
        <x:v>https://www.biopharminternational.com/view/the-next-phase-of-bioprocessing-trends-redefining-manufacturing</x:v>
      </x:c>
      <x:c r="K288" s="6" t="str">
        <x:v>Publication date and topic coverage observed in the live page or search index; subscription access may be required for the full article.</x:v>
      </x:c>
    </x:row>
    <x:row r="289" ht="15" hidden="0" customHeight="1">
      <x:c r="A289" s="12" t="n">
        <x:v>27</x:v>
      </x:c>
      <x:c r="B289" s="6" t="str">
        <x:v>Synthetic biology and biomanufacturing</x:v>
      </x:c>
      <x:c r="C289" s="6" t="str">
        <x:v>Bio &amp; production</x:v>
      </x:c>
      <x:c r="D289" s="6" t="str">
        <x:v>News Medical</x:v>
      </x:c>
      <x:c r="E289" s="6" t="str">
        <x:v>news-medical.net</x:v>
      </x:c>
      <x:c r="F289" s="6" t="str">
        <x:v>Research news</x:v>
      </x:c>
      <x:c r="G289" s="6" t="str">
        <x:v>Industrial biomanufacturing and synthetic-biology research; often institution-supplied research news.</x:v>
      </x:c>
      <x:c r="H289" s="6" t="str">
        <x:v>https://www.news-medical.net/</x:v>
      </x:c>
      <x:c r="I289" s="16" t="d">
        <x:v>2026-07-13T12:00:00.000Z</x:v>
      </x:c>
      <x:c r="J289" s="6" t="str">
        <x:v>https://www.news-medical.net/news/20260713/AI-could-accelerate-commercialization-of-bio-based-chemical-manufacturing.aspx</x:v>
      </x:c>
      <x:c r="K289" s="6" t="str">
        <x:v>Publication date and topic coverage observed in the live page or search index; subscription access may be required for the full article.</x:v>
      </x:c>
    </x:row>
    <x:row r="290" ht="15" hidden="0" customHeight="1">
      <x:c r="A290" s="12" t="n">
        <x:v>27</x:v>
      </x:c>
      <x:c r="B290" s="6" t="str">
        <x:v>Synthetic biology and biomanufacturing</x:v>
      </x:c>
      <x:c r="C290" s="6" t="str">
        <x:v>Bio &amp; production</x:v>
      </x:c>
      <x:c r="D290" s="6" t="str">
        <x:v>Drug Target Review</x:v>
      </x:c>
      <x:c r="E290" s="6" t="str">
        <x:v>drugtargetreview.com</x:v>
      </x:c>
      <x:c r="F290" s="6" t="str">
        <x:v>Specialist news</x:v>
      </x:c>
      <x:c r="G290" s="6" t="str">
        <x:v>Biotechnology, synthetic biology, engineered cell systems and organoid research.</x:v>
      </x:c>
      <x:c r="H290" s="6" t="str">
        <x:v>https://www.drugtargetreview.com/biotechnology-and-bioengineering/256514.subject</x:v>
      </x:c>
      <x:c r="I290" s="16" t="d">
        <x:v>2026-09-09T12:00:00.000Z</x:v>
      </x:c>
      <x:c r="J290" s="6" t="str">
        <x:v>https://www.drugtargetreview.com/biotechnology-and-bioengineering/256514.subject</x:v>
      </x:c>
      <x:c r="K290" s="6" t="str">
        <x:v>Publication date and topic coverage observed in the live page or search index; subscription access may be required for the full article.</x:v>
      </x:c>
    </x:row>
    <x:row r="291" ht="15" hidden="0" customHeight="1">
      <x:c r="A291" s="12" t="n">
        <x:v>27</x:v>
      </x:c>
      <x:c r="B291" s="6" t="str">
        <x:v>Synthetic biology and biomanufacturing</x:v>
      </x:c>
      <x:c r="C291" s="6" t="str">
        <x:v>Bio &amp; production</x:v>
      </x:c>
      <x:c r="D291" s="6" t="str">
        <x:v>AgFunderNews</x:v>
      </x:c>
      <x:c r="E291" s="6" t="str">
        <x:v>agfundernews.com</x:v>
      </x:c>
      <x:c r="F291" s="6" t="str">
        <x:v>Specialist news</x:v>
      </x:c>
      <x:c r="G291" s="6" t="str">
        <x:v>Precision fermentation companies, unit economics, scale-up and customer adoption.</x:v>
      </x:c>
      <x:c r="H291" s="6" t="str">
        <x:v>https://agfundernews.com/</x:v>
      </x:c>
      <x:c r="I291" s="16" t="d">
        <x:v>2026-09-16T12:00:00.000Z</x:v>
      </x:c>
      <x:c r="J291" s="6" t="str">
        <x:v>https://agfundernews.com/formo-scales-precision-fermented-casein-ahead-of-us-debut-as-narrative-shifts-from-sustainability-and-ethics-to-performance</x:v>
      </x:c>
      <x:c r="K291" s="6" t="str">
        <x:v>Publication date and topic coverage observed in the live page or search index; subscription access may be required for the full article.</x:v>
      </x:c>
    </x:row>
    <x:row r="292" ht="15" hidden="0" customHeight="1">
      <x:c r="A292" s="12" t="n">
        <x:v>27</x:v>
      </x:c>
      <x:c r="B292" s="6" t="str">
        <x:v>Synthetic biology and biomanufacturing</x:v>
      </x:c>
      <x:c r="C292" s="6" t="str">
        <x:v>Bio &amp; production</x:v>
      </x:c>
      <x:c r="D292" s="6" t="str">
        <x:v>FoodNavigator</x:v>
      </x:c>
      <x:c r="E292" s="6" t="str">
        <x:v>foodnavigator.com</x:v>
      </x:c>
      <x:c r="F292" s="6" t="str">
        <x:v>Specialist news</x:v>
      </x:c>
      <x:c r="G292" s="6" t="str">
        <x:v>Fermentation-derived ingredients, formulation, manufacturing and regulation.</x:v>
      </x:c>
      <x:c r="H292" s="6" t="str">
        <x:v>https://www.foodnavigator.com/</x:v>
      </x:c>
      <x:c r="I292" s="16" t="d">
        <x:v>2026-06-23T12:00:00.000Z</x:v>
      </x:c>
      <x:c r="J292" s="6" t="str">
        <x:v>https://www.foodnavigator.com/Article/2026/06/23/fermentation-and-cultivated-ingredients-trends-challenges-and-growth/</x:v>
      </x:c>
      <x:c r="K292" s="6" t="str">
        <x:v>Publication date and topic coverage observed in the live page or search index; subscription access may be required for the full article.</x:v>
      </x:c>
    </x:row>
    <x:row r="293" ht="15" hidden="0" customHeight="1">
      <x:c r="A293" s="12" t="n">
        <x:v>27</x:v>
      </x:c>
      <x:c r="B293" s="6" t="str">
        <x:v>Synthetic biology and biomanufacturing</x:v>
      </x:c>
      <x:c r="C293" s="6" t="str">
        <x:v>Bio &amp; production</x:v>
      </x:c>
      <x:c r="D293" s="6" t="str">
        <x:v>Food Ingredients First</x:v>
      </x:c>
      <x:c r="E293" s="6" t="str">
        <x:v>foodingredientsfirst.com</x:v>
      </x:c>
      <x:c r="F293" s="6" t="str">
        <x:v>Specialist news</x:v>
      </x:c>
      <x:c r="G293" s="6" t="str">
        <x:v>Ingredient manufacturing, microbial cultures and fermentation supply chains; broader ingredient beat.</x:v>
      </x:c>
      <x:c r="H293" s="6" t="str">
        <x:v>https://www.foodingredientsfirst.com/</x:v>
      </x:c>
      <x:c r="I293" s="16" t="d">
        <x:v>2026-09-29T12:00:00.000Z</x:v>
      </x:c>
      <x:c r="J293" s="6" t="str">
        <x:v>https://www.foodingredientsfirst.com/news/novonesis-fermentation-capacity-growth.html</x:v>
      </x:c>
      <x:c r="K293" s="6" t="str">
        <x:v>Publication date and topic coverage observed in the live page or search index; subscription access may be required for the full article.</x:v>
      </x:c>
    </x:row>
    <x:row r="294" ht="15" hidden="0" customHeight="1">
      <x:c r="A294" s="12" t="n">
        <x:v>27</x:v>
      </x:c>
      <x:c r="B294" s="6" t="str">
        <x:v>Synthetic biology and biomanufacturing</x:v>
      </x:c>
      <x:c r="C294" s="6" t="str">
        <x:v>Bio &amp; production</x:v>
      </x:c>
      <x:c r="D294" s="6" t="str">
        <x:v>Protein Production Technology International</x:v>
      </x:c>
      <x:c r="E294" s="6" t="str">
        <x:v>proteinproductiontechnology.com</x:v>
      </x:c>
      <x:c r="F294" s="6" t="str">
        <x:v>Specialist news</x:v>
      </x:c>
      <x:c r="G294" s="6" t="str">
        <x:v>Precision and biomass fermentation, manufacturing equipment and ingredient producers.</x:v>
      </x:c>
      <x:c r="H294" s="6" t="str">
        <x:v>https://www.proteinproductiontechnology.com/</x:v>
      </x:c>
      <x:c r="I294" s="16" t="d">
        <x:v>2026-07-08T12:00:00.000Z</x:v>
      </x:c>
      <x:c r="J294" s="6" t="str">
        <x:v>https://www.proteinproductiontechnology.com/post/new-culture-strengthens-animal-free-casein-ip-with-new-mozzarella-patent</x:v>
      </x:c>
      <x:c r="K294" s="6" t="str">
        <x:v>Publication date and topic coverage observed in the live page or search index; subscription access may be required for the full article.</x:v>
      </x:c>
    </x:row>
    <x:row r="295" ht="15" hidden="0" customHeight="1">
      <x:c r="A295" s="12" t="n">
        <x:v>28</x:v>
      </x:c>
      <x:c r="B295" s="6" t="str">
        <x:v>Precision fermentation for food</x:v>
      </x:c>
      <x:c r="C295" s="6" t="str">
        <x:v>Bio &amp; production</x:v>
      </x:c>
      <x:c r="D295" s="6" t="str">
        <x:v>AgFunderNews</x:v>
      </x:c>
      <x:c r="E295" s="6" t="str">
        <x:v>agfundernews.com</x:v>
      </x:c>
      <x:c r="F295" s="6" t="str">
        <x:v>Specialist news</x:v>
      </x:c>
      <x:c r="G295" s="6" t="str">
        <x:v>Precision fermentation companies, unit economics, scale-up and customer adoption.</x:v>
      </x:c>
      <x:c r="H295" s="6" t="str">
        <x:v>https://agfundernews.com/</x:v>
      </x:c>
      <x:c r="I295" s="16" t="d">
        <x:v>2026-09-16T12:00:00.000Z</x:v>
      </x:c>
      <x:c r="J295" s="6" t="str">
        <x:v>https://agfundernews.com/formo-scales-precision-fermented-casein-ahead-of-us-debut-as-narrative-shifts-from-sustainability-and-ethics-to-performance</x:v>
      </x:c>
      <x:c r="K295" s="6" t="str">
        <x:v>Publication date and topic coverage observed in the live page or search index; subscription access may be required for the full article.</x:v>
      </x:c>
    </x:row>
    <x:row r="296" ht="15" hidden="0" customHeight="1">
      <x:c r="A296" s="12" t="n">
        <x:v>28</x:v>
      </x:c>
      <x:c r="B296" s="6" t="str">
        <x:v>Precision fermentation for food</x:v>
      </x:c>
      <x:c r="C296" s="6" t="str">
        <x:v>Bio &amp; production</x:v>
      </x:c>
      <x:c r="D296" s="6" t="str">
        <x:v>FoodNavigator</x:v>
      </x:c>
      <x:c r="E296" s="6" t="str">
        <x:v>foodnavigator.com</x:v>
      </x:c>
      <x:c r="F296" s="6" t="str">
        <x:v>Specialist news</x:v>
      </x:c>
      <x:c r="G296" s="6" t="str">
        <x:v>Fermentation-derived ingredients, formulation, manufacturing and regulation.</x:v>
      </x:c>
      <x:c r="H296" s="6" t="str">
        <x:v>https://www.foodnavigator.com/</x:v>
      </x:c>
      <x:c r="I296" s="16" t="d">
        <x:v>2026-06-23T12:00:00.000Z</x:v>
      </x:c>
      <x:c r="J296" s="6" t="str">
        <x:v>https://www.foodnavigator.com/Article/2026/06/23/fermentation-and-cultivated-ingredients-trends-challenges-and-growth/</x:v>
      </x:c>
      <x:c r="K296" s="6" t="str">
        <x:v>Publication date and topic coverage observed in the live page or search index; subscription access may be required for the full article.</x:v>
      </x:c>
    </x:row>
    <x:row r="297" ht="15" hidden="0" customHeight="1">
      <x:c r="A297" s="12" t="n">
        <x:v>28</x:v>
      </x:c>
      <x:c r="B297" s="6" t="str">
        <x:v>Precision fermentation for food</x:v>
      </x:c>
      <x:c r="C297" s="6" t="str">
        <x:v>Bio &amp; production</x:v>
      </x:c>
      <x:c r="D297" s="6" t="str">
        <x:v>Green Queen</x:v>
      </x:c>
      <x:c r="E297" s="6" t="str">
        <x:v>greenqueen.com.hk</x:v>
      </x:c>
      <x:c r="F297" s="6" t="str">
        <x:v>Specialist news</x:v>
      </x:c>
      <x:c r="G297" s="6" t="str">
        <x:v>Alternative protein companies, fermentation launches, approvals and investment.</x:v>
      </x:c>
      <x:c r="H297" s="6" t="str">
        <x:v>https://www.greenqueen.com.hk/</x:v>
      </x:c>
      <x:c r="I297" s="16" t="d">
        <x:v>2026-07-08T12:00:00.000Z</x:v>
      </x:c>
      <x:c r="J297" s="6" t="str">
        <x:v>https://www.greenqueen.com.hk/new-culture-casein-mozzarella-cheese-precision-fermentation-patent-approval/</x:v>
      </x:c>
      <x:c r="K297" s="6" t="str">
        <x:v>Publication date and topic coverage observed in the live page or search index; subscription access may be required for the full article.</x:v>
      </x:c>
    </x:row>
    <x:row r="298" ht="15" hidden="0" customHeight="1">
      <x:c r="A298" s="12" t="n">
        <x:v>28</x:v>
      </x:c>
      <x:c r="B298" s="6" t="str">
        <x:v>Precision fermentation for food</x:v>
      </x:c>
      <x:c r="C298" s="6" t="str">
        <x:v>Bio &amp; production</x:v>
      </x:c>
      <x:c r="D298" s="6" t="str">
        <x:v>vegconomist</x:v>
      </x:c>
      <x:c r="E298" s="6" t="str">
        <x:v>vegconomist.com</x:v>
      </x:c>
      <x:c r="F298" s="6" t="str">
        <x:v>Specialist news</x:v>
      </x:c>
      <x:c r="G298" s="6" t="str">
        <x:v>Fermentation facilities, protein ingredients and commercialization.</x:v>
      </x:c>
      <x:c r="H298" s="6" t="str">
        <x:v>https://vegconomist.com/category/food-beverage/fermentation/</x:v>
      </x:c>
      <x:c r="I298" s="16" t="d">
        <x:v>2026-07-24T12:00:00.000Z</x:v>
      </x:c>
      <x:c r="J298" s="6" t="str">
        <x:v>https://vegconomist.com/manufacturing-technology/metrosert-opens-estonias-fermentation-bottleneck-2m-pilot-plant/</x:v>
      </x:c>
      <x:c r="K298" s="6" t="str">
        <x:v>Page displays July 24 and July 23, 2026; latest displayed date retained.</x:v>
      </x:c>
    </x:row>
    <x:row r="299" ht="15" hidden="0" customHeight="1">
      <x:c r="A299" s="12" t="n">
        <x:v>28</x:v>
      </x:c>
      <x:c r="B299" s="6" t="str">
        <x:v>Precision fermentation for food</x:v>
      </x:c>
      <x:c r="C299" s="6" t="str">
        <x:v>Bio &amp; production</x:v>
      </x:c>
      <x:c r="D299" s="6" t="str">
        <x:v>Food Dive</x:v>
      </x:c>
      <x:c r="E299" s="6" t="str">
        <x:v>fooddive.com</x:v>
      </x:c>
      <x:c r="F299" s="6" t="str">
        <x:v>Specialist news</x:v>
      </x:c>
      <x:c r="G299" s="6" t="str">
        <x:v>Food-company strategy, fermentation ingredients and commercial demand.</x:v>
      </x:c>
      <x:c r="H299" s="6" t="str">
        <x:v>https://www.fooddive.com/</x:v>
      </x:c>
      <x:c r="I299" s="16" t="d">
        <x:v>2026-03-05T12:00:00.000Z</x:v>
      </x:c>
      <x:c r="J299" s="6" t="str">
        <x:v>https://www.fooddive.com/news/precision-fermentation-food-innovation-protein-cargill/813950/</x:v>
      </x:c>
      <x:c r="K299" s="6" t="str">
        <x:v>Publication date and topic coverage observed in the live page or search index; subscription access may be required for the full article.</x:v>
      </x:c>
    </x:row>
    <x:row r="300" ht="15" hidden="0" customHeight="1">
      <x:c r="A300" s="12" t="n">
        <x:v>28</x:v>
      </x:c>
      <x:c r="B300" s="6" t="str">
        <x:v>Precision fermentation for food</x:v>
      </x:c>
      <x:c r="C300" s="6" t="str">
        <x:v>Bio &amp; production</x:v>
      </x:c>
      <x:c r="D300" s="6" t="str">
        <x:v>Protein Production Technology International</x:v>
      </x:c>
      <x:c r="E300" s="6" t="str">
        <x:v>proteinproductiontechnology.com</x:v>
      </x:c>
      <x:c r="F300" s="6" t="str">
        <x:v>Specialist news</x:v>
      </x:c>
      <x:c r="G300" s="6" t="str">
        <x:v>Precision and biomass fermentation, manufacturing equipment and ingredient producers.</x:v>
      </x:c>
      <x:c r="H300" s="6" t="str">
        <x:v>https://www.proteinproductiontechnology.com/</x:v>
      </x:c>
      <x:c r="I300" s="16" t="d">
        <x:v>2026-07-08T12:00:00.000Z</x:v>
      </x:c>
      <x:c r="J300" s="6" t="str">
        <x:v>https://www.proteinproductiontechnology.com/post/new-culture-strengthens-animal-free-casein-ip-with-new-mozzarella-patent</x:v>
      </x:c>
      <x:c r="K300" s="6" t="str">
        <x:v>Publication date and topic coverage observed in the live page or search index; subscription access may be required for the full article.</x:v>
      </x:c>
    </x:row>
    <x:row r="301" ht="15" hidden="0" customHeight="1">
      <x:c r="A301" s="12" t="n">
        <x:v>28</x:v>
      </x:c>
      <x:c r="B301" s="6" t="str">
        <x:v>Precision fermentation for food</x:v>
      </x:c>
      <x:c r="C301" s="6" t="str">
        <x:v>Bio &amp; production</x:v>
      </x:c>
      <x:c r="D301" s="6" t="str">
        <x:v>Food Ingredients First</x:v>
      </x:c>
      <x:c r="E301" s="6" t="str">
        <x:v>foodingredientsfirst.com</x:v>
      </x:c>
      <x:c r="F301" s="6" t="str">
        <x:v>Specialist news</x:v>
      </x:c>
      <x:c r="G301" s="6" t="str">
        <x:v>Ingredient manufacturing, microbial cultures and fermentation supply chains; broader ingredient beat.</x:v>
      </x:c>
      <x:c r="H301" s="6" t="str">
        <x:v>https://www.foodingredientsfirst.com/</x:v>
      </x:c>
      <x:c r="I301" s="16" t="d">
        <x:v>2026-09-29T12:00:00.000Z</x:v>
      </x:c>
      <x:c r="J301" s="6" t="str">
        <x:v>https://www.foodingredientsfirst.com/news/novonesis-fermentation-capacity-growth.html</x:v>
      </x:c>
      <x:c r="K301" s="6" t="str">
        <x:v>Publication date and topic coverage observed in the live page or search index; subscription access may be required for the full article.</x:v>
      </x:c>
    </x:row>
    <x:row r="302" ht="15" hidden="0" customHeight="1">
      <x:c r="A302" s="12" t="n">
        <x:v>28</x:v>
      </x:c>
      <x:c r="B302" s="6" t="str">
        <x:v>Precision fermentation for food</x:v>
      </x:c>
      <x:c r="C302" s="6" t="str">
        <x:v>Bio &amp; production</x:v>
      </x:c>
      <x:c r="D302" s="6" t="str">
        <x:v>Nutrition Insight</x:v>
      </x:c>
      <x:c r="E302" s="6" t="str">
        <x:v>nutritioninsight.com</x:v>
      </x:c>
      <x:c r="F302" s="6" t="str">
        <x:v>Specialist news</x:v>
      </x:c>
      <x:c r="G302" s="6" t="str">
        <x:v>Fermentation-produced nutritional ingredients and applications; broader nutrition-ingredient coverage.</x:v>
      </x:c>
      <x:c r="H302" s="6" t="str">
        <x:v>https://www.nutritioninsight.com/</x:v>
      </x:c>
      <x:c r="I302" s="16" t="d">
        <x:v>2026-03-26T12:00:00.000Z</x:v>
      </x:c>
      <x:c r="J302" s="6" t="str">
        <x:v>https://www.nutritioninsight.com/special-reports/omega-3-innovation-sustainability-trends.html</x:v>
      </x:c>
      <x:c r="K302" s="6" t="str">
        <x:v>Publication date and topic coverage observed in the live page or search index; subscription access may be required for the full article.</x:v>
      </x:c>
    </x:row>
    <x:row r="303" ht="15" hidden="0" customHeight="1">
      <x:c r="A303" s="12" t="n">
        <x:v>28</x:v>
      </x:c>
      <x:c r="B303" s="6" t="str">
        <x:v>Precision fermentation for food</x:v>
      </x:c>
      <x:c r="C303" s="6" t="str">
        <x:v>Bio &amp; production</x:v>
      </x:c>
      <x:c r="D303" s="6" t="str">
        <x:v>FoodBev Media</x:v>
      </x:c>
      <x:c r="E303" s="6" t="str">
        <x:v>foodbev.com</x:v>
      </x:c>
      <x:c r="F303" s="6" t="str">
        <x:v>Specialist news</x:v>
      </x:c>
      <x:c r="G303" s="6" t="str">
        <x:v>Food-industry ingredient launches, intellectual property and fermentation companies.</x:v>
      </x:c>
      <x:c r="H303" s="6" t="str">
        <x:v>https://www.foodbev.com/</x:v>
      </x:c>
      <x:c r="I303" s="16" t="d">
        <x:v>2026-07-08T12:00:00.000Z</x:v>
      </x:c>
      <x:c r="J303" s="6" t="str">
        <x:v>https://www.foodbev.com/news/new-culture-secures-second-patent-for-animal-free-casein-cheese-technology</x:v>
      </x:c>
      <x:c r="K303" s="6" t="str">
        <x:v>Publication date and topic coverage observed in the live page or search index; subscription access may be required for the full article.</x:v>
      </x:c>
    </x:row>
    <x:row r="304" ht="15" hidden="0" customHeight="1">
      <x:c r="A304" s="12" t="n">
        <x:v>28</x:v>
      </x:c>
      <x:c r="B304" s="6" t="str">
        <x:v>Precision fermentation for food</x:v>
      </x:c>
      <x:c r="C304" s="6" t="str">
        <x:v>Bio &amp; production</x:v>
      </x:c>
      <x:c r="D304" s="6" t="str">
        <x:v>DairyReporter</x:v>
      </x:c>
      <x:c r="E304" s="6" t="str">
        <x:v>dairyreporter.com</x:v>
      </x:c>
      <x:c r="F304" s="6" t="str">
        <x:v>Specialist news</x:v>
      </x:c>
      <x:c r="G304" s="6" t="str">
        <x:v>Animal-free dairy commercialization, retail uptake and ingredient economics.</x:v>
      </x:c>
      <x:c r="H304" s="6" t="str">
        <x:v>https://www.dairyreporter.com/</x:v>
      </x:c>
      <x:c r="I304" s="16" t="d">
        <x:v>2026-02-06T12:00:00.000Z</x:v>
      </x:c>
      <x:c r="J304" s="6" t="str">
        <x:v>https://www.dairyreporter.com/Article/2026/02/06/cow-free-dairy-steps-in-amid-israels-milk-shortage/</x:v>
      </x:c>
      <x:c r="K304" s="6" t="str">
        <x:v>Publication date and topic coverage observed in the live page or search index; subscription access may be required for the full article.</x:v>
      </x:c>
    </x:row>
    <x:row r="305" ht="24" hidden="0" customHeight="1">
      <x:c r="A305" s="12" t="n">
        <x:v>28</x:v>
      </x:c>
      <x:c r="B305" s="6" t="str">
        <x:v>Precision fermentation for food</x:v>
      </x:c>
      <x:c r="C305" s="6" t="str">
        <x:v>Bio &amp; production</x:v>
      </x:c>
      <x:c r="D305" s="6" t="str">
        <x:v>SynBioBeta</x:v>
      </x:c>
      <x:c r="E305" s="6" t="str">
        <x:v>synbiobeta.com</x:v>
      </x:c>
      <x:c r="F305" s="6" t="str">
        <x:v>Specialist news and releases</x:v>
      </x:c>
      <x:c r="G305" s="6" t="str">
        <x:v>Synthetic biology companies, fermentation scale-up and bioeconomy financing.</x:v>
      </x:c>
      <x:c r="H305" s="6" t="str">
        <x:v>https://www.synbiobeta.com/</x:v>
      </x:c>
      <x:c r="I305" s="16" t="d">
        <x:v>2026-05-25T12:00:00.000Z</x:v>
      </x:c>
      <x:c r="J305" s="6" t="str">
        <x:v>https://www.synbiobeta.com/read/strainx-has-raised-13m-from-the-vc-firm-behind-impossible-foods-in-one-of-the-largest-food-tech-private-funding-rounds-in-india%E2%80%99s-history</x:v>
      </x:c>
      <x:c r="K305" s="6" t="str">
        <x:v>Publication date and topic coverage observed in the live page or search index; subscription access may be required for the full article.</x:v>
      </x:c>
    </x:row>
    <x:row r="306" ht="15" hidden="0" customHeight="1">
      <x:c r="A306" s="12" t="n">
        <x:v>28</x:v>
      </x:c>
      <x:c r="B306" s="6" t="str">
        <x:v>Precision fermentation for food</x:v>
      </x:c>
      <x:c r="C306" s="6" t="str">
        <x:v>Bio &amp; production</x:v>
      </x:c>
      <x:c r="D306" s="6" t="str">
        <x:v>Good Food Institute</x:v>
      </x:c>
      <x:c r="E306" s="6" t="str">
        <x:v>gfi.org</x:v>
      </x:c>
      <x:c r="F306" s="6" t="str">
        <x:v>Industry research and news</x:v>
      </x:c>
      <x:c r="G306" s="6" t="str">
        <x:v>Fermentation industry datasets, company developments, research and policy.</x:v>
      </x:c>
      <x:c r="H306" s="6" t="str">
        <x:v>https://gfi.org/fermentation/</x:v>
      </x:c>
      <x:c r="I306" s="16" t="d">
        <x:v>2026-08-11T12:00:00.000Z</x:v>
      </x:c>
      <x:c r="J306" s="6" t="str">
        <x:v>https://gfi.org/fermentation/</x:v>
      </x:c>
      <x:c r="K306" s="6" t="str">
        <x:v>Publication date and topic coverage observed in the live page or search index; subscription access may be required for the full article.</x:v>
      </x:c>
    </x:row>
    <x:row r="307" ht="15" hidden="0" customHeight="1">
      <x:c r="A307" s="12" t="n">
        <x:v>29</x:v>
      </x:c>
      <x:c r="B307" s="6" t="str">
        <x:v>Organoids and organ-on-chip testing</x:v>
      </x:c>
      <x:c r="C307" s="6" t="str">
        <x:v>Bio &amp; production</x:v>
      </x:c>
      <x:c r="D307" s="6" t="str">
        <x:v>GEN</x:v>
      </x:c>
      <x:c r="E307" s="6" t="str">
        <x:v>genengnews.com</x:v>
      </x:c>
      <x:c r="F307" s="6" t="str">
        <x:v>Specialist news</x:v>
      </x:c>
      <x:c r="G307" s="6" t="str">
        <x:v>Organoid models, laboratory platforms and translational applications.</x:v>
      </x:c>
      <x:c r="H307" s="6" t="str">
        <x:v>https://www.genengnews.com/subject/organoids/</x:v>
      </x:c>
      <x:c r="I307" s="16" t="d">
        <x:v>2026-08-21T12:00:00.000Z</x:v>
      </x:c>
      <x:c r="J307" s="6" t="str">
        <x:v>https://www.genengnews.com/topics/translational-medicine/five-year-brain-organoids-reveal-new-insights-into-human-development/</x:v>
      </x:c>
      <x:c r="K307" s="6" t="str">
        <x:v>Publication date and topic coverage observed in the live page or search index; subscription access may be required for the full article.</x:v>
      </x:c>
    </x:row>
    <x:row r="308" ht="15" hidden="0" customHeight="1">
      <x:c r="A308" s="12" t="n">
        <x:v>29</x:v>
      </x:c>
      <x:c r="B308" s="6" t="str">
        <x:v>Organoids and organ-on-chip testing</x:v>
      </x:c>
      <x:c r="C308" s="6" t="str">
        <x:v>Bio &amp; production</x:v>
      </x:c>
      <x:c r="D308" s="6" t="str">
        <x:v>Nature</x:v>
      </x:c>
      <x:c r="E308" s="6" t="str">
        <x:v>nature.com</x:v>
      </x:c>
      <x:c r="F308" s="6" t="str">
        <x:v>Research news</x:v>
      </x:c>
      <x:c r="G308" s="6" t="str">
        <x:v>Organoid science, validation, ethics and translational development.</x:v>
      </x:c>
      <x:c r="H308" s="6" t="str">
        <x:v>https://www.nature.com/</x:v>
      </x:c>
      <x:c r="I308" s="16" t="d">
        <x:v>2026-04-08T12:00:00.000Z</x:v>
      </x:c>
      <x:c r="J308" s="6" t="str">
        <x:v>https://www.nature.com/articles/d41586-026-01021-w</x:v>
      </x:c>
      <x:c r="K308" s="6" t="str">
        <x:v>Publication date and topic coverage observed in the live page or search index; subscription access may be required for the full article.</x:v>
      </x:c>
    </x:row>
    <x:row r="309" ht="15" hidden="0" customHeight="1">
      <x:c r="A309" s="12" t="n">
        <x:v>29</x:v>
      </x:c>
      <x:c r="B309" s="6" t="str">
        <x:v>Organoids and organ-on-chip testing</x:v>
      </x:c>
      <x:c r="C309" s="6" t="str">
        <x:v>Bio &amp; production</x:v>
      </x:c>
      <x:c r="D309" s="6" t="str">
        <x:v>Technology Networks</x:v>
      </x:c>
      <x:c r="E309" s="6" t="str">
        <x:v>technologynetworks.com</x:v>
      </x:c>
      <x:c r="F309" s="6" t="str">
        <x:v>Research news</x:v>
      </x:c>
      <x:c r="G309" s="6" t="str">
        <x:v>Organoid research, methods and experimental applications.</x:v>
      </x:c>
      <x:c r="H309" s="6" t="str">
        <x:v>https://www.technologynetworks.com/</x:v>
      </x:c>
      <x:c r="I309" s="16" t="d">
        <x:v>2026-07-17T12:00:00.000Z</x:v>
      </x:c>
      <x:c r="J309" s="6" t="str">
        <x:v>https://www.technologynetworks.com/tn/articles/space-grown-organoids-and-proteomics-advance-human-disease-research-414696</x:v>
      </x:c>
      <x:c r="K309" s="6" t="str">
        <x:v>Publication date and topic coverage observed in the live page or search index; subscription access may be required for the full article.</x:v>
      </x:c>
    </x:row>
    <x:row r="310" ht="15" hidden="0" customHeight="1">
      <x:c r="A310" s="12" t="n">
        <x:v>29</x:v>
      </x:c>
      <x:c r="B310" s="6" t="str">
        <x:v>Organoids and organ-on-chip testing</x:v>
      </x:c>
      <x:c r="C310" s="6" t="str">
        <x:v>Bio &amp; production</x:v>
      </x:c>
      <x:c r="D310" s="6" t="str">
        <x:v>ScienceDaily</x:v>
      </x:c>
      <x:c r="E310" s="6" t="str">
        <x:v>sciencedaily.com</x:v>
      </x:c>
      <x:c r="F310" s="6" t="str">
        <x:v>Research news</x:v>
      </x:c>
      <x:c r="G310" s="6" t="str">
        <x:v>New organoid and human-tissue-model studies; often adapted institution research releases.</x:v>
      </x:c>
      <x:c r="H310" s="6" t="str">
        <x:v>https://www.sciencedaily.com/</x:v>
      </x:c>
      <x:c r="I310" s="16" t="d">
        <x:v>2026-05-28T12:00:00.000Z</x:v>
      </x:c>
      <x:c r="J310" s="6" t="str">
        <x:v>https://sciencedaily.com/releases/2026/05/260528082459.htm</x:v>
      </x:c>
      <x:c r="K310" s="6" t="str">
        <x:v>Publication date and topic coverage observed in the live page or search index; subscription access may be required for the full article.</x:v>
      </x:c>
    </x:row>
    <x:row r="311" ht="15" hidden="0" customHeight="1">
      <x:c r="A311" s="12" t="n">
        <x:v>29</x:v>
      </x:c>
      <x:c r="B311" s="6" t="str">
        <x:v>Organoids and organ-on-chip testing</x:v>
      </x:c>
      <x:c r="C311" s="6" t="str">
        <x:v>Bio &amp; production</x:v>
      </x:c>
      <x:c r="D311" s="6" t="str">
        <x:v>SelectScience</x:v>
      </x:c>
      <x:c r="E311" s="6" t="str">
        <x:v>selectscience.net</x:v>
      </x:c>
      <x:c r="F311" s="6" t="str">
        <x:v>Laboratory news and products</x:v>
      </x:c>
      <x:c r="G311" s="6" t="str">
        <x:v>Organoid products, laboratory methods, automation and research applications.</x:v>
      </x:c>
      <x:c r="H311" s="6" t="str">
        <x:v>https://www.selectscience.net/tag/organoids-3898</x:v>
      </x:c>
      <x:c r="I311" s="16" t="d">
        <x:v>2026-08-07T12:00:00.000Z</x:v>
      </x:c>
      <x:c r="J311" s="6" t="str">
        <x:v>https://www.selectscience.net/tag/organoids-3898</x:v>
      </x:c>
      <x:c r="K311" s="6" t="str">
        <x:v>Publication date and topic coverage observed in the live page or search index; subscription access may be required for the full article.</x:v>
      </x:c>
    </x:row>
    <x:row r="312" ht="15" hidden="0" customHeight="1">
      <x:c r="A312" s="12" t="n">
        <x:v>29</x:v>
      </x:c>
      <x:c r="B312" s="6" t="str">
        <x:v>Organoids and organ-on-chip testing</x:v>
      </x:c>
      <x:c r="C312" s="6" t="str">
        <x:v>Bio &amp; production</x:v>
      </x:c>
      <x:c r="D312" s="6" t="str">
        <x:v>The Scientist</x:v>
      </x:c>
      <x:c r="E312" s="6" t="str">
        <x:v>the-scientist.com</x:v>
      </x:c>
      <x:c r="F312" s="6" t="str">
        <x:v>Research news</x:v>
      </x:c>
      <x:c r="G312" s="6" t="str">
        <x:v>Organoid workflows, disease models and drug-screening methods.</x:v>
      </x:c>
      <x:c r="H312" s="6" t="str">
        <x:v>https://www.the-scientist.com/</x:v>
      </x:c>
      <x:c r="I312" s="16" t="d">
        <x:v>2026-09-30T12:00:00.000Z</x:v>
      </x:c>
      <x:c r="J312" s="6" t="str">
        <x:v>https://www.the-scientist.com/beating-cardiac-organoids-offer-a-platform-for-drug-screening-75073</x:v>
      </x:c>
      <x:c r="K312" s="6" t="str">
        <x:v>Publication date and topic coverage observed in the live page or search index; subscription access may be required for the full article.</x:v>
      </x:c>
    </x:row>
    <x:row r="313" ht="15" hidden="0" customHeight="1">
      <x:c r="A313" s="12" t="n">
        <x:v>29</x:v>
      </x:c>
      <x:c r="B313" s="6" t="str">
        <x:v>Organoids and organ-on-chip testing</x:v>
      </x:c>
      <x:c r="C313" s="6" t="str">
        <x:v>Bio &amp; production</x:v>
      </x:c>
      <x:c r="D313" s="6" t="str">
        <x:v>News Medical</x:v>
      </x:c>
      <x:c r="E313" s="6" t="str">
        <x:v>news-medical.net</x:v>
      </x:c>
      <x:c r="F313" s="6" t="str">
        <x:v>Research news</x:v>
      </x:c>
      <x:c r="G313" s="6" t="str">
        <x:v>Organoid platforms, reproducibility and biomedical research developments.</x:v>
      </x:c>
      <x:c r="H313" s="6" t="str">
        <x:v>https://www.news-medical.net/</x:v>
      </x:c>
      <x:c r="I313" s="16" t="d">
        <x:v>2026-03-27T12:00:00.000Z</x:v>
      </x:c>
      <x:c r="J313" s="6" t="str">
        <x:v>https://www.news-medical.net/news/20260327/New-neural-organoid-system-improves-scalability-and-reproducibility-for-research.aspx</x:v>
      </x:c>
      <x:c r="K313" s="6" t="str">
        <x:v>Publication date and topic coverage observed in the live page or search index; subscription access may be required for the full article.</x:v>
      </x:c>
    </x:row>
    <x:row r="314" ht="15" hidden="0" customHeight="1">
      <x:c r="A314" s="12" t="n">
        <x:v>29</x:v>
      </x:c>
      <x:c r="B314" s="6" t="str">
        <x:v>Organoids and organ-on-chip testing</x:v>
      </x:c>
      <x:c r="C314" s="6" t="str">
        <x:v>Bio &amp; production</x:v>
      </x:c>
      <x:c r="D314" s="6" t="str">
        <x:v>Drug Target Review</x:v>
      </x:c>
      <x:c r="E314" s="6" t="str">
        <x:v>drugtargetreview.com</x:v>
      </x:c>
      <x:c r="F314" s="6" t="str">
        <x:v>Specialist news</x:v>
      </x:c>
      <x:c r="G314" s="6" t="str">
        <x:v>Biotechnology, synthetic biology, engineered cell systems and organoid research.</x:v>
      </x:c>
      <x:c r="H314" s="6" t="str">
        <x:v>https://www.drugtargetreview.com/biotechnology-and-bioengineering/256514.subject</x:v>
      </x:c>
      <x:c r="I314" s="16" t="d">
        <x:v>2026-09-09T12:00:00.000Z</x:v>
      </x:c>
      <x:c r="J314" s="6" t="str">
        <x:v>https://www.drugtargetreview.com/biotechnology-and-bioengineering/256514.subject</x:v>
      </x:c>
      <x:c r="K314" s="6" t="str">
        <x:v>Publication date and topic coverage observed in the live page or search index; subscription access may be required for the full article.</x:v>
      </x:c>
    </x:row>
    <x:row r="315" ht="15" hidden="0" customHeight="1">
      <x:c r="A315" s="12" t="n">
        <x:v>29</x:v>
      </x:c>
      <x:c r="B315" s="6" t="str">
        <x:v>Organoids and organ-on-chip testing</x:v>
      </x:c>
      <x:c r="C315" s="6" t="str">
        <x:v>Bio &amp; production</x:v>
      </x:c>
      <x:c r="D315" s="6" t="str">
        <x:v>Drug Discovery &amp; Development</x:v>
      </x:c>
      <x:c r="E315" s="6" t="str">
        <x:v>drugdiscoverytrends.com</x:v>
      </x:c>
      <x:c r="F315" s="6" t="str">
        <x:v>Specialist news</x:v>
      </x:c>
      <x:c r="G315" s="6" t="str">
        <x:v>Drug discovery, AI tools, translational models and pharmaceutical R&amp;D policy.</x:v>
      </x:c>
      <x:c r="H315" s="6" t="str">
        <x:v>https://www.drugdiscoverytrends.com/</x:v>
      </x:c>
      <x:c r="I315" s="16" t="d">
        <x:v>2026-10-16T12:00:00.000Z</x:v>
      </x:c>
      <x:c r="J315" s="6" t="str">
        <x:v>https://www.drugdiscoverytrends.com/</x:v>
      </x:c>
      <x:c r="K315" s="6" t="str">
        <x:v>Publication date and topic coverage observed in the live page or search index; subscription access may be required for the full article.</x:v>
      </x:c>
    </x:row>
    <x:row r="316" ht="15" hidden="0" customHeight="1">
      <x:c r="A316" s="12" t="n">
        <x:v>29</x:v>
      </x:c>
      <x:c r="B316" s="6" t="str">
        <x:v>Organoids and organ-on-chip testing</x:v>
      </x:c>
      <x:c r="C316" s="6" t="str">
        <x:v>Bio &amp; production</x:v>
      </x:c>
      <x:c r="D316" s="6" t="str">
        <x:v>FDA newsroom</x:v>
      </x:c>
      <x:c r="E316" s="6" t="str">
        <x:v>fda.gov</x:v>
      </x:c>
      <x:c r="F316" s="6" t="str">
        <x:v>Regulatory news</x:v>
      </x:c>
      <x:c r="G316" s="6" t="str">
        <x:v>Regulatory developments for organoids, organ-on-chip and other validated alternatives.</x:v>
      </x:c>
      <x:c r="H316" s="6" t="str">
        <x:v>https://www.fda.gov/news-events/press-announcements</x:v>
      </x:c>
      <x:c r="I316" s="16" t="d">
        <x:v>2026-03-18T12:00:00.000Z</x:v>
      </x:c>
      <x:c r="J316" s="6" t="str">
        <x:v>https://www.fda.gov/news-events/press-announcements/fda-releases-draft-guidance-alternatives-animal-testing-drug-development</x:v>
      </x:c>
      <x:c r="K316" s="6" t="str">
        <x:v>Publication date and topic coverage observed in the live page or search index; subscription access may be required for the full article.</x:v>
      </x:c>
    </x:row>
    <x:row r="317" ht="15" hidden="0" customHeight="1">
      <x:c r="A317" s="12" t="n">
        <x:v>30</x:v>
      </x:c>
      <x:c r="B317" s="6" t="str">
        <x:v>Autonomous agriculture and precision farming</x:v>
      </x:c>
      <x:c r="C317" s="6" t="str">
        <x:v>Bio &amp; production</x:v>
      </x:c>
      <x:c r="D317" s="6" t="str">
        <x:v>Precision Farming Dealer</x:v>
      </x:c>
      <x:c r="E317" s="6" t="str">
        <x:v>precisionfarmingdealer.com</x:v>
      </x:c>
      <x:c r="F317" s="6" t="str">
        <x:v>Specialist news</x:v>
      </x:c>
      <x:c r="G317" s="6" t="str">
        <x:v>Farm autonomy, precision equipment dealers and software adoption.</x:v>
      </x:c>
      <x:c r="H317" s="6" t="str">
        <x:v>https://www.precisionfarmingdealer.com/</x:v>
      </x:c>
      <x:c r="I317" s="16" t="d">
        <x:v>2026-07-17T12:00:00.000Z</x:v>
      </x:c>
      <x:c r="J317" s="6" t="str">
        <x:v>https://www.precisionfarmingdealer.com/articles/7203-podcast-talking-autonomy-with-sabantos-craig-rupp-and-bayers-pj-amini</x:v>
      </x:c>
      <x:c r="K317" s="6" t="str">
        <x:v>Publication date and topic coverage observed in the live page or search index; subscription access may be required for the full article.</x:v>
      </x:c>
    </x:row>
    <x:row r="318" ht="15" hidden="0" customHeight="1">
      <x:c r="A318" s="12" t="n">
        <x:v>30</x:v>
      </x:c>
      <x:c r="B318" s="6" t="str">
        <x:v>Autonomous agriculture and precision farming</x:v>
      </x:c>
      <x:c r="C318" s="6" t="str">
        <x:v>Bio &amp; production</x:v>
      </x:c>
      <x:c r="D318" s="6" t="str">
        <x:v>Future Farming</x:v>
      </x:c>
      <x:c r="E318" s="6" t="str">
        <x:v>futurefarming.com</x:v>
      </x:c>
      <x:c r="F318" s="6" t="str">
        <x:v>Specialist news</x:v>
      </x:c>
      <x:c r="G318" s="6" t="str">
        <x:v>Agricultural robots, automated machinery and field technology.</x:v>
      </x:c>
      <x:c r="H318" s="6" t="str">
        <x:v>https://www.futurefarming.com/</x:v>
      </x:c>
      <x:c r="I318" s="16" t="d">
        <x:v>2026-06-29T12:00:00.000Z</x:v>
      </x:c>
      <x:c r="J318" s="6" t="str">
        <x:v>https://www.futurefarming.com/tech-in-focus/autonomous-semi-autosteering-systems/agxeeds-vcu-brings-existing-tractors-into-the-autonomous-fold/</x:v>
      </x:c>
      <x:c r="K318" s="6" t="str">
        <x:v>Publication date and topic coverage observed in the live page or search index; subscription access may be required for the full article.</x:v>
      </x:c>
    </x:row>
    <x:row r="319" ht="15" hidden="0" customHeight="1">
      <x:c r="A319" s="12" t="n">
        <x:v>30</x:v>
      </x:c>
      <x:c r="B319" s="6" t="str">
        <x:v>Autonomous agriculture and precision farming</x:v>
      </x:c>
      <x:c r="C319" s="6" t="str">
        <x:v>Bio &amp; production</x:v>
      </x:c>
      <x:c r="D319" s="6" t="str">
        <x:v>Successful Farming</x:v>
      </x:c>
      <x:c r="E319" s="6" t="str">
        <x:v>agriculture.com</x:v>
      </x:c>
      <x:c r="F319" s="6" t="str">
        <x:v>Specialist news</x:v>
      </x:c>
      <x:c r="G319" s="6" t="str">
        <x:v>Practical farmer-facing machinery, autonomy and sensing news.</x:v>
      </x:c>
      <x:c r="H319" s="6" t="str">
        <x:v>https://www.agriculture.com/</x:v>
      </x:c>
      <x:c r="I319" s="16" t="d">
        <x:v>2026-03-06T12:00:00.000Z</x:v>
      </x:c>
      <x:c r="J319" s="6" t="str">
        <x:v>https://www.agriculture.com/autonomous-terrascout-provides-field-data-for-1-000-acres-per-day-11920801</x:v>
      </x:c>
      <x:c r="K319" s="6" t="str">
        <x:v>Publication date and topic coverage observed in the live page or search index; subscription access may be required for the full article.</x:v>
      </x:c>
    </x:row>
    <x:row r="320" ht="15" hidden="0" customHeight="1">
      <x:c r="A320" s="12" t="n">
        <x:v>30</x:v>
      </x:c>
      <x:c r="B320" s="6" t="str">
        <x:v>Autonomous agriculture and precision farming</x:v>
      </x:c>
      <x:c r="C320" s="6" t="str">
        <x:v>Bio &amp; production</x:v>
      </x:c>
      <x:c r="D320" s="6" t="str">
        <x:v>Farm Progress</x:v>
      </x:c>
      <x:c r="E320" s="6" t="str">
        <x:v>farmprogress.com</x:v>
      </x:c>
      <x:c r="F320" s="6" t="str">
        <x:v>Specialist news</x:v>
      </x:c>
      <x:c r="G320" s="6" t="str">
        <x:v>Precision equipment launches, field economics and farmer adoption.</x:v>
      </x:c>
      <x:c r="H320" s="6" t="str">
        <x:v>https://www.farmprogress.com/</x:v>
      </x:c>
      <x:c r="I320" s="16" t="d">
        <x:v>2026-08-31T12:00:00.000Z</x:v>
      </x:c>
      <x:c r="J320" s="6" t="str">
        <x:v>https://www.farmprogress.com/farm-progress-show/new-precision-ag-tech-a-highlight-of-farm-progress-show</x:v>
      </x:c>
      <x:c r="K320" s="6" t="str">
        <x:v>Publication date and topic coverage observed in the live page or search index; subscription access may be required for the full article.</x:v>
      </x:c>
    </x:row>
    <x:row r="321" ht="15" hidden="0" customHeight="1">
      <x:c r="A321" s="12" t="n">
        <x:v>30</x:v>
      </x:c>
      <x:c r="B321" s="6" t="str">
        <x:v>Autonomous agriculture and precision farming</x:v>
      </x:c>
      <x:c r="C321" s="6" t="str">
        <x:v>Bio &amp; production</x:v>
      </x:c>
      <x:c r="D321" s="6" t="str">
        <x:v>Farms.com</x:v>
      </x:c>
      <x:c r="E321" s="6" t="str">
        <x:v>farms.com</x:v>
      </x:c>
      <x:c r="F321" s="6" t="str">
        <x:v>Specialist news</x:v>
      </x:c>
      <x:c r="G321" s="6" t="str">
        <x:v>Autonomy, equipment retrofits and agricultural technology deployment.</x:v>
      </x:c>
      <x:c r="H321" s="6" t="str">
        <x:v>https://www.farms.com/</x:v>
      </x:c>
      <x:c r="I321" s="16" t="d">
        <x:v>2026-05-26T12:00:00.000Z</x:v>
      </x:c>
      <x:c r="J321" s="6" t="str">
        <x:v>https://www.farms.com/ag-industry-news/ptx-expands-autonomous-farming-tech-with-new-outrun-tillage-updates-364.aspx</x:v>
      </x:c>
      <x:c r="K321" s="6" t="str">
        <x:v>Publication date and topic coverage observed in the live page or search index; subscription access may be required for the full article.</x:v>
      </x:c>
    </x:row>
    <x:row r="322" ht="15" hidden="0" customHeight="1">
      <x:c r="A322" s="12" t="n">
        <x:v>30</x:v>
      </x:c>
      <x:c r="B322" s="6" t="str">
        <x:v>Autonomous agriculture and precision farming</x:v>
      </x:c>
      <x:c r="C322" s="6" t="str">
        <x:v>Bio &amp; production</x:v>
      </x:c>
      <x:c r="D322" s="6" t="str">
        <x:v>AgWeb</x:v>
      </x:c>
      <x:c r="E322" s="6" t="str">
        <x:v>agweb.com</x:v>
      </x:c>
      <x:c r="F322" s="6" t="str">
        <x:v>Specialist news</x:v>
      </x:c>
      <x:c r="G322" s="6" t="str">
        <x:v>Precision agriculture economics, farm equipment and applied technology.</x:v>
      </x:c>
      <x:c r="H322" s="6" t="str">
        <x:v>https://www.agweb.com/</x:v>
      </x:c>
      <x:c r="I322" s="16" t="d">
        <x:v>2026-02-17T12:00:00.000Z</x:v>
      </x:c>
      <x:c r="J322" s="6" t="str">
        <x:v>https://www.agweb.com/news/unlocking-more-less-through-precision-agriculture</x:v>
      </x:c>
      <x:c r="K322" s="6" t="str">
        <x:v>Publication date and topic coverage observed in the live page or search index; subscription access may be required for the full article.</x:v>
      </x:c>
    </x:row>
    <x:row r="323" ht="15" hidden="0" customHeight="1">
      <x:c r="A323" s="12" t="n">
        <x:v>30</x:v>
      </x:c>
      <x:c r="B323" s="6" t="str">
        <x:v>Autonomous agriculture and precision farming</x:v>
      </x:c>
      <x:c r="C323" s="6" t="str">
        <x:v>Bio &amp; production</x:v>
      </x:c>
      <x:c r="D323" s="6" t="str">
        <x:v>RealAgriculture</x:v>
      </x:c>
      <x:c r="E323" s="6" t="str">
        <x:v>realagriculture.com</x:v>
      </x:c>
      <x:c r="F323" s="6" t="str">
        <x:v>Specialist news and radio</x:v>
      </x:c>
      <x:c r="G323" s="6" t="str">
        <x:v>Canadian farming, machinery and autonomy discussions.</x:v>
      </x:c>
      <x:c r="H323" s="6" t="str">
        <x:v>https://www.realagriculture.com/</x:v>
      </x:c>
      <x:c r="I323" s="16" t="d">
        <x:v>2026-05-26T12:00:00.000Z</x:v>
      </x:c>
      <x:c r="J323" s="6" t="str">
        <x:v>https://www.realagriculture.com/2026/05/back-to-the-80s-the-next-ag-policy-and-the-future-of-farm-implements-realag-radio-may-26-2026</x:v>
      </x:c>
      <x:c r="K323" s="6" t="str">
        <x:v>Publication date and topic coverage observed in the live page or search index; subscription access may be required for the full article.</x:v>
      </x:c>
    </x:row>
    <x:row r="324" ht="15" hidden="0" customHeight="1">
      <x:c r="A324" s="12" t="n">
        <x:v>30</x:v>
      </x:c>
      <x:c r="B324" s="6" t="str">
        <x:v>Autonomous agriculture and precision farming</x:v>
      </x:c>
      <x:c r="C324" s="6" t="str">
        <x:v>Bio &amp; production</x:v>
      </x:c>
      <x:c r="D324" s="6" t="str">
        <x:v>John Deere newsroom</x:v>
      </x:c>
      <x:c r="E324" s="6" t="str">
        <x:v>deere.ca</x:v>
      </x:c>
      <x:c r="F324" s="6" t="str">
        <x:v>Vendor newsroom</x:v>
      </x:c>
      <x:c r="G324" s="6" t="str">
        <x:v>Precision spraying, autonomous machinery and field-deployment results; manufacturer perspective.</x:v>
      </x:c>
      <x:c r="H324" s="6" t="str">
        <x:v>https://www.deere.ca/en/news/all-news/</x:v>
      </x:c>
      <x:c r="I324" s="16" t="d">
        <x:v>2025-11-04T12:00:00.000Z</x:v>
      </x:c>
      <x:c r="J324" s="6" t="str">
        <x:v>https://www.deere.ca/en/news/all-news/see-spray-technology-across-5-million-acres/</x:v>
      </x:c>
      <x:c r="K324" s="6" t="str">
        <x:v>November 4, 2025 deployment announcement directly verified; within the preceding 12 months.</x:v>
      </x:c>
    </x:row>
    <x:row r="325" ht="15" hidden="0" customHeight="1">
      <x:c r="A325" s="12" t="n">
        <x:v>30</x:v>
      </x:c>
      <x:c r="B325" s="6" t="str">
        <x:v>Autonomous agriculture and precision farming</x:v>
      </x:c>
      <x:c r="C325" s="6" t="str">
        <x:v>Bio &amp; production</x:v>
      </x:c>
      <x:c r="D325" s="6" t="str">
        <x:v>AgFunderNews</x:v>
      </x:c>
      <x:c r="E325" s="6" t="str">
        <x:v>agfundernews.com</x:v>
      </x:c>
      <x:c r="F325" s="6" t="str">
        <x:v>Specialist news</x:v>
      </x:c>
      <x:c r="G325" s="6" t="str">
        <x:v>Agricultural robotics, startup funding and commercial field adoption.</x:v>
      </x:c>
      <x:c r="H325" s="6" t="str">
        <x:v>https://agfundernews.com/</x:v>
      </x:c>
      <x:c r="I325" s="16" t="d">
        <x:v>2026-01-30T12:00:00.000Z</x:v>
      </x:c>
      <x:c r="J325" s="6" t="str">
        <x:v>https://agfundernews.com/guest-article-what-ces-really-told-us-about-robotics-in-the-produce-sector</x:v>
      </x:c>
      <x:c r="K325" s="6" t="str">
        <x:v>Publication date and topic coverage observed in the live page or search index; subscription access may be required for the full article.</x:v>
      </x:c>
    </x:row>
    <x:row r="326" ht="15" hidden="0" customHeight="1">
      <x:c r="A326" s="12" t="n">
        <x:v>30</x:v>
      </x:c>
      <x:c r="B326" s="6" t="str">
        <x:v>Autonomous agriculture and precision farming</x:v>
      </x:c>
      <x:c r="C326" s="6" t="str">
        <x:v>Bio &amp; production</x:v>
      </x:c>
      <x:c r="D326" s="6" t="str">
        <x:v>American Ag Network</x:v>
      </x:c>
      <x:c r="E326" s="6" t="str">
        <x:v>americanagnetwork.com</x:v>
      </x:c>
      <x:c r="F326" s="6" t="str">
        <x:v>Specialist news</x:v>
      </x:c>
      <x:c r="G326" s="6" t="str">
        <x:v>Farm machinery and precision-spraying deployment news.</x:v>
      </x:c>
      <x:c r="H326" s="6" t="str">
        <x:v>https://www.americanagnetwork.com/</x:v>
      </x:c>
      <x:c r="I326" s="16" t="d">
        <x:v>2025-11-04T12:00:00.000Z</x:v>
      </x:c>
      <x:c r="J326" s="6" t="str">
        <x:v>https://www.americanagnetwork.com/2025/11/04/john-deere-customers-use-see-spray-technology-across-five-million-acres-in-2025/</x:v>
      </x:c>
      <x:c r="K326" s="6" t="str">
        <x:v>Publication date and topic coverage observed in the live page or search index; subscription access may be required for the full article.</x:v>
      </x:c>
    </x:row>
    <x:row r="327" ht="15" hidden="0" customHeight="1">
      <x:c r="A327" s="12" t="n">
        <x:v>31</x:v>
      </x:c>
      <x:c r="B327" s="6" t="str">
        <x:v>Perovskite-silicon tandem solar</x:v>
      </x:c>
      <x:c r="C327" s="6" t="str">
        <x:v>Clean power</x:v>
      </x:c>
      <x:c r="D327" s="6" t="str">
        <x:v>pv magazine Global</x:v>
      </x:c>
      <x:c r="E327" s="6" t="str">
        <x:v>pv-magazine.com</x:v>
      </x:c>
      <x:c r="F327" s="6" t="str">
        <x:v>Specialist news</x:v>
      </x:c>
      <x:c r="G327" s="6" t="str">
        <x:v>Perovskite/tandem efficiency, manufacturing, modules and project economics.</x:v>
      </x:c>
      <x:c r="H327" s="6" t="str">
        <x:v>https://www.pv-magazine.com/</x:v>
      </x:c>
      <x:c r="I327" s="16" t="d">
        <x:v>2026-07-15T12:00:00.000Z</x:v>
      </x:c>
      <x:c r="J327" s="6" t="str">
        <x:v>https://www.pv-magazine.com/2026/07/15/longi-sets-new-world-record-with-35-5-efficient-perovskite-silicon-tandem-cell/</x:v>
      </x:c>
      <x:c r="K327" s="6" t="str">
        <x:v>Publication date and topic coverage observed in the live page or search index; subscription access may be required for the full article.</x:v>
      </x:c>
    </x:row>
    <x:row r="328" ht="15" hidden="0" customHeight="1">
      <x:c r="A328" s="12" t="n">
        <x:v>31</x:v>
      </x:c>
      <x:c r="B328" s="6" t="str">
        <x:v>Perovskite-silicon tandem solar</x:v>
      </x:c>
      <x:c r="C328" s="6" t="str">
        <x:v>Clean power</x:v>
      </x:c>
      <x:c r="D328" s="6" t="str">
        <x:v>PV Tech</x:v>
      </x:c>
      <x:c r="E328" s="6" t="str">
        <x:v>pv-tech.org</x:v>
      </x:c>
      <x:c r="F328" s="6" t="str">
        <x:v>Specialist news</x:v>
      </x:c>
      <x:c r="G328" s="6" t="str">
        <x:v>Tandem materials, process scale-up and PV manufacturing supply chains.</x:v>
      </x:c>
      <x:c r="H328" s="6" t="str">
        <x:v>https://www.pv-tech.org/tag/perovskite/</x:v>
      </x:c>
      <x:c r="I328" s="16" t="d">
        <x:v>2026-07-21T12:00:00.000Z</x:v>
      </x:c>
      <x:c r="J328" s="6" t="str">
        <x:v>https://www.pv-tech.org/perovskites-moving-beyond-demonstration-era-sofab-inks/</x:v>
      </x:c>
      <x:c r="K328" s="6" t="str">
        <x:v>Publication date and topic coverage observed in the live page or search index; subscription access may be required for the full article.</x:v>
      </x:c>
    </x:row>
    <x:row r="329" ht="15" hidden="0" customHeight="1">
      <x:c r="A329" s="12" t="n">
        <x:v>31</x:v>
      </x:c>
      <x:c r="B329" s="6" t="str">
        <x:v>Perovskite-silicon tandem solar</x:v>
      </x:c>
      <x:c r="C329" s="6" t="str">
        <x:v>Clean power</x:v>
      </x:c>
      <x:c r="D329" s="6" t="str">
        <x:v>Solar Power World</x:v>
      </x:c>
      <x:c r="E329" s="6" t="str">
        <x:v>solarpowerworldonline.com</x:v>
      </x:c>
      <x:c r="F329" s="6" t="str">
        <x:v>Specialist news</x:v>
      </x:c>
      <x:c r="G329" s="6" t="str">
        <x:v>US solar manufacturing, tandem company developments and commercial products.</x:v>
      </x:c>
      <x:c r="H329" s="6" t="str">
        <x:v>https://www.solarpowerworldonline.com/</x:v>
      </x:c>
      <x:c r="I329" s="16" t="d">
        <x:v>2026-08-03T12:00:00.000Z</x:v>
      </x:c>
      <x:c r="J329" s="6" t="str">
        <x:v>https://www.solarpowerworldonline.com/2026/08/tandem-pv-acquires-nextc-coating-processes-for-perovskite-solar-panel-efforts/</x:v>
      </x:c>
      <x:c r="K329" s="6" t="str">
        <x:v>Publication date and topic coverage observed in the live page or search index; subscription access may be required for the full article.</x:v>
      </x:c>
    </x:row>
    <x:row r="330" ht="15" hidden="0" customHeight="1">
      <x:c r="A330" s="12" t="n">
        <x:v>31</x:v>
      </x:c>
      <x:c r="B330" s="6" t="str">
        <x:v>Perovskite-silicon tandem solar</x:v>
      </x:c>
      <x:c r="C330" s="6" t="str">
        <x:v>Clean power</x:v>
      </x:c>
      <x:c r="D330" s="6" t="str">
        <x:v>CleanTechnica</x:v>
      </x:c>
      <x:c r="E330" s="6" t="str">
        <x:v>cleantechnica.com</x:v>
      </x:c>
      <x:c r="F330" s="6" t="str">
        <x:v>Specialist news</x:v>
      </x:c>
      <x:c r="G330" s="6" t="str">
        <x:v>Perovskite startups, efficiency developments and clean-technology context.</x:v>
      </x:c>
      <x:c r="H330" s="6" t="str">
        <x:v>https://cleantechnica.com/</x:v>
      </x:c>
      <x:c r="I330" s="16" t="d">
        <x:v>2026-07-13T12:00:00.000Z</x:v>
      </x:c>
      <x:c r="J330" s="6" t="str">
        <x:v>https://cleantechnica.com/2026/07/13/perovskite-solar-cells-us-startups-uk-japan-australia/</x:v>
      </x:c>
      <x:c r="K330" s="6" t="str">
        <x:v>Publication date and topic coverage observed in the live page or search index; subscription access may be required for the full article.</x:v>
      </x:c>
    </x:row>
    <x:row r="331" ht="15" hidden="0" customHeight="1">
      <x:c r="A331" s="12" t="n">
        <x:v>31</x:v>
      </x:c>
      <x:c r="B331" s="6" t="str">
        <x:v>Perovskite-silicon tandem solar</x:v>
      </x:c>
      <x:c r="C331" s="6" t="str">
        <x:v>Clean power</x:v>
      </x:c>
      <x:c r="D331" s="6" t="str">
        <x:v>Renewables Now</x:v>
      </x:c>
      <x:c r="E331" s="6" t="str">
        <x:v>renewablesnow.com</x:v>
      </x:c>
      <x:c r="F331" s="6" t="str">
        <x:v>Specialist news</x:v>
      </x:c>
      <x:c r="G331" s="6" t="str">
        <x:v>Commercial tandem partnerships, factory investment and solar supply chain.</x:v>
      </x:c>
      <x:c r="H331" s="6" t="str">
        <x:v>https://renewablesnow.com/</x:v>
      </x:c>
      <x:c r="I331" s="16" t="d">
        <x:v>2026-07-30T12:00:00.000Z</x:v>
      </x:c>
      <x:c r="J331" s="6" t="str">
        <x:v>https://renewablesnow.com/news/navitas-caelux-create-perovskite-and-silicon-solar-module-partnership-1298900/</x:v>
      </x:c>
      <x:c r="K331" s="6" t="str">
        <x:v>Publication date and topic coverage observed in the live page or search index; subscription access may be required for the full article.</x:v>
      </x:c>
    </x:row>
    <x:row r="332" ht="15" hidden="0" customHeight="1">
      <x:c r="A332" s="12" t="n">
        <x:v>31</x:v>
      </x:c>
      <x:c r="B332" s="6" t="str">
        <x:v>Perovskite-silicon tandem solar</x:v>
      </x:c>
      <x:c r="C332" s="6" t="str">
        <x:v>Clean power</x:v>
      </x:c>
      <x:c r="D332" s="6" t="str">
        <x:v>Perovskite-Info</x:v>
      </x:c>
      <x:c r="E332" s="6" t="str">
        <x:v>perovskite-info.com</x:v>
      </x:c>
      <x:c r="F332" s="6" t="str">
        <x:v>Specialist news</x:v>
      </x:c>
      <x:c r="G332" s="6" t="str">
        <x:v>Dedicated perovskite research, materials, cell makers and manufacturing coverage.</x:v>
      </x:c>
      <x:c r="H332" s="6" t="str">
        <x:v>https://www.perovskite-info.com/</x:v>
      </x:c>
      <x:c r="I332" s="16" t="d">
        <x:v>2026-07-15T12:00:00.000Z</x:v>
      </x:c>
      <x:c r="J332" s="6" t="str">
        <x:v>https://www.perovskite-info.com/longi-reports-355-certified-efficiency-perovskite-silicon-tandem-cell</x:v>
      </x:c>
      <x:c r="K332" s="6" t="str">
        <x:v>Publication date and topic coverage observed in the live page or search index; subscription access may be required for the full article.</x:v>
      </x:c>
    </x:row>
    <x:row r="333" ht="15" hidden="0" customHeight="1">
      <x:c r="A333" s="12" t="n">
        <x:v>31</x:v>
      </x:c>
      <x:c r="B333" s="6" t="str">
        <x:v>Perovskite-silicon tandem solar</x:v>
      </x:c>
      <x:c r="C333" s="6" t="str">
        <x:v>Clean power</x:v>
      </x:c>
      <x:c r="D333" s="6" t="str">
        <x:v>PVTIME</x:v>
      </x:c>
      <x:c r="E333" s="6" t="str">
        <x:v>pvtime.org</x:v>
      </x:c>
      <x:c r="F333" s="6" t="str">
        <x:v>Specialist news</x:v>
      </x:c>
      <x:c r="G333" s="6" t="str">
        <x:v>PV manufacturing, Chinese tandem pilots and supplier announcements.</x:v>
      </x:c>
      <x:c r="H333" s="6" t="str">
        <x:v>https://www.pvtime.org/</x:v>
      </x:c>
      <x:c r="I333" s="16" t="d">
        <x:v>2026-08-26T12:00:00.000Z</x:v>
      </x:c>
      <x:c r="J333" s="6" t="str">
        <x:v>https://www.pvtime.org/100mw-longi-unveils-planned-perovskite-tandem-cell-pilot-line/</x:v>
      </x:c>
      <x:c r="K333" s="6" t="str">
        <x:v>Publication date and topic coverage observed in the live page or search index; subscription access may be required for the full article.</x:v>
      </x:c>
    </x:row>
    <x:row r="334" ht="15" hidden="0" customHeight="1">
      <x:c r="A334" s="12" t="n">
        <x:v>31</x:v>
      </x:c>
      <x:c r="B334" s="6" t="str">
        <x:v>Perovskite-silicon tandem solar</x:v>
      </x:c>
      <x:c r="C334" s="6" t="str">
        <x:v>Clean power</x:v>
      </x:c>
      <x:c r="D334" s="6" t="str">
        <x:v>Optics.org</x:v>
      </x:c>
      <x:c r="E334" s="6" t="str">
        <x:v>optics.org</x:v>
      </x:c>
      <x:c r="F334" s="6" t="str">
        <x:v>Specialist news</x:v>
      </x:c>
      <x:c r="G334" s="6" t="str">
        <x:v>Photovoltaic device research, optical materials and tandem module demonstrations.</x:v>
      </x:c>
      <x:c r="H334" s="6" t="str">
        <x:v>https://optics.org/</x:v>
      </x:c>
      <x:c r="I334" s="16" t="d">
        <x:v>2026-06-23T12:00:00.000Z</x:v>
      </x:c>
      <x:c r="J334" s="6" t="str">
        <x:v>https://optics.org/news/two-high-efficiency-pv-technologies-rolled-into-high-efficiency-module</x:v>
      </x:c>
      <x:c r="K334" s="6" t="str">
        <x:v>Publication date and topic coverage observed in the live page or search index; subscription access may be required for the full article.</x:v>
      </x:c>
    </x:row>
    <x:row r="335" ht="15" hidden="0" customHeight="1">
      <x:c r="A335" s="12" t="n">
        <x:v>31</x:v>
      </x:c>
      <x:c r="B335" s="6" t="str">
        <x:v>Perovskite-silicon tandem solar</x:v>
      </x:c>
      <x:c r="C335" s="6" t="str">
        <x:v>Clean power</x:v>
      </x:c>
      <x:c r="D335" s="6" t="str">
        <x:v>Energy Global</x:v>
      </x:c>
      <x:c r="E335" s="6" t="str">
        <x:v>energyglobal.com</x:v>
      </x:c>
      <x:c r="F335" s="6" t="str">
        <x:v>Specialist news</x:v>
      </x:c>
      <x:c r="G335" s="6" t="str">
        <x:v>Commercial perovskite partnerships and renewable manufacturing developments.</x:v>
      </x:c>
      <x:c r="H335" s="6" t="str">
        <x:v>https://www.energyglobal.com/</x:v>
      </x:c>
      <x:c r="I335" s="16" t="d">
        <x:v>2026-02-25T12:00:00.000Z</x:v>
      </x:c>
      <x:c r="J335" s="6" t="str">
        <x:v>https://www.energyglobal.com/solar/25022026/first-solar-and-oxford-pv-enter-patent-licensing-agreement-for-us-markets/</x:v>
      </x:c>
      <x:c r="K335" s="6" t="str">
        <x:v>Publication date and topic coverage observed in the live page or search index; subscription access may be required for the full article.</x:v>
      </x:c>
    </x:row>
    <x:row r="336" ht="15" hidden="0" customHeight="1">
      <x:c r="A336" s="12" t="n">
        <x:v>31</x:v>
      </x:c>
      <x:c r="B336" s="6" t="str">
        <x:v>Perovskite-silicon tandem solar</x:v>
      </x:c>
      <x:c r="C336" s="6" t="str">
        <x:v>Clean power</x:v>
      </x:c>
      <x:c r="D336" s="6" t="str">
        <x:v>LONGi newsroom</x:v>
      </x:c>
      <x:c r="E336" s="6" t="str">
        <x:v>longi.com</x:v>
      </x:c>
      <x:c r="F336" s="6" t="str">
        <x:v>Vendor newsroom</x:v>
      </x:c>
      <x:c r="G336" s="6" t="str">
        <x:v>Tandem cell records, pilot production and photovoltaic manufacturing; company perspective.</x:v>
      </x:c>
      <x:c r="H336" s="6" t="str">
        <x:v>https://www.longi.com/en/news/</x:v>
      </x:c>
      <x:c r="I336" s="16" t="d">
        <x:v>2026-07-15T12:00:00.000Z</x:v>
      </x:c>
      <x:c r="J336" s="6" t="str">
        <x:v>https://www.longi.com/en/news/crystalline-silicon-perovskite-tandem-solar-cell-new-world-efficiency-2026/</x:v>
      </x:c>
      <x:c r="K336" s="6" t="str">
        <x:v>July 15, 2026 publication date directly verified; independent bankability must be assessed separately.</x:v>
      </x:c>
    </x:row>
    <x:row r="337" ht="15" hidden="0" customHeight="1">
      <x:c r="A337" s="12" t="n">
        <x:v>32</x:v>
      </x:c>
      <x:c r="B337" s="6" t="str">
        <x:v>Long-duration energy storage</x:v>
      </x:c>
      <x:c r="C337" s="6" t="str">
        <x:v>Clean power</x:v>
      </x:c>
      <x:c r="D337" s="6" t="str">
        <x:v>Energy-Storage.news</x:v>
      </x:c>
      <x:c r="E337" s="6" t="str">
        <x:v>energy-storage.news</x:v>
      </x:c>
      <x:c r="F337" s="6" t="str">
        <x:v>Specialist news</x:v>
      </x:c>
      <x:c r="G337" s="6" t="str">
        <x:v>Long-duration storage technologies, projects, finance and procurement.</x:v>
      </x:c>
      <x:c r="H337" s="6" t="str">
        <x:v>https://www.energy-storage.news/</x:v>
      </x:c>
      <x:c r="I337" s="16" t="d">
        <x:v>2026-03-10T12:00:00.000Z</x:v>
      </x:c>
      <x:c r="J337" s="6" t="str">
        <x:v>https://www.energy-storage.news/long-duration-tech-still-outcompeted-by-lithium-trade-group-advocates-for-valuing-diversity/</x:v>
      </x:c>
      <x:c r="K337" s="6" t="str">
        <x:v>Article date directly verified as March 10, 2026.</x:v>
      </x:c>
    </x:row>
    <x:row r="338" ht="15" hidden="0" customHeight="1">
      <x:c r="A338" s="12" t="n">
        <x:v>32</x:v>
      </x:c>
      <x:c r="B338" s="6" t="str">
        <x:v>Long-duration energy storage</x:v>
      </x:c>
      <x:c r="C338" s="6" t="str">
        <x:v>Clean power</x:v>
      </x:c>
      <x:c r="D338" s="6" t="str">
        <x:v>Canary Media</x:v>
      </x:c>
      <x:c r="E338" s="6" t="str">
        <x:v>canarymedia.com</x:v>
      </x:c>
      <x:c r="F338" s="6" t="str">
        <x:v>Specialist news</x:v>
      </x:c>
      <x:c r="G338" s="6" t="str">
        <x:v>LDES deployment, policy and project finance.</x:v>
      </x:c>
      <x:c r="H338" s="6" t="str">
        <x:v>https://www.canarymedia.com/articles/long-duration-energy-storage</x:v>
      </x:c>
      <x:c r="I338" s="16" t="d">
        <x:v>2026-01-08T12:00:00.000Z</x:v>
      </x:c>
      <x:c r="J338" s="6" t="str">
        <x:v>https://www.canarymedia.com/articles/long-duration-energy-storage/novel-energy-storage-project-california</x:v>
      </x:c>
      <x:c r="K338" s="6" t="str">
        <x:v>Publication date and topic coverage observed in the live page or search index; subscription access may be required for the full article.</x:v>
      </x:c>
    </x:row>
    <x:row r="339" ht="15" hidden="0" customHeight="1">
      <x:c r="A339" s="12" t="n">
        <x:v>32</x:v>
      </x:c>
      <x:c r="B339" s="6" t="str">
        <x:v>Long-duration energy storage</x:v>
      </x:c>
      <x:c r="C339" s="6" t="str">
        <x:v>Clean power</x:v>
      </x:c>
      <x:c r="D339" s="6" t="str">
        <x:v>Utility Dive</x:v>
      </x:c>
      <x:c r="E339" s="6" t="str">
        <x:v>utilitydive.com</x:v>
      </x:c>
      <x:c r="F339" s="6" t="str">
        <x:v>Specialist news</x:v>
      </x:c>
      <x:c r="G339" s="6" t="str">
        <x:v>Grid storage economics, duration requirements and utility procurement.</x:v>
      </x:c>
      <x:c r="H339" s="6" t="str">
        <x:v>https://www.utilitydive.com/</x:v>
      </x:c>
      <x:c r="I339" s="16" t="d">
        <x:v>2026-10-08T12:00:00.000Z</x:v>
      </x:c>
      <x:c r="J339" s="6" t="str">
        <x:v>https://www.utilitydive.com/news/4-hour-storage-cheaper-than-gas-peakers-across-global-markets-woodmac/832489/</x:v>
      </x:c>
      <x:c r="K339" s="6" t="str">
        <x:v>October 8, 2026 storage-economics article directly verified. Direct LDES deployment coverage also observed in March 2026.</x:v>
      </x:c>
    </x:row>
    <x:row r="340" ht="15" hidden="0" customHeight="1">
      <x:c r="A340" s="12" t="n">
        <x:v>32</x:v>
      </x:c>
      <x:c r="B340" s="6" t="str">
        <x:v>Long-duration energy storage</x:v>
      </x:c>
      <x:c r="C340" s="6" t="str">
        <x:v>Clean power</x:v>
      </x:c>
      <x:c r="D340" s="6" t="str">
        <x:v>Recharge</x:v>
      </x:c>
      <x:c r="E340" s="6" t="str">
        <x:v>rechargenews.com</x:v>
      </x:c>
      <x:c r="F340" s="6" t="str">
        <x:v>Specialist news</x:v>
      </x:c>
      <x:c r="G340" s="6" t="str">
        <x:v>LDES finance, commercial projects and technology economics.</x:v>
      </x:c>
      <x:c r="H340" s="6" t="str">
        <x:v>https://www.rechargenews.com/energy-storage</x:v>
      </x:c>
      <x:c r="I340" s="16" t="d">
        <x:v>2026-07-09T12:00:00.000Z</x:v>
      </x:c>
      <x:c r="J340" s="6" t="str">
        <x:v>https://www.rechargenews.com/energy-storage/long-duration-storage-momentum-masks-a-commercial-reality-check/2-1-2012953</x:v>
      </x:c>
      <x:c r="K340" s="6" t="str">
        <x:v>Publication date and topic coverage observed in the live page or search index; subscription access may be required for the full article.</x:v>
      </x:c>
    </x:row>
    <x:row r="341" ht="15" hidden="0" customHeight="1">
      <x:c r="A341" s="12" t="n">
        <x:v>32</x:v>
      </x:c>
      <x:c r="B341" s="6" t="str">
        <x:v>Long-duration energy storage</x:v>
      </x:c>
      <x:c r="C341" s="6" t="str">
        <x:v>Clean power</x:v>
      </x:c>
      <x:c r="D341" s="6" t="str">
        <x:v>ESS News</x:v>
      </x:c>
      <x:c r="E341" s="6" t="str">
        <x:v>ess-news.com</x:v>
      </x:c>
      <x:c r="F341" s="6" t="str">
        <x:v>Specialist news</x:v>
      </x:c>
      <x:c r="G341" s="6" t="str">
        <x:v>Storage projects, alternative chemistries and long-duration procurement.</x:v>
      </x:c>
      <x:c r="H341" s="6" t="str">
        <x:v>https://www.ess-news.com/</x:v>
      </x:c>
      <x:c r="I341" s="16" t="d">
        <x:v>2026-07-13T12:00:00.000Z</x:v>
      </x:c>
      <x:c r="J341" s="6" t="str">
        <x:v>https://www.ess-news.com/2026/07/13/energy-dome-targets-australias-first-commercial-co2-battery/</x:v>
      </x:c>
      <x:c r="K341" s="6" t="str">
        <x:v>Publication date and topic coverage observed in the live page or search index; subscription access may be required for the full article.</x:v>
      </x:c>
    </x:row>
    <x:row r="342" ht="15" hidden="0" customHeight="1">
      <x:c r="A342" s="12" t="n">
        <x:v>32</x:v>
      </x:c>
      <x:c r="B342" s="6" t="str">
        <x:v>Long-duration energy storage</x:v>
      </x:c>
      <x:c r="C342" s="6" t="str">
        <x:v>Clean power</x:v>
      </x:c>
      <x:c r="D342" s="6" t="str">
        <x:v>Renewables Now</x:v>
      </x:c>
      <x:c r="E342" s="6" t="str">
        <x:v>renewablesnow.com</x:v>
      </x:c>
      <x:c r="F342" s="6" t="str">
        <x:v>Specialist news</x:v>
      </x:c>
      <x:c r="G342" s="6" t="str">
        <x:v>LDES developer fundraising, project pipelines and commissioning.</x:v>
      </x:c>
      <x:c r="H342" s="6" t="str">
        <x:v>https://renewablesnow.com/</x:v>
      </x:c>
      <x:c r="I342" s="16" t="d">
        <x:v>2026-08-13T12:00:00.000Z</x:v>
      </x:c>
      <x:c r="J342" s="6" t="str">
        <x:v>https://renewablesnow.com/news/hydrostor-raises-usd-230m-for-long-duration-energy-storage-pipeline-1299602/</x:v>
      </x:c>
      <x:c r="K342" s="6" t="str">
        <x:v>Publication date and topic coverage observed in the live page or search index; subscription access may be required for the full article.</x:v>
      </x:c>
    </x:row>
    <x:row r="343" ht="15" hidden="0" customHeight="1">
      <x:c r="A343" s="12" t="n">
        <x:v>32</x:v>
      </x:c>
      <x:c r="B343" s="6" t="str">
        <x:v>Long-duration energy storage</x:v>
      </x:c>
      <x:c r="C343" s="6" t="str">
        <x:v>Clean power</x:v>
      </x:c>
      <x:c r="D343" s="6" t="str">
        <x:v>Solar Power World</x:v>
      </x:c>
      <x:c r="E343" s="6" t="str">
        <x:v>solarpowerworldonline.com</x:v>
      </x:c>
      <x:c r="F343" s="6" t="str">
        <x:v>Specialist news</x:v>
      </x:c>
      <x:c r="G343" s="6" t="str">
        <x:v>Practical storage technology, duration use cases and US project developments.</x:v>
      </x:c>
      <x:c r="H343" s="6" t="str">
        <x:v>https://www.solarpowerworldonline.com/</x:v>
      </x:c>
      <x:c r="I343" s="16" t="d">
        <x:v>2026-02-10T12:00:00.000Z</x:v>
      </x:c>
      <x:c r="J343" s="6" t="str">
        <x:v>https://www.solarpowerworldonline.com/2026/02/the-growing-need-for-long-duration-energy-storage-in-the-us/</x:v>
      </x:c>
      <x:c r="K343" s="6" t="str">
        <x:v>Publication date and topic coverage observed in the live page or search index; subscription access may be required for the full article.</x:v>
      </x:c>
    </x:row>
    <x:row r="344" ht="15" hidden="0" customHeight="1">
      <x:c r="A344" s="12" t="n">
        <x:v>32</x:v>
      </x:c>
      <x:c r="B344" s="6" t="str">
        <x:v>Long-duration energy storage</x:v>
      </x:c>
      <x:c r="C344" s="6" t="str">
        <x:v>Clean power</x:v>
      </x:c>
      <x:c r="D344" s="6" t="str">
        <x:v>CleanTechnica</x:v>
      </x:c>
      <x:c r="E344" s="6" t="str">
        <x:v>cleantechnica.com</x:v>
      </x:c>
      <x:c r="F344" s="6" t="str">
        <x:v>Specialist news</x:v>
      </x:c>
      <x:c r="G344" s="6" t="str">
        <x:v>Thermal batteries, alternative storage and clean-energy company investment.</x:v>
      </x:c>
      <x:c r="H344" s="6" t="str">
        <x:v>https://cleantechnica.com/</x:v>
      </x:c>
      <x:c r="I344" s="16" t="d">
        <x:v>2026-07-30T12:00:00.000Z</x:v>
      </x:c>
      <x:c r="J344" s="6" t="str">
        <x:v>https://cleantechnica.com/2026/07/30/energy-storage-factory-made-carbon-blocks-us-startup-antora/</x:v>
      </x:c>
      <x:c r="K344" s="6" t="str">
        <x:v>Publication date and topic coverage observed in the live page or search index; subscription access may be required for the full article.</x:v>
      </x:c>
    </x:row>
    <x:row r="345" ht="15" hidden="0" customHeight="1">
      <x:c r="A345" s="12" t="n">
        <x:v>32</x:v>
      </x:c>
      <x:c r="B345" s="6" t="str">
        <x:v>Long-duration energy storage</x:v>
      </x:c>
      <x:c r="C345" s="6" t="str">
        <x:v>Clean power</x:v>
      </x:c>
      <x:c r="D345" s="6" t="str">
        <x:v>Energy Global</x:v>
      </x:c>
      <x:c r="E345" s="6" t="str">
        <x:v>energyglobal.com</x:v>
      </x:c>
      <x:c r="F345" s="6" t="str">
        <x:v>Specialist news</x:v>
      </x:c>
      <x:c r="G345" s="6" t="str">
        <x:v>Long-duration project procurement and grid integration, including lithium-based comparators.</x:v>
      </x:c>
      <x:c r="H345" s="6" t="str">
        <x:v>https://www.energyglobal.com/</x:v>
      </x:c>
      <x:c r="I345" s="16" t="d">
        <x:v>2026-06-08T12:00:00.000Z</x:v>
      </x:c>
      <x:c r="J345" s="6" t="str">
        <x:v>https://www.energyglobal.com/solar/08062026/ark-energy-has-secured-approval-to-connect-its-hybrid-solar-and-bess-project/</x:v>
      </x:c>
      <x:c r="K345" s="6" t="str">
        <x:v>Publication date and topic coverage observed in the live page or search index; subscription access may be required for the full article.</x:v>
      </x:c>
    </x:row>
    <x:row r="346" ht="15" hidden="0" customHeight="1">
      <x:c r="A346" s="12" t="n">
        <x:v>32</x:v>
      </x:c>
      <x:c r="B346" s="6" t="str">
        <x:v>Long-duration energy storage</x:v>
      </x:c>
      <x:c r="C346" s="6" t="str">
        <x:v>Clean power</x:v>
      </x:c>
      <x:c r="D346" s="6" t="str">
        <x:v>Reuters</x:v>
      </x:c>
      <x:c r="E346" s="6" t="str">
        <x:v>reuters.com</x:v>
      </x:c>
      <x:c r="F346" s="6" t="str">
        <x:v>Business news</x:v>
      </x:c>
      <x:c r="G346" s="6" t="str">
        <x:v>Major storage deployments, corporate buyers and financing.</x:v>
      </x:c>
      <x:c r="H346" s="6" t="str">
        <x:v>https://www.reuters.com/business/energy/</x:v>
      </x:c>
      <x:c r="I346" s="16" t="d">
        <x:v>2026-03-24T12:00:00.000Z</x:v>
      </x:c>
      <x:c r="J346" s="6" t="str">
        <x:v>https://www.reuters.com/business/energy/soaring-ai-demand-spurs-roll-out-long-duration-energy-storage--reeii-2026-03-24/</x:v>
      </x:c>
      <x:c r="K346" s="6" t="str">
        <x:v>Publication date and topic coverage observed in the live page or search index; subscription access may be required for the full article.</x:v>
      </x:c>
    </x:row>
    <x:row r="347" ht="15" hidden="0" customHeight="1">
      <x:c r="A347" s="12" t="n">
        <x:v>32</x:v>
      </x:c>
      <x:c r="B347" s="6" t="str">
        <x:v>Long-duration energy storage</x:v>
      </x:c>
      <x:c r="C347" s="6" t="str">
        <x:v>Clean power</x:v>
      </x:c>
      <x:c r="D347" s="6" t="str">
        <x:v>LDES Council</x:v>
      </x:c>
      <x:c r="E347" s="6" t="str">
        <x:v>ldescouncil.com</x:v>
      </x:c>
      <x:c r="F347" s="6" t="str">
        <x:v>Industry association news</x:v>
      </x:c>
      <x:c r="G347" s="6" t="str">
        <x:v>Long-duration technology, member projects and policy updates.</x:v>
      </x:c>
      <x:c r="H347" s="6" t="str">
        <x:v>https://ldescouncil.com/</x:v>
      </x:c>
      <x:c r="I347" s="16" t="d">
        <x:v>2026-10-16T12:00:00.000Z</x:v>
      </x:c>
      <x:c r="J347" s="6" t="str">
        <x:v>https://ldescouncil.com/outcomes-from-ldes-council-annual-member-meeting-2026/</x:v>
      </x:c>
      <x:c r="K347" s="6" t="str">
        <x:v>Publication date and topic coverage observed in the live page or search index; subscription access may be required for the full article.</x:v>
      </x:c>
    </x:row>
    <x:row r="348" ht="15" hidden="0" customHeight="1">
      <x:c r="A348" s="12" t="n">
        <x:v>33</x:v>
      </x:c>
      <x:c r="B348" s="6" t="str">
        <x:v>Sodium-ion batteries</x:v>
      </x:c>
      <x:c r="C348" s="6" t="str">
        <x:v>Clean power</x:v>
      </x:c>
      <x:c r="D348" s="6" t="str">
        <x:v>pv magazine Global</x:v>
      </x:c>
      <x:c r="E348" s="6" t="str">
        <x:v>pv-magazine.com</x:v>
      </x:c>
      <x:c r="F348" s="6" t="str">
        <x:v>Specialist news</x:v>
      </x:c>
      <x:c r="G348" s="6" t="str">
        <x:v>Sodium-ion storage products, deployments and cell manufacturing.</x:v>
      </x:c>
      <x:c r="H348" s="6" t="str">
        <x:v>https://www.pv-magazine.com/</x:v>
      </x:c>
      <x:c r="I348" s="16" t="d">
        <x:v>2026-07-24T12:00:00.000Z</x:v>
      </x:c>
      <x:c r="J348" s="6" t="str">
        <x:v>https://www.pv-magazine.com/2026/07/24/german-startup-launches-high-voltage-sodium-ion-battery-for-residential-applications/</x:v>
      </x:c>
      <x:c r="K348" s="6" t="str">
        <x:v>Publication date and topic coverage observed in the live page or search index; subscription access may be required for the full article.</x:v>
      </x:c>
    </x:row>
    <x:row r="349" ht="15" hidden="0" customHeight="1">
      <x:c r="A349" s="12" t="n">
        <x:v>33</x:v>
      </x:c>
      <x:c r="B349" s="6" t="str">
        <x:v>Sodium-ion batteries</x:v>
      </x:c>
      <x:c r="C349" s="6" t="str">
        <x:v>Clean power</x:v>
      </x:c>
      <x:c r="D349" s="6" t="str">
        <x:v>Energy-Storage.news</x:v>
      </x:c>
      <x:c r="E349" s="6" t="str">
        <x:v>energy-storage.news</x:v>
      </x:c>
      <x:c r="F349" s="6" t="str">
        <x:v>Specialist news</x:v>
      </x:c>
      <x:c r="G349" s="6" t="str">
        <x:v>Sodium-ion storage projects, supply contracts and company investment.</x:v>
      </x:c>
      <x:c r="H349" s="6" t="str">
        <x:v>https://www.energy-storage.news/</x:v>
      </x:c>
      <x:c r="I349" s="16" t="d">
        <x:v>2026-07-28T12:00:00.000Z</x:v>
      </x:c>
      <x:c r="J349" s="6" t="str">
        <x:v>https://www.energy-storage.news/sodium-ion-bess-catl-in-2gwh-eastern-europe-collaboration-ess-inc-signs-loi-for-500mwh-of-us-deployments/</x:v>
      </x:c>
      <x:c r="K349" s="6" t="str">
        <x:v>Article explicitly updated July 28, 2026; removes tracking query parameters from the navigation link.</x:v>
      </x:c>
    </x:row>
    <x:row r="350" ht="15" hidden="0" customHeight="1">
      <x:c r="A350" s="12" t="n">
        <x:v>33</x:v>
      </x:c>
      <x:c r="B350" s="6" t="str">
        <x:v>Sodium-ion batteries</x:v>
      </x:c>
      <x:c r="C350" s="6" t="str">
        <x:v>Clean power</x:v>
      </x:c>
      <x:c r="D350" s="6" t="str">
        <x:v>electrive</x:v>
      </x:c>
      <x:c r="E350" s="6" t="str">
        <x:v>electrive.com</x:v>
      </x:c>
      <x:c r="F350" s="6" t="str">
        <x:v>Specialist news</x:v>
      </x:c>
      <x:c r="G350" s="6" t="str">
        <x:v>Sodium-ion vehicle programmes, cell suppliers and battery qualification.</x:v>
      </x:c>
      <x:c r="H350" s="6" t="str">
        <x:v>https://www.electrive.com/</x:v>
      </x:c>
      <x:c r="I350" s="16" t="d">
        <x:v>2026-06-23T12:00:00.000Z</x:v>
      </x:c>
      <x:c r="J350" s="6" t="str">
        <x:v>https://www.electrive.com/2026/06/23/hina-and-faw-conclude-long-term-test-of-sodium-ion-electric-truck-battery/</x:v>
      </x:c>
      <x:c r="K350" s="6" t="str">
        <x:v>Publication date and topic coverage observed in the live page or search index; subscription access may be required for the full article.</x:v>
      </x:c>
    </x:row>
    <x:row r="351" ht="15" hidden="0" customHeight="1">
      <x:c r="A351" s="12" t="n">
        <x:v>33</x:v>
      </x:c>
      <x:c r="B351" s="6" t="str">
        <x:v>Sodium-ion batteries</x:v>
      </x:c>
      <x:c r="C351" s="6" t="str">
        <x:v>Clean power</x:v>
      </x:c>
      <x:c r="D351" s="6" t="str">
        <x:v>Electrek</x:v>
      </x:c>
      <x:c r="E351" s="6" t="str">
        <x:v>electrek.co</x:v>
      </x:c>
      <x:c r="F351" s="6" t="str">
        <x:v>Specialist news</x:v>
      </x:c>
      <x:c r="G351" s="6" t="str">
        <x:v>Sodium-ion applications in EVs, micromobility and related battery products.</x:v>
      </x:c>
      <x:c r="H351" s="6" t="str">
        <x:v>https://electrek.co/</x:v>
      </x:c>
      <x:c r="I351" s="16" t="d">
        <x:v>2026-07-20T12:00:00.000Z</x:v>
      </x:c>
      <x:c r="J351" s="6" t="str">
        <x:v>https://electrek.co/2026/07/20/will-we-soon-see-sodium-ion-batteries-on-electric-bikes/</x:v>
      </x:c>
      <x:c r="K351" s="6" t="str">
        <x:v>Publication date and topic coverage observed in the live page or search index; subscription access may be required for the full article.</x:v>
      </x:c>
    </x:row>
    <x:row r="352" ht="15" hidden="0" customHeight="1">
      <x:c r="A352" s="12" t="n">
        <x:v>33</x:v>
      </x:c>
      <x:c r="B352" s="6" t="str">
        <x:v>Sodium-ion batteries</x:v>
      </x:c>
      <x:c r="C352" s="6" t="str">
        <x:v>Clean power</x:v>
      </x:c>
      <x:c r="D352" s="6" t="str">
        <x:v>Charged EVs</x:v>
      </x:c>
      <x:c r="E352" s="6" t="str">
        <x:v>chargedevs.com</x:v>
      </x:c>
      <x:c r="F352" s="6" t="str">
        <x:v>Specialist news</x:v>
      </x:c>
      <x:c r="G352" s="6" t="str">
        <x:v>Sodium-ion battery engineering, manufacturing contracts and EV applications.</x:v>
      </x:c>
      <x:c r="H352" s="6" t="str">
        <x:v>https://chargedevs.com/</x:v>
      </x:c>
      <x:c r="I352" s="16" t="d">
        <x:v>2026-05-04T12:00:00.000Z</x:v>
      </x:c>
      <x:c r="J352" s="6" t="str">
        <x:v>https://chargedevs.com/newswire/sodium-batteries-may-be-ready-for-prime-time-catl-signs-60-gwh-deal/</x:v>
      </x:c>
      <x:c r="K352" s="6" t="str">
        <x:v>Publication date and topic coverage observed in the live page or search index; subscription access may be required for the full article.</x:v>
      </x:c>
    </x:row>
    <x:row r="353" ht="15" hidden="0" customHeight="1">
      <x:c r="A353" s="12" t="n">
        <x:v>33</x:v>
      </x:c>
      <x:c r="B353" s="6" t="str">
        <x:v>Sodium-ion batteries</x:v>
      </x:c>
      <x:c r="C353" s="6" t="str">
        <x:v>Clean power</x:v>
      </x:c>
      <x:c r="D353" s="6" t="str">
        <x:v>EnergyTrend</x:v>
      </x:c>
      <x:c r="E353" s="6" t="str">
        <x:v>energytrend.com</x:v>
      </x:c>
      <x:c r="F353" s="6" t="str">
        <x:v>Specialist news</x:v>
      </x:c>
      <x:c r="G353" s="6" t="str">
        <x:v>Asian sodium-ion manufacturing, storage products and commercial roadmaps.</x:v>
      </x:c>
      <x:c r="H353" s="6" t="str">
        <x:v>https://www.energytrend.com/</x:v>
      </x:c>
      <x:c r="I353" s="16" t="d">
        <x:v>2026-06-11T12:00:00.000Z</x:v>
      </x:c>
      <x:c r="J353" s="6" t="str">
        <x:v>https://www.energytrend.com/news/20260611-51583.html</x:v>
      </x:c>
      <x:c r="K353" s="6" t="str">
        <x:v>Publication date and topic coverage observed in the live page or search index; subscription access may be required for the full article.</x:v>
      </x:c>
    </x:row>
    <x:row r="354" ht="15" hidden="0" customHeight="1">
      <x:c r="A354" s="12" t="n">
        <x:v>33</x:v>
      </x:c>
      <x:c r="B354" s="6" t="str">
        <x:v>Sodium-ion batteries</x:v>
      </x:c>
      <x:c r="C354" s="6" t="str">
        <x:v>Clean power</x:v>
      </x:c>
      <x:c r="D354" s="6" t="str">
        <x:v>Batteries News</x:v>
      </x:c>
      <x:c r="E354" s="6" t="str">
        <x:v>batteriesnews.com</x:v>
      </x:c>
      <x:c r="F354" s="6" t="str">
        <x:v>Specialist news</x:v>
      </x:c>
      <x:c r="G354" s="6" t="str">
        <x:v>Sodium-ion companies, manufacturing and policy; industry news and releases.</x:v>
      </x:c>
      <x:c r="H354" s="6" t="str">
        <x:v>https://batteriesnews.com/</x:v>
      </x:c>
      <x:c r="I354" s="16" t="d">
        <x:v>2026-07-21T12:00:00.000Z</x:v>
      </x:c>
      <x:c r="J354" s="6" t="str">
        <x:v>https://batteriesnews.com/china-to-impose-consumption-tax-on-lithium-batteries-exempting-sodium-ion-and-solid-state-cells/</x:v>
      </x:c>
      <x:c r="K354" s="6" t="str">
        <x:v>Publication date and topic coverage observed in the live page or search index; subscription access may be required for the full article.</x:v>
      </x:c>
    </x:row>
    <x:row r="355" ht="15" hidden="0" customHeight="1">
      <x:c r="A355" s="12" t="n">
        <x:v>33</x:v>
      </x:c>
      <x:c r="B355" s="6" t="str">
        <x:v>Sodium-ion batteries</x:v>
      </x:c>
      <x:c r="C355" s="6" t="str">
        <x:v>Clean power</x:v>
      </x:c>
      <x:c r="D355" s="6" t="str">
        <x:v>Solar Power World</x:v>
      </x:c>
      <x:c r="E355" s="6" t="str">
        <x:v>solarpowerworldonline.com</x:v>
      </x:c>
      <x:c r="F355" s="6" t="str">
        <x:v>Specialist news</x:v>
      </x:c>
      <x:c r="G355" s="6" t="str">
        <x:v>Sodium-ion stationary products and US manufacturing plans.</x:v>
      </x:c>
      <x:c r="H355" s="6" t="str">
        <x:v>https://www.solarpowerworldonline.com/</x:v>
      </x:c>
      <x:c r="I355" s="16" t="d">
        <x:v>2026-02-18T12:00:00.000Z</x:v>
      </x:c>
      <x:c r="J355" s="6" t="str">
        <x:v>https://www.solarpowerworldonline.com/2026/02/sodium-ion-battery-designer-syntropic-power-intends-to-manufacture-in-usa/</x:v>
      </x:c>
      <x:c r="K355" s="6" t="str">
        <x:v>Publication date and topic coverage observed in the live page or search index; subscription access may be required for the full article.</x:v>
      </x:c>
    </x:row>
    <x:row r="356" ht="15" hidden="0" customHeight="1">
      <x:c r="A356" s="12" t="n">
        <x:v>33</x:v>
      </x:c>
      <x:c r="B356" s="6" t="str">
        <x:v>Sodium-ion batteries</x:v>
      </x:c>
      <x:c r="C356" s="6" t="str">
        <x:v>Clean power</x:v>
      </x:c>
      <x:c r="D356" s="6" t="str">
        <x:v>Reuters</x:v>
      </x:c>
      <x:c r="E356" s="6" t="str">
        <x:v>reuters.com</x:v>
      </x:c>
      <x:c r="F356" s="6" t="str">
        <x:v>Business news</x:v>
      </x:c>
      <x:c r="G356" s="6" t="str">
        <x:v>Large sodium-ion contracts, manufacturers and production announcements.</x:v>
      </x:c>
      <x:c r="H356" s="6" t="str">
        <x:v>https://www.reuters.com/world/asia-pacific/</x:v>
      </x:c>
      <x:c r="I356" s="16" t="d">
        <x:v>2026-04-28T12:00:00.000Z</x:v>
      </x:c>
      <x:c r="J356" s="6" t="str">
        <x:v>https://www.reuters.com/world/asia-pacific/chinese-battery-maker-catl-signs-first-major-sodium-ion-deal-energy-storage-2026-04-28/</x:v>
      </x:c>
      <x:c r="K356" s="6" t="str">
        <x:v>Publication date and topic coverage observed in the live page or search index; subscription access may be required for the full article.</x:v>
      </x:c>
    </x:row>
    <x:row r="357" ht="15" hidden="0" customHeight="1">
      <x:c r="A357" s="12" t="n">
        <x:v>33</x:v>
      </x:c>
      <x:c r="B357" s="6" t="str">
        <x:v>Sodium-ion batteries</x:v>
      </x:c>
      <x:c r="C357" s="6" t="str">
        <x:v>Clean power</x:v>
      </x:c>
      <x:c r="D357" s="6" t="str">
        <x:v>CATL newsroom</x:v>
      </x:c>
      <x:c r="E357" s="6" t="str">
        <x:v>catl.com</x:v>
      </x:c>
      <x:c r="F357" s="6" t="str">
        <x:v>Vendor newsroom</x:v>
      </x:c>
      <x:c r="G357" s="6" t="str">
        <x:v>Manufacturer specifications, sodium-ion product releases and shipment targets.</x:v>
      </x:c>
      <x:c r="H357" s="6" t="str">
        <x:v>https://www.catl.com/en/news/</x:v>
      </x:c>
      <x:c r="I357" s="16" t="d">
        <x:v>2026-06-22T12:00:00.000Z</x:v>
      </x:c>
      <x:c r="J357" s="6" t="str">
        <x:v>https://www.catl.com/en/news/6861.html</x:v>
      </x:c>
      <x:c r="K357" s="6" t="str">
        <x:v>Publication date and topic coverage observed in the live page or search index; subscription access may be required for the full article.</x:v>
      </x:c>
    </x:row>
    <x:row r="358" ht="15" hidden="0" customHeight="1">
      <x:c r="A358" s="12" t="n">
        <x:v>34</x:v>
      </x:c>
      <x:c r="B358" s="6" t="str">
        <x:v>Advanced geothermal</x:v>
      </x:c>
      <x:c r="C358" s="6" t="str">
        <x:v>Clean power</x:v>
      </x:c>
      <x:c r="D358" s="6" t="str">
        <x:v>ThinkGeoEnergy</x:v>
      </x:c>
      <x:c r="E358" s="6" t="str">
        <x:v>thinkgeoenergy.com</x:v>
      </x:c>
      <x:c r="F358" s="6" t="str">
        <x:v>Specialist news</x:v>
      </x:c>
      <x:c r="G358" s="6" t="str">
        <x:v>Geothermal developments; commercial deployments, policy and industry news.</x:v>
      </x:c>
      <x:c r="H358" s="6" t="str">
        <x:v>https://www.thinkgeoenergy.com/featured_reports/featured-report-1/</x:v>
      </x:c>
      <x:c r="I358" s="16" t="d">
        <x:v>2026-08-21T12:00:00.000Z</x:v>
      </x:c>
      <x:c r="J358" s="6" t="str">
        <x:v>https://www.thinkgeoenergy.com/featured_reports/featured-report-1/</x:v>
      </x:c>
      <x:c r="K358" s="6" t="str">
        <x:v>Dated item visible in retrieved page/index: 2026-08-21. Search publication metadata: today. </x:v>
      </x:c>
    </x:row>
    <x:row r="359" ht="15" hidden="0" customHeight="1">
      <x:c r="A359" s="12" t="n">
        <x:v>34</x:v>
      </x:c>
      <x:c r="B359" s="6" t="str">
        <x:v>Advanced geothermal</x:v>
      </x:c>
      <x:c r="C359" s="6" t="str">
        <x:v>Clean power</x:v>
      </x:c>
      <x:c r="D359" s="6" t="str">
        <x:v>Canary Media</x:v>
      </x:c>
      <x:c r="E359" s="6" t="str">
        <x:v>canarymedia.com</x:v>
      </x:c>
      <x:c r="F359" s="6" t="str">
        <x:v>Specialist news</x:v>
      </x:c>
      <x:c r="G359" s="6" t="str">
        <x:v>Geothermal developments; commercial deployments, policy and industry news.</x:v>
      </x:c>
      <x:c r="H359" s="6" t="str">
        <x:v>https://www.canarymedia.com/articles/geothermal/sage-geosystems-next-gen-geothermal-online</x:v>
      </x:c>
      <x:c r="I359" s="16" t="d">
        <x:v>2026-08-19T12:00:00.000Z</x:v>
      </x:c>
      <x:c r="J359" s="6" t="str">
        <x:v>https://www.canarymedia.com/articles/geothermal/sage-geosystems-next-gen-geothermal-online</x:v>
      </x:c>
      <x:c r="K359" s="6" t="str">
        <x:v>Dated item visible in retrieved page/index: 2026-08-19. Search publication metadata: last month. </x:v>
      </x:c>
    </x:row>
    <x:row r="360" ht="15" hidden="0" customHeight="1">
      <x:c r="A360" s="12" t="n">
        <x:v>34</x:v>
      </x:c>
      <x:c r="B360" s="6" t="str">
        <x:v>Advanced geothermal</x:v>
      </x:c>
      <x:c r="C360" s="6" t="str">
        <x:v>Clean power</x:v>
      </x:c>
      <x:c r="D360" s="6" t="str">
        <x:v>Utility Dive</x:v>
      </x:c>
      <x:c r="E360" s="6" t="str">
        <x:v>utilitydive.com</x:v>
      </x:c>
      <x:c r="F360" s="6" t="str">
        <x:v>Specialist news</x:v>
      </x:c>
      <x:c r="G360" s="6" t="str">
        <x:v>Geothermal developments; commercial deployments, policy and industry news.</x:v>
      </x:c>
      <x:c r="H360" s="6" t="str">
        <x:v>https://www.utilitydive.com/news/record-setting-geothermal-bid-signals-rising-interest-in-federal-leases/827834/</x:v>
      </x:c>
      <x:c r="I360" s="16" t="d">
        <x:v>2026-04-30T12:00:00.000Z</x:v>
      </x:c>
      <x:c r="J360" s="6" t="str">
        <x:v>https://www.utilitydive.com/news/record-setting-geothermal-bid-signals-rising-interest-in-federal-leases/827834/</x:v>
      </x:c>
      <x:c r="K360" s="6" t="str">
        <x:v>Dated item visible in retrieved page/index: 2026-04-30. Search publication metadata: 2 months ago. </x:v>
      </x:c>
    </x:row>
    <x:row r="361" ht="15" hidden="0" customHeight="1">
      <x:c r="A361" s="12" t="n">
        <x:v>34</x:v>
      </x:c>
      <x:c r="B361" s="6" t="str">
        <x:v>Advanced geothermal</x:v>
      </x:c>
      <x:c r="C361" s="6" t="str">
        <x:v>Clean power</x:v>
      </x:c>
      <x:c r="D361" s="6" t="str">
        <x:v>POWER Magazine</x:v>
      </x:c>
      <x:c r="E361" s="6" t="str">
        <x:v>powermag.com</x:v>
      </x:c>
      <x:c r="F361" s="6" t="str">
        <x:v>Specialist news</x:v>
      </x:c>
      <x:c r="G361" s="6" t="str">
        <x:v>Geothermal developments; commercial deployments, policy and industry news.</x:v>
      </x:c>
      <x:c r="H361" s="6" t="str">
        <x:v>https://www.powermag.com/gel-brings-uks-first-deep-geothermal-plant-online/</x:v>
      </x:c>
      <x:c r="I361" s="16" t="d">
        <x:v>2026-02-26T12:00:00.000Z</x:v>
      </x:c>
      <x:c r="J361" s="6" t="str">
        <x:v>https://www.powermag.com/gel-brings-uks-first-deep-geothermal-plant-online/</x:v>
      </x:c>
      <x:c r="K361" s="6" t="str">
        <x:v>Dated item visible in retrieved page/index: 2026-02-26. Search publication metadata: 7 months ago. </x:v>
      </x:c>
    </x:row>
    <x:row r="362" ht="24" hidden="0" customHeight="1">
      <x:c r="A362" s="12" t="n">
        <x:v>34</x:v>
      </x:c>
      <x:c r="B362" s="6" t="str">
        <x:v>Advanced geothermal</x:v>
      </x:c>
      <x:c r="C362" s="6" t="str">
        <x:v>Clean power</x:v>
      </x:c>
      <x:c r="D362" s="6" t="str">
        <x:v>Factor This / Renewable Energy World</x:v>
      </x:c>
      <x:c r="E362" s="6" t="str">
        <x:v>renewableenergyworld.com</x:v>
      </x:c>
      <x:c r="F362" s="6" t="str">
        <x:v>Specialist news</x:v>
      </x:c>
      <x:c r="G362" s="6" t="str">
        <x:v>Geothermal developments; commercial deployments, policy and industry news.</x:v>
      </x:c>
      <x:c r="H362" s="6" t="str">
        <x:v>https://www.renewableenergyworld.com/energy-business/new-project-development/doe-targets-next-gen-geothermal-development-with-99m-for-field-scale-tests-exploration-drilling/?trk=public_post_comment-text</x:v>
      </x:c>
      <x:c r="I362" s="16" t="d">
        <x:v>2026-09-22T12:00:00.000Z</x:v>
      </x:c>
      <x:c r="J362" s="6" t="str">
        <x:v>https://www.renewableenergyworld.com/energy-business/new-project-development/doe-targets-next-gen-geothermal-development-with-99m-for-field-scale-tests-exploration-drilling/?trk=public_post_comment-text</x:v>
      </x:c>
      <x:c r="K362" s="6" t="str">
        <x:v>Dated item visible in retrieved page/index: 2026-09-22. Search publication metadata: 3 weeks ago. </x:v>
      </x:c>
    </x:row>
    <x:row r="363" ht="15" hidden="0" customHeight="1">
      <x:c r="A363" s="12" t="n">
        <x:v>34</x:v>
      </x:c>
      <x:c r="B363" s="6" t="str">
        <x:v>Advanced geothermal</x:v>
      </x:c>
      <x:c r="C363" s="6" t="str">
        <x:v>Clean power</x:v>
      </x:c>
      <x:c r="D363" s="6" t="str">
        <x:v>pv magazine</x:v>
      </x:c>
      <x:c r="E363" s="6" t="str">
        <x:v>pv-magazine.com</x:v>
      </x:c>
      <x:c r="F363" s="6" t="str">
        <x:v>Specialist news</x:v>
      </x:c>
      <x:c r="G363" s="6" t="str">
        <x:v>Geothermal developments; commercial deployments, policy and industry news.</x:v>
      </x:c>
      <x:c r="H363" s="6" t="str">
        <x:v>https://www.pv-magazine.com/2026/04/10/solar-pv-geothermal-hybrid-systems-are-more-than-niche-solutions/</x:v>
      </x:c>
      <x:c r="I363" s="16" t="d">
        <x:v>2026-04-10T12:00:00.000Z</x:v>
      </x:c>
      <x:c r="J363" s="6" t="str">
        <x:v>https://www.pv-magazine.com/2026/04/10/solar-pv-geothermal-hybrid-systems-are-more-than-niche-solutions/</x:v>
      </x:c>
      <x:c r="K363" s="6" t="str">
        <x:v>Dated article URL: 2026-04-10. Search publication metadata: 6 months ago. </x:v>
      </x:c>
    </x:row>
    <x:row r="364" ht="15" hidden="0" customHeight="1">
      <x:c r="A364" s="12" t="n">
        <x:v>34</x:v>
      </x:c>
      <x:c r="B364" s="6" t="str">
        <x:v>Advanced geothermal</x:v>
      </x:c>
      <x:c r="C364" s="6" t="str">
        <x:v>Clean power</x:v>
      </x:c>
      <x:c r="D364" s="6" t="str">
        <x:v>CleanTechnica</x:v>
      </x:c>
      <x:c r="E364" s="6" t="str">
        <x:v>cleantechnica.com</x:v>
      </x:c>
      <x:c r="F364" s="6" t="str">
        <x:v>Specialist news</x:v>
      </x:c>
      <x:c r="G364" s="6" t="str">
        <x:v>Geothermal developments; commercial deployments, policy and industry news.</x:v>
      </x:c>
      <x:c r="H364" s="6" t="str">
        <x:v>https://cleantechnica.com/2026/07/15/geothermal-energy-deep-hot-innovation-green-investing-us/</x:v>
      </x:c>
      <x:c r="I364" s="16" t="d">
        <x:v>2026-07-15T12:00:00.000Z</x:v>
      </x:c>
      <x:c r="J364" s="6" t="str">
        <x:v>https://cleantechnica.com/2026/07/15/geothermal-energy-deep-hot-innovation-green-investing-us/</x:v>
      </x:c>
      <x:c r="K364" s="6" t="str">
        <x:v>Dated article URL: 2026-07-15. Search publication metadata: 3 months ago. </x:v>
      </x:c>
    </x:row>
    <x:row r="365" ht="15" hidden="0" customHeight="1">
      <x:c r="A365" s="12" t="n">
        <x:v>34</x:v>
      </x:c>
      <x:c r="B365" s="6" t="str">
        <x:v>Advanced geothermal</x:v>
      </x:c>
      <x:c r="C365" s="6" t="str">
        <x:v>Clean power</x:v>
      </x:c>
      <x:c r="D365" s="6" t="str">
        <x:v>RenewEconomy</x:v>
      </x:c>
      <x:c r="E365" s="6" t="str">
        <x:v>reneweconomy.com.au</x:v>
      </x:c>
      <x:c r="F365" s="6" t="str">
        <x:v>Specialist news</x:v>
      </x:c>
      <x:c r="G365" s="6" t="str">
        <x:v>Geothermal developments; commercial deployments, policy and industry news.</x:v>
      </x:c>
      <x:c r="H365" s="6" t="str">
        <x:v>https://reneweconomy.com.au/geothermal-2-0-can-superhot-rocks-underground-help-to-power-australia/</x:v>
      </x:c>
      <x:c r="I365" s="16" t="d">
        <x:v>2026-05-25T12:00:00.000Z</x:v>
      </x:c>
      <x:c r="J365" s="6" t="str">
        <x:v>https://reneweconomy.com.au/geothermal-2-0-can-superhot-rocks-underground-help-to-power-australia/</x:v>
      </x:c>
      <x:c r="K365" s="6" t="str">
        <x:v>Dated item visible in retrieved page/index: 2026-05-25. Search publication metadata: 4 months ago. </x:v>
      </x:c>
    </x:row>
    <x:row r="366" ht="15" hidden="0" customHeight="1">
      <x:c r="A366" s="12" t="n">
        <x:v>34</x:v>
      </x:c>
      <x:c r="B366" s="6" t="str">
        <x:v>Advanced geothermal</x:v>
      </x:c>
      <x:c r="C366" s="6" t="str">
        <x:v>Clean power</x:v>
      </x:c>
      <x:c r="D366" s="6" t="str">
        <x:v>US Department of Energy</x:v>
      </x:c>
      <x:c r="E366" s="6" t="str">
        <x:v>energy.gov</x:v>
      </x:c>
      <x:c r="F366" s="6" t="str">
        <x:v>Research / association / public updates</x:v>
      </x:c>
      <x:c r="G366" s="6" t="str">
        <x:v>Geothermal developments; primary updates and research.</x:v>
      </x:c>
      <x:c r="H366" s="6" t="str">
        <x:v>https://stage.energy.gov/articles/energy-department-announces-99-million-21-projects-advance-us-geothermal-energy</x:v>
      </x:c>
      <x:c r="I366" s="16" t="d">
        <x:v>2026-09-21T12:00:00.000Z</x:v>
      </x:c>
      <x:c r="J366" s="6" t="str">
        <x:v>https://stage.energy.gov/articles/energy-department-announces-99-million-21-projects-advance-us-geothermal-energy</x:v>
      </x:c>
      <x:c r="K366" s="6" t="str">
        <x:v>Dated item visible in retrieved page/index: 2026-09-21. Search publication metadata: 3 weeks ago. </x:v>
      </x:c>
    </x:row>
    <x:row r="367" ht="24" hidden="0" customHeight="1">
      <x:c r="A367" s="12" t="n">
        <x:v>34</x:v>
      </x:c>
      <x:c r="B367" s="6" t="str">
        <x:v>Advanced geothermal</x:v>
      </x:c>
      <x:c r="C367" s="6" t="str">
        <x:v>Clean power</x:v>
      </x:c>
      <x:c r="D367" s="6" t="str">
        <x:v>Axios</x:v>
      </x:c>
      <x:c r="E367" s="6" t="str">
        <x:v>axios.com</x:v>
      </x:c>
      <x:c r="F367" s="6" t="str">
        <x:v>General news with a relevant recurring beat</x:v>
      </x:c>
      <x:c r="G367" s="6" t="str">
        <x:v>Geothermal developments; commercial deployments, policy and industry news.</x:v>
      </x:c>
      <x:c r="H367" s="6" t="str">
        <x:v>https://www.axios.com/pro/climate-deals/2026/07/09/hephae-funding-hot-rock-geothermal</x:v>
      </x:c>
      <x:c r="I367" s="16" t="d">
        <x:v>2026-07-09T12:00:00.000Z</x:v>
      </x:c>
      <x:c r="J367" s="6" t="str">
        <x:v>https://www.axios.com/pro/climate-deals/2026/07/09/hephae-funding-hot-rock-geothermal</x:v>
      </x:c>
      <x:c r="K367" s="6" t="str">
        <x:v>Dated article URL: 2026-07-09. Search publication metadata: 3 months ago. </x:v>
      </x:c>
    </x:row>
    <x:row r="368" ht="15" hidden="0" customHeight="1">
      <x:c r="A368" s="12" t="n">
        <x:v>34</x:v>
      </x:c>
      <x:c r="B368" s="6" t="str">
        <x:v>Advanced geothermal</x:v>
      </x:c>
      <x:c r="C368" s="6" t="str">
        <x:v>Clean power</x:v>
      </x:c>
      <x:c r="D368" s="6" t="str">
        <x:v>Geothermal Canada</x:v>
      </x:c>
      <x:c r="E368" s="6" t="str">
        <x:v>geothermalcanada.org</x:v>
      </x:c>
      <x:c r="F368" s="6" t="str">
        <x:v>Research / association / public updates</x:v>
      </x:c>
      <x:c r="G368" s="6" t="str">
        <x:v>Geothermal developments; primary updates and research.</x:v>
      </x:c>
      <x:c r="H368" s="6" t="str">
        <x:v>https://www.geothermalcanada.org/news/2026/6/12/canada-invests-in-its-first-national-geothermal-energy-roadmap</x:v>
      </x:c>
      <x:c r="I368" s="16" t="d">
        <x:v>2026-06-12T12:00:00.000Z</x:v>
      </x:c>
      <x:c r="J368" s="6" t="str">
        <x:v>https://www.geothermalcanada.org/news/2026/6/12/canada-invests-in-its-first-national-geothermal-energy-roadmap</x:v>
      </x:c>
      <x:c r="K368" s="6" t="str">
        <x:v>Dated article URL: 2026-06-12. Search publication metadata: 4 months ago. </x:v>
      </x:c>
    </x:row>
    <x:row r="369" ht="15" hidden="0" customHeight="1">
      <x:c r="A369" s="12" t="n">
        <x:v>35</x:v>
      </x:c>
      <x:c r="B369" s="6" t="str">
        <x:v>Small modular nuclear reactors</x:v>
      </x:c>
      <x:c r="C369" s="6" t="str">
        <x:v>Clean power</x:v>
      </x:c>
      <x:c r="D369" s="6" t="str">
        <x:v>World Nuclear News</x:v>
      </x:c>
      <x:c r="E369" s="6" t="str">
        <x:v>world-nuclear-news.org</x:v>
      </x:c>
      <x:c r="F369" s="6" t="str">
        <x:v>Specialist news</x:v>
      </x:c>
      <x:c r="G369" s="6" t="str">
        <x:v>Small modular reactor developments; commercial deployments, policy and industry news.</x:v>
      </x:c>
      <x:c r="H369" s="6" t="str">
        <x:v>https://www.world-nuclear-news.org/articles/opg-applies-for-operating-licence-for-bwrx-300-smr%20</x:v>
      </x:c>
      <x:c r="I369" s="16" t="d">
        <x:v>2026-04-02T12:00:00.000Z</x:v>
      </x:c>
      <x:c r="J369" s="6" t="str">
        <x:v>https://www.world-nuclear-news.org/articles/opg-applies-for-operating-licence-for-bwrx-300-smr%20</x:v>
      </x:c>
      <x:c r="K369" s="6" t="str">
        <x:v>Dated item visible in retrieved page/index: 2026-04-02. Search publication metadata: 6 months ago. </x:v>
      </x:c>
    </x:row>
    <x:row r="370" ht="15" hidden="0" customHeight="1">
      <x:c r="A370" s="12" t="n">
        <x:v>35</x:v>
      </x:c>
      <x:c r="B370" s="6" t="str">
        <x:v>Small modular nuclear reactors</x:v>
      </x:c>
      <x:c r="C370" s="6" t="str">
        <x:v>Clean power</x:v>
      </x:c>
      <x:c r="D370" s="6" t="str">
        <x:v>NucNet</x:v>
      </x:c>
      <x:c r="E370" s="6" t="str">
        <x:v>nucnet.org</x:v>
      </x:c>
      <x:c r="F370" s="6" t="str">
        <x:v>Specialist news</x:v>
      </x:c>
      <x:c r="G370" s="6" t="str">
        <x:v>Small modular reactor developments; commercial deployments, policy and industry news.</x:v>
      </x:c>
      <x:c r="H370" s="6" t="str">
        <x:v>https://smr.nucnet.org/?designStatuses%5B%5D=acae359d-1b60-4687-97fa-f45c82e5577c&amp;page=3</x:v>
      </x:c>
      <x:c r="I370" s="16" t="d">
        <x:v>2026-07-10T12:00:00.000Z</x:v>
      </x:c>
      <x:c r="J370" s="6" t="str">
        <x:v>https://smr.nucnet.org/?designStatuses%5B%5D=acae359d-1b60-4687-97fa-f45c82e5577c&amp;page=3</x:v>
      </x:c>
      <x:c r="K370" s="6" t="str">
        <x:v>Dated item visible in retrieved page/index: 2026-07-10. </x:v>
      </x:c>
    </x:row>
    <x:row r="371" ht="15" hidden="0" customHeight="1">
      <x:c r="A371" s="12" t="n">
        <x:v>35</x:v>
      </x:c>
      <x:c r="B371" s="6" t="str">
        <x:v>Small modular nuclear reactors</x:v>
      </x:c>
      <x:c r="C371" s="6" t="str">
        <x:v>Clean power</x:v>
      </x:c>
      <x:c r="D371" s="6" t="str">
        <x:v>ANS Nuclear Newswire</x:v>
      </x:c>
      <x:c r="E371" s="6" t="str">
        <x:v>ans.org</x:v>
      </x:c>
      <x:c r="F371" s="6" t="str">
        <x:v>Research / association / public updates</x:v>
      </x:c>
      <x:c r="G371" s="6" t="str">
        <x:v>Small modular reactor developments; primary updates and research.</x:v>
      </x:c>
      <x:c r="H371" s="6" t="str">
        <x:v>https://www.ans.org/news/step-1778068872/</x:v>
      </x:c>
      <x:c r="I371" s="16" t="d">
        <x:v>2026-05-05T12:00:00.000Z</x:v>
      </x:c>
      <x:c r="J371" s="6" t="str">
        <x:v>https://www.ans.org/news/step-1778068872/</x:v>
      </x:c>
      <x:c r="K371" s="6" t="str">
        <x:v>Dated item visible in retrieved page/index: 2026-05-05. </x:v>
      </x:c>
    </x:row>
    <x:row r="372" ht="15" hidden="0" customHeight="1">
      <x:c r="A372" s="12" t="n">
        <x:v>35</x:v>
      </x:c>
      <x:c r="B372" s="6" t="str">
        <x:v>Small modular nuclear reactors</x:v>
      </x:c>
      <x:c r="C372" s="6" t="str">
        <x:v>Clean power</x:v>
      </x:c>
      <x:c r="D372" s="6" t="str">
        <x:v>POWER Magazine</x:v>
      </x:c>
      <x:c r="E372" s="6" t="str">
        <x:v>powermag.com</x:v>
      </x:c>
      <x:c r="F372" s="6" t="str">
        <x:v>Specialist news</x:v>
      </x:c>
      <x:c r="G372" s="6" t="str">
        <x:v>Small modular reactor developments; commercial deployments, policy and industry news.</x:v>
      </x:c>
      <x:c r="H372" s="6" t="str">
        <x:v>https://www.powermag.com/holtec-targets-2036-for-1-36-gw-smr-300-project-at-oyster-creek/</x:v>
      </x:c>
      <x:c r="I372" s="16" t="d">
        <x:v>2026-04-08T12:00:00.000Z</x:v>
      </x:c>
      <x:c r="J372" s="6" t="str">
        <x:v>https://www.powermag.com/holtec-targets-2036-for-1-36-gw-smr-300-project-at-oyster-creek/</x:v>
      </x:c>
      <x:c r="K372" s="6" t="str">
        <x:v>Dated item visible in retrieved page/index: 2026-04-08. Search publication metadata: 2 months ago. </x:v>
      </x:c>
    </x:row>
    <x:row r="373" ht="15" hidden="0" customHeight="1">
      <x:c r="A373" s="12" t="n">
        <x:v>35</x:v>
      </x:c>
      <x:c r="B373" s="6" t="str">
        <x:v>Small modular nuclear reactors</x:v>
      </x:c>
      <x:c r="C373" s="6" t="str">
        <x:v>Clean power</x:v>
      </x:c>
      <x:c r="D373" s="6" t="str">
        <x:v>Utility Dive</x:v>
      </x:c>
      <x:c r="E373" s="6" t="str">
        <x:v>utilitydive.com</x:v>
      </x:c>
      <x:c r="F373" s="6" t="str">
        <x:v>Specialist news</x:v>
      </x:c>
      <x:c r="G373" s="6" t="str">
        <x:v>Small modular reactor developments; commercial deployments, policy and industry news.</x:v>
      </x:c>
      <x:c r="H373" s="6" t="str">
        <x:v>https://www.utilitydive.com/news/utilities-eye-small-modular-nuclear-reactors-for-reliability-as-hyperscaler/829681/</x:v>
      </x:c>
      <x:c r="I373" s="16" t="d">
        <x:v>2026-06-24T12:00:00.000Z</x:v>
      </x:c>
      <x:c r="J373" s="6" t="str">
        <x:v>https://www.utilitydive.com/news/utilities-eye-small-modular-nuclear-reactors-for-reliability-as-hyperscaler/829681/</x:v>
      </x:c>
      <x:c r="K373" s="6" t="str">
        <x:v>Dated item visible in retrieved page/index: 2026-06-24. Search publication metadata: last month. </x:v>
      </x:c>
    </x:row>
    <x:row r="374" ht="15" hidden="0" customHeight="1">
      <x:c r="A374" s="12" t="n">
        <x:v>35</x:v>
      </x:c>
      <x:c r="B374" s="6" t="str">
        <x:v>Small modular nuclear reactors</x:v>
      </x:c>
      <x:c r="C374" s="6" t="str">
        <x:v>Clean power</x:v>
      </x:c>
      <x:c r="D374" s="6" t="str">
        <x:v>Nuclear Engineering International</x:v>
      </x:c>
      <x:c r="E374" s="6" t="str">
        <x:v>neimagazine.com</x:v>
      </x:c>
      <x:c r="F374" s="6" t="str">
        <x:v>Specialist news</x:v>
      </x:c>
      <x:c r="G374" s="6" t="str">
        <x:v>Small modular reactor developments; commercial deployments, policy and industry news.</x:v>
      </x:c>
      <x:c r="H374" s="6" t="str">
        <x:v>https://www.neimagazine.com/news/south-korea-plans-reactor-new-build/</x:v>
      </x:c>
      <x:c r="I374" s="16" t="d">
        <x:v>2026-02-04T12:00:00.000Z</x:v>
      </x:c>
      <x:c r="J374" s="6" t="str">
        <x:v>https://www.neimagazine.com/news/south-korea-plans-reactor-new-build/</x:v>
      </x:c>
      <x:c r="K374" s="6" t="str">
        <x:v>Dated item visible in retrieved page/index: 2026-02-04. Search publication metadata: 8 months ago. </x:v>
      </x:c>
    </x:row>
    <x:row r="375" ht="15" hidden="0" customHeight="1">
      <x:c r="A375" s="12" t="n">
        <x:v>35</x:v>
      </x:c>
      <x:c r="B375" s="6" t="str">
        <x:v>Small modular nuclear reactors</x:v>
      </x:c>
      <x:c r="C375" s="6" t="str">
        <x:v>Clean power</x:v>
      </x:c>
      <x:c r="D375" s="6" t="str">
        <x:v>World Nuclear Association</x:v>
      </x:c>
      <x:c r="E375" s="6" t="str">
        <x:v>world-nuclear.org</x:v>
      </x:c>
      <x:c r="F375" s="6" t="str">
        <x:v>Research / association / public updates</x:v>
      </x:c>
      <x:c r="G375" s="6" t="str">
        <x:v>Small modular reactor developments; primary updates and research.</x:v>
      </x:c>
      <x:c r="H375" s="6" t="str">
        <x:v>https://world-nuclear.org/information-library/nuclear-power-reactors/small-modular-reactors/small-modular-reactors</x:v>
      </x:c>
      <x:c r="I375" s="16" t="d">
        <x:v>2026-10-01T12:00:00.000Z</x:v>
      </x:c>
      <x:c r="J375" s="6" t="str">
        <x:v>https://world-nuclear.org/information-library/nuclear-power-reactors/small-modular-reactors/small-modular-reactors</x:v>
      </x:c>
      <x:c r="K375" s="6" t="str">
        <x:v>Dated item visible in retrieved page/index: 2026-10-01. </x:v>
      </x:c>
    </x:row>
    <x:row r="376" ht="24" hidden="0" customHeight="1">
      <x:c r="A376" s="12" t="n">
        <x:v>35</x:v>
      </x:c>
      <x:c r="B376" s="6" t="str">
        <x:v>Small modular nuclear reactors</x:v>
      </x:c>
      <x:c r="C376" s="6" t="str">
        <x:v>Clean power</x:v>
      </x:c>
      <x:c r="D376" s="6" t="str">
        <x:v>Reuters</x:v>
      </x:c>
      <x:c r="E376" s="6" t="str">
        <x:v>reuters.com</x:v>
      </x:c>
      <x:c r="F376" s="6" t="str">
        <x:v>General news with a relevant recurring beat</x:v>
      </x:c>
      <x:c r="G376" s="6" t="str">
        <x:v>Small modular reactor developments; commercial deployments, policy and industry news.</x:v>
      </x:c>
      <x:c r="H376" s="6" t="str">
        <x:v>https://www.reuters.com/business/energy/us-nrc-approves-construction-nations-first-small-modular-nuclear-reactor-2026-09-29/</x:v>
      </x:c>
      <x:c r="I376" s="16" t="d">
        <x:v>2026-09-29T12:00:00.000Z</x:v>
      </x:c>
      <x:c r="J376" s="6" t="str">
        <x:v>https://www.reuters.com/business/energy/us-nrc-approves-construction-nations-first-small-modular-nuclear-reactor-2026-09-29/</x:v>
      </x:c>
      <x:c r="K376" s="6" t="str">
        <x:v>Dated Reuters search result reported NRC construction approval on 29 September 2026; full article retrieval was unavailable.</x:v>
      </x:c>
    </x:row>
    <x:row r="377" ht="15" hidden="0" customHeight="1">
      <x:c r="A377" s="12" t="n">
        <x:v>35</x:v>
      </x:c>
      <x:c r="B377" s="6" t="str">
        <x:v>Small modular nuclear reactors</x:v>
      </x:c>
      <x:c r="C377" s="6" t="str">
        <x:v>Clean power</x:v>
      </x:c>
      <x:c r="D377" s="6" t="str">
        <x:v>OECD NEA SMR Dashboard</x:v>
      </x:c>
      <x:c r="E377" s="6" t="str">
        <x:v>oecd-nea.org</x:v>
      </x:c>
      <x:c r="F377" s="6" t="str">
        <x:v>Research / association / public updates</x:v>
      </x:c>
      <x:c r="G377" s="6" t="str">
        <x:v>Repeated SMR readiness and deployment updates, including licensing, financing, fuel and construction.</x:v>
      </x:c>
      <x:c r="H377" s="6" t="str">
        <x:v>https://oecd-nea.org/jcms/pl_122015/release-of-the-nea-small-modular-reactor-digital-dashboard-fourth-edition</x:v>
      </x:c>
      <x:c r="I377" s="16" t="d">
        <x:v>2026-09-28T12:00:00.000Z</x:v>
      </x:c>
      <x:c r="J377" s="6" t="str">
        <x:v>https://oecd-nea.org/jcms/pl_122015/release-of-the-nea-small-modular-reactor-digital-dashboard-fourth-edition</x:v>
      </x:c>
      <x:c r="K377" s="6" t="str">
        <x:v>Edition 4.0 released on 28 September 2026; periodic primary research rather than daily journalism.</x:v>
      </x:c>
    </x:row>
    <x:row r="378" ht="15" hidden="0" customHeight="1">
      <x:c r="A378" s="12" t="n">
        <x:v>35</x:v>
      </x:c>
      <x:c r="B378" s="6" t="str">
        <x:v>Small modular nuclear reactors</x:v>
      </x:c>
      <x:c r="C378" s="6" t="str">
        <x:v>Clean power</x:v>
      </x:c>
      <x:c r="D378" s="6" t="str">
        <x:v>US Nuclear Regulatory Commission</x:v>
      </x:c>
      <x:c r="E378" s="6" t="str">
        <x:v>nrc.gov</x:v>
      </x:c>
      <x:c r="F378" s="6" t="str">
        <x:v>Regulator news / primary updates</x:v>
      </x:c>
      <x:c r="G378" s="6" t="str">
        <x:v>Reactor licensing, construction approvals and nuclear regulatory developments, including SMRs.</x:v>
      </x:c>
      <x:c r="H378" s="6" t="str">
        <x:v>https://www.nrc.gov/sites/default/files/cdn/doc-collection-news/2026/26-079_0.pdf</x:v>
      </x:c>
      <x:c r="I378" s="16" t="d">
        <x:v>2026-09-29T12:00:00.000Z</x:v>
      </x:c>
      <x:c r="J378" s="6" t="str">
        <x:v>https://www.nrc.gov/sites/default/files/cdn/doc-collection-news/2026/26-079_0.pdf</x:v>
      </x:c>
      <x:c r="K378" s="6" t="str">
        <x:v>NRC release 26-079 is dated 29 September 2026 in the retrieved official PDF result.</x:v>
      </x:c>
    </x:row>
    <x:row r="379" ht="15" hidden="0" customHeight="1">
      <x:c r="A379" s="12" t="n">
        <x:v>36</x:v>
      </x:c>
      <x:c r="B379" s="6" t="str">
        <x:v>High-temperature and industrial heat pumps</x:v>
      </x:c>
      <x:c r="C379" s="6" t="str">
        <x:v>Electrification</x:v>
      </x:c>
      <x:c r="D379" s="6" t="str">
        <x:v>Cooling Post</x:v>
      </x:c>
      <x:c r="E379" s="6" t="str">
        <x:v>coolingpost.com</x:v>
      </x:c>
      <x:c r="F379" s="6" t="str">
        <x:v>Specialist news</x:v>
      </x:c>
      <x:c r="G379" s="6" t="str">
        <x:v>Industrial heat pump developments; commercial deployments, policy and industry news.</x:v>
      </x:c>
      <x:c r="H379" s="6" t="str">
        <x:v>https://www.coolingpost.com/products/high-temperature-hydrocarbon-heat-pumps/</x:v>
      </x:c>
      <x:c r="I379" s="16" t="d">
        <x:v>2026-09-15T12:00:00.000Z</x:v>
      </x:c>
      <x:c r="J379" s="6" t="str">
        <x:v>https://www.coolingpost.com/products/high-temperature-hydrocarbon-heat-pumps/</x:v>
      </x:c>
      <x:c r="K379" s="6" t="str">
        <x:v>Publication date directly observed on the retrieved page: 2026-09-15.</x:v>
      </x:c>
    </x:row>
    <x:row r="380" ht="15" hidden="0" customHeight="1">
      <x:c r="A380" s="12" t="n">
        <x:v>36</x:v>
      </x:c>
      <x:c r="B380" s="6" t="str">
        <x:v>High-temperature and industrial heat pumps</x:v>
      </x:c>
      <x:c r="C380" s="6" t="str">
        <x:v>Electrification</x:v>
      </x:c>
      <x:c r="D380" s="6" t="str">
        <x:v>ACHR News</x:v>
      </x:c>
      <x:c r="E380" s="6" t="str">
        <x:v>achrnews.com</x:v>
      </x:c>
      <x:c r="F380" s="6" t="str">
        <x:v>Specialist news</x:v>
      </x:c>
      <x:c r="G380" s="6" t="str">
        <x:v>Industrial heat pump developments; commercial deployments, policy and industry news.</x:v>
      </x:c>
      <x:c r="H380" s="6" t="str">
        <x:v>https://digital.achrnews.com/articles/report-shows-heat-pumps-viable-in-commercial-and-industrial-markets</x:v>
      </x:c>
      <x:c r="I380" s="16" t="d">
        <x:v>2026-05-18T12:00:00.000Z</x:v>
      </x:c>
      <x:c r="J380" s="6" t="str">
        <x:v>https://digital.achrnews.com/articles/report-shows-heat-pumps-viable-in-commercial-and-industrial-markets</x:v>
      </x:c>
      <x:c r="K380" s="6" t="str">
        <x:v>Dated item visible in retrieved page/index: 2026-05-18. Search publication metadata: 5 months ago. </x:v>
      </x:c>
    </x:row>
    <x:row r="381" ht="15" hidden="0" customHeight="1">
      <x:c r="A381" s="12" t="n">
        <x:v>36</x:v>
      </x:c>
      <x:c r="B381" s="6" t="str">
        <x:v>High-temperature and industrial heat pumps</x:v>
      </x:c>
      <x:c r="C381" s="6" t="str">
        <x:v>Electrification</x:v>
      </x:c>
      <x:c r="D381" s="6" t="str">
        <x:v>IEA Heat Pumping Technologies TCP</x:v>
      </x:c>
      <x:c r="E381" s="6" t="str">
        <x:v>heatpumpingtechnologies.org</x:v>
      </x:c>
      <x:c r="F381" s="6" t="str">
        <x:v>Research / association / public updates</x:v>
      </x:c>
      <x:c r="G381" s="6" t="str">
        <x:v>Industrial heat pump developments; primary updates and research.</x:v>
      </x:c>
      <x:c r="H381" s="6" t="str">
        <x:v>https://heatpumpingtechnologies.org/publications/modularisation-and-upscaling-of-high-temperature-heat-pumpsfor-industrial-applications/</x:v>
      </x:c>
      <x:c r="I381" s="16" t="d">
        <x:v>2026-05-26T12:00:00.000Z</x:v>
      </x:c>
      <x:c r="J381" s="6" t="str">
        <x:v>https://heatpumpingtechnologies.org/publications/modularisation-and-upscaling-of-high-temperature-heat-pumpsfor-industrial-applications/</x:v>
      </x:c>
      <x:c r="K381" s="6" t="str">
        <x:v>Dated item visible in retrieved page/index: 2026-05-26. Search publication metadata: 4 months ago. </x:v>
      </x:c>
    </x:row>
    <x:row r="382" ht="15" hidden="0" customHeight="1">
      <x:c r="A382" s="12" t="n">
        <x:v>36</x:v>
      </x:c>
      <x:c r="B382" s="6" t="str">
        <x:v>High-temperature and industrial heat pumps</x:v>
      </x:c>
      <x:c r="C382" s="6" t="str">
        <x:v>Electrification</x:v>
      </x:c>
      <x:c r="D382" s="6" t="str">
        <x:v>European Heat Pump Association</x:v>
      </x:c>
      <x:c r="E382" s="6" t="str">
        <x:v>ehpa.org</x:v>
      </x:c>
      <x:c r="F382" s="6" t="str">
        <x:v>Research / association / public updates</x:v>
      </x:c>
      <x:c r="G382" s="6" t="str">
        <x:v>Industrial heat pump developments; primary updates and research.</x:v>
      </x:c>
      <x:c r="H382" s="6" t="str">
        <x:v>https://ehpa.org/industrial-heat-pumps/</x:v>
      </x:c>
      <x:c r="I382" s="16" t="d">
        <x:v>2026-05-22T12:00:00.000Z</x:v>
      </x:c>
      <x:c r="J382" s="6" t="str">
        <x:v>https://ehpa.org/industrial-heat-pumps/</x:v>
      </x:c>
      <x:c r="K382" s="6" t="str">
        <x:v>Dated item visible in retrieved page/index: 2026-05-22. </x:v>
      </x:c>
    </x:row>
    <x:row r="383" ht="15" hidden="0" customHeight="1">
      <x:c r="A383" s="12" t="n">
        <x:v>36</x:v>
      </x:c>
      <x:c r="B383" s="6" t="str">
        <x:v>High-temperature and industrial heat pumps</x:v>
      </x:c>
      <x:c r="C383" s="6" t="str">
        <x:v>Electrification</x:v>
      </x:c>
      <x:c r="D383" s="6" t="str">
        <x:v>pv magazine</x:v>
      </x:c>
      <x:c r="E383" s="6" t="str">
        <x:v>pv-magazine.com</x:v>
      </x:c>
      <x:c r="F383" s="6" t="str">
        <x:v>Specialist news</x:v>
      </x:c>
      <x:c r="G383" s="6" t="str">
        <x:v>Industrial heat pump developments; commercial deployments, policy and industry news.</x:v>
      </x:c>
      <x:c r="H383" s="6" t="str">
        <x:v>https://www.pv-magazine.com/2026/09/03/skyven-technologies-industrial-heat-pump-achieves-cop-of-8-0/</x:v>
      </x:c>
      <x:c r="I383" s="16" t="d">
        <x:v>2026-09-03T12:00:00.000Z</x:v>
      </x:c>
      <x:c r="J383" s="6" t="str">
        <x:v>https://www.pv-magazine.com/2026/09/03/skyven-technologies-industrial-heat-pump-achieves-cop-of-8-0/</x:v>
      </x:c>
      <x:c r="K383" s="6" t="str">
        <x:v>Dated article URL: 2026-09-03. Search publication metadata: last month. </x:v>
      </x:c>
    </x:row>
    <x:row r="384" ht="15" hidden="0" customHeight="1">
      <x:c r="A384" s="12" t="n">
        <x:v>36</x:v>
      </x:c>
      <x:c r="B384" s="6" t="str">
        <x:v>High-temperature and industrial heat pumps</x:v>
      </x:c>
      <x:c r="C384" s="6" t="str">
        <x:v>Electrification</x:v>
      </x:c>
      <x:c r="D384" s="6" t="str">
        <x:v>RenewEconomy</x:v>
      </x:c>
      <x:c r="E384" s="6" t="str">
        <x:v>reneweconomy.com.au</x:v>
      </x:c>
      <x:c r="F384" s="6" t="str">
        <x:v>Specialist news</x:v>
      </x:c>
      <x:c r="G384" s="6" t="str">
        <x:v>Industrial heat pump developments; commercial deployments, policy and industry news.</x:v>
      </x:c>
      <x:c r="H384" s="6" t="str">
        <x:v>https://reneweconomy.com.au/the-hidden-transition-businesses-are-quietly-dumping-gas-for-electric-in-big-shift-to-industrial-heat-pumps/</x:v>
      </x:c>
      <x:c r="I384" s="16" t="d">
        <x:v>2026-10-15T12:00:00.000Z</x:v>
      </x:c>
      <x:c r="J384" s="6" t="str">
        <x:v>https://reneweconomy.com.au/the-hidden-transition-businesses-are-quietly-dumping-gas-for-electric-in-big-shift-to-industrial-heat-pumps/</x:v>
      </x:c>
      <x:c r="K384" s="6" t="str">
        <x:v>Dated item visible in retrieved page/index: 2026-10-15. Search publication metadata: 2 days ago. </x:v>
      </x:c>
    </x:row>
    <x:row r="385" ht="15" hidden="0" customHeight="1">
      <x:c r="A385" s="12" t="n">
        <x:v>36</x:v>
      </x:c>
      <x:c r="B385" s="6" t="str">
        <x:v>High-temperature and industrial heat pumps</x:v>
      </x:c>
      <x:c r="C385" s="6" t="str">
        <x:v>Electrification</x:v>
      </x:c>
      <x:c r="D385" s="6" t="str">
        <x:v>Energy Live News</x:v>
      </x:c>
      <x:c r="E385" s="6" t="str">
        <x:v>energylivenews.com</x:v>
      </x:c>
      <x:c r="F385" s="6" t="str">
        <x:v>Specialist news</x:v>
      </x:c>
      <x:c r="G385" s="6" t="str">
        <x:v>Industrial heat pump developments; commercial deployments, policy and industry news.</x:v>
      </x:c>
      <x:c r="H385" s="6" t="str">
        <x:v>https://www.energylivenews.com/2026/09/23/can-heat-pumps-help-industry-decarbonise/</x:v>
      </x:c>
      <x:c r="I385" s="16" t="d">
        <x:v>2026-09-23T12:00:00.000Z</x:v>
      </x:c>
      <x:c r="J385" s="6" t="str">
        <x:v>https://www.energylivenews.com/2026/09/23/can-heat-pumps-help-industry-decarbonise/</x:v>
      </x:c>
      <x:c r="K385" s="6" t="str">
        <x:v>Dated article URL: 2026-09-23. Search publication metadata: 3 weeks ago. </x:v>
      </x:c>
    </x:row>
    <x:row r="386" ht="15" hidden="0" customHeight="1">
      <x:c r="A386" s="12" t="n">
        <x:v>36</x:v>
      </x:c>
      <x:c r="B386" s="6" t="str">
        <x:v>High-temperature and industrial heat pumps</x:v>
      </x:c>
      <x:c r="C386" s="6" t="str">
        <x:v>Electrification</x:v>
      </x:c>
      <x:c r="D386" s="6" t="str">
        <x:v>Natural Refrigerants</x:v>
      </x:c>
      <x:c r="E386" s="6" t="str">
        <x:v>naturalrefrigerants.com</x:v>
      </x:c>
      <x:c r="F386" s="6" t="str">
        <x:v>Specialist news</x:v>
      </x:c>
      <x:c r="G386" s="6" t="str">
        <x:v>Industrial heat pump developments; commercial deployments, policy and industry news.</x:v>
      </x:c>
      <x:c r="H386" s="6" t="str">
        <x:v>https://naturalrefrigerants.com/news/chillventa-2026-natural-refrigerant-industrial-heat-pumps-a-focus-of-2026-chillventa-congr/</x:v>
      </x:c>
      <x:c r="I386" s="16" t="d">
        <x:v>2026-10-13T12:00:00.000Z</x:v>
      </x:c>
      <x:c r="J386" s="6" t="str">
        <x:v>https://naturalrefrigerants.com/news/chillventa-2026-natural-refrigerant-industrial-heat-pumps-a-focus-of-2026-chillventa-congr/</x:v>
      </x:c>
      <x:c r="K386" s="6" t="str">
        <x:v>Publication date directly observed on the retrieved page: 2026-10-13.</x:v>
      </x:c>
    </x:row>
    <x:row r="387" ht="15" hidden="0" customHeight="1">
      <x:c r="A387" s="12" t="n">
        <x:v>36</x:v>
      </x:c>
      <x:c r="B387" s="6" t="str">
        <x:v>High-temperature and industrial heat pumps</x:v>
      </x:c>
      <x:c r="C387" s="6" t="str">
        <x:v>Electrification</x:v>
      </x:c>
      <x:c r="D387" s="6" t="str">
        <x:v>chemengonline.com</x:v>
      </x:c>
      <x:c r="E387" s="6" t="str">
        <x:v>chemengonline.com</x:v>
      </x:c>
      <x:c r="F387" s="6" t="str">
        <x:v>Specialist news</x:v>
      </x:c>
      <x:c r="G387" s="6" t="str">
        <x:v>Industrial heat pump developments; commercial deployments, policy and industry news.</x:v>
      </x:c>
      <x:c r="H387" s="6" t="str">
        <x:v>https://www.chemengonline.com/industrial-heat-pumps-for-waste-heat-upgrading/</x:v>
      </x:c>
      <x:c r="I387" s="16" t="d">
        <x:v>2026-10-01T12:00:00.000Z</x:v>
      </x:c>
      <x:c r="J387" s="6" t="str">
        <x:v>https://www.chemengonline.com/industrial-heat-pumps-for-waste-heat-upgrading/</x:v>
      </x:c>
      <x:c r="K387" s="6" t="str">
        <x:v>Dated item visible in retrieved page/index: 2026-10-01. Search publication metadata: 2 weeks ago. </x:v>
      </x:c>
    </x:row>
    <x:row r="388" ht="15" hidden="0" customHeight="1">
      <x:c r="A388" s="12" t="n">
        <x:v>36</x:v>
      </x:c>
      <x:c r="B388" s="6" t="str">
        <x:v>High-temperature and industrial heat pumps</x:v>
      </x:c>
      <x:c r="C388" s="6" t="str">
        <x:v>Electrification</x:v>
      </x:c>
      <x:c r="D388" s="6" t="str">
        <x:v>heat-exchanger-world.com</x:v>
      </x:c>
      <x:c r="E388" s="6" t="str">
        <x:v>heat-exchanger-world.com</x:v>
      </x:c>
      <x:c r="F388" s="6" t="str">
        <x:v>Specialist news</x:v>
      </x:c>
      <x:c r="G388" s="6" t="str">
        <x:v>Industrial heat pump developments; commercial deployments, policy and industry news.</x:v>
      </x:c>
      <x:c r="H388" s="6" t="str">
        <x:v>https://heat-exchanger-world.com/uniper-evonik-commission-innovative-heat-pump-in-ruhr/</x:v>
      </x:c>
      <x:c r="I388" s="16" t="d">
        <x:v>2026-04-17T12:00:00.000Z</x:v>
      </x:c>
      <x:c r="J388" s="6" t="str">
        <x:v>https://heat-exchanger-world.com/uniper-evonik-commission-innovative-heat-pump-in-ruhr/</x:v>
      </x:c>
      <x:c r="K388" s="6" t="str">
        <x:v>Dated item visible in retrieved page/index: 2026-04-17. Search publication metadata: 6 months ago. </x:v>
      </x:c>
    </x:row>
    <x:row r="389" ht="15" hidden="0" customHeight="1">
      <x:c r="A389" s="12" t="n">
        <x:v>37</x:v>
      </x:c>
      <x:c r="B389" s="6" t="str">
        <x:v>Virtual power plants and demand flexibility</x:v>
      </x:c>
      <x:c r="C389" s="6" t="str">
        <x:v>Electrification</x:v>
      </x:c>
      <x:c r="D389" s="6" t="str">
        <x:v>Utility Dive</x:v>
      </x:c>
      <x:c r="E389" s="6" t="str">
        <x:v>utilitydive.com</x:v>
      </x:c>
      <x:c r="F389" s="6" t="str">
        <x:v>Specialist news</x:v>
      </x:c>
      <x:c r="G389" s="6" t="str">
        <x:v>Virtual power plant developments; commercial deployments, policy and industry news.</x:v>
      </x:c>
      <x:c r="H389" s="6" t="str">
        <x:v>https://www.utilitydive.com/news/in-2026-virtual-power-plants-must-scale-or-risk-being-left-behind/810321/</x:v>
      </x:c>
      <x:c r="I389" s="16" t="d">
        <x:v>2026-01-27T12:00:00.000Z</x:v>
      </x:c>
      <x:c r="J389" s="6" t="str">
        <x:v>https://www.utilitydive.com/news/in-2026-virtual-power-plants-must-scale-or-risk-being-left-behind/810321/</x:v>
      </x:c>
      <x:c r="K389" s="6" t="str">
        <x:v>Dated item visible in retrieved page/index: 2026-01-27. Search publication metadata: 8 months ago. </x:v>
      </x:c>
    </x:row>
    <x:row r="390" ht="15" hidden="0" customHeight="1">
      <x:c r="A390" s="12" t="n">
        <x:v>37</x:v>
      </x:c>
      <x:c r="B390" s="6" t="str">
        <x:v>Virtual power plants and demand flexibility</x:v>
      </x:c>
      <x:c r="C390" s="6" t="str">
        <x:v>Electrification</x:v>
      </x:c>
      <x:c r="D390" s="6" t="str">
        <x:v>Canary Media</x:v>
      </x:c>
      <x:c r="E390" s="6" t="str">
        <x:v>canarymedia.com</x:v>
      </x:c>
      <x:c r="F390" s="6" t="str">
        <x:v>Specialist news</x:v>
      </x:c>
      <x:c r="G390" s="6" t="str">
        <x:v>Virtual power plant developments; commercial deployments, policy and industry news.</x:v>
      </x:c>
      <x:c r="H390" s="6" t="str">
        <x:v>https://www.canarymedia.com/articles/virtual-power-plants</x:v>
      </x:c>
      <x:c r="I390" s="16" t="d">
        <x:v>2026-06-24T12:00:00.000Z</x:v>
      </x:c>
      <x:c r="J390" s="6" t="str">
        <x:v>https://www.canarymedia.com/articles/virtual-power-plants</x:v>
      </x:c>
      <x:c r="K390" s="6" t="str">
        <x:v>Dated item visible in retrieved page/index: 2026-06-24. </x:v>
      </x:c>
    </x:row>
    <x:row r="391" ht="15" hidden="0" customHeight="1">
      <x:c r="A391" s="12" t="n">
        <x:v>37</x:v>
      </x:c>
      <x:c r="B391" s="6" t="str">
        <x:v>Virtual power plants and demand flexibility</x:v>
      </x:c>
      <x:c r="C391" s="6" t="str">
        <x:v>Electrification</x:v>
      </x:c>
      <x:c r="D391" s="6" t="str">
        <x:v>Energy-Storage.news</x:v>
      </x:c>
      <x:c r="E391" s="6" t="str">
        <x:v>energy-storage.news</x:v>
      </x:c>
      <x:c r="F391" s="6" t="str">
        <x:v>Specialist news</x:v>
      </x:c>
      <x:c r="G391" s="6" t="str">
        <x:v>Virtual power plant developments; commercial deployments, policy and industry news.</x:v>
      </x:c>
      <x:c r="H391" s="6" t="str">
        <x:v>https://www.energy-storage.news/google-tesla-sunrun-and-pge-partner-on-new-california-virtual-power-plant-programme/</x:v>
      </x:c>
      <x:c r="I391" s="16" t="d">
        <x:v>2026-09-07T12:00:00.000Z</x:v>
      </x:c>
      <x:c r="J391" s="6" t="str">
        <x:v>https://www.energy-storage.news/google-tesla-sunrun-and-pge-partner-on-new-california-virtual-power-plant-programme/</x:v>
      </x:c>
      <x:c r="K391" s="6" t="str">
        <x:v>Dated item visible in retrieved page/index: 2026-09-07. Search publication metadata: last month. </x:v>
      </x:c>
    </x:row>
    <x:row r="392" ht="15" hidden="0" customHeight="1">
      <x:c r="A392" s="12" t="n">
        <x:v>37</x:v>
      </x:c>
      <x:c r="B392" s="6" t="str">
        <x:v>Virtual power plants and demand flexibility</x:v>
      </x:c>
      <x:c r="C392" s="6" t="str">
        <x:v>Electrification</x:v>
      </x:c>
      <x:c r="D392" s="6" t="str">
        <x:v>pv magazine</x:v>
      </x:c>
      <x:c r="E392" s="6" t="str">
        <x:v>pv-magazine.com</x:v>
      </x:c>
      <x:c r="F392" s="6" t="str">
        <x:v>Specialist news</x:v>
      </x:c>
      <x:c r="G392" s="6" t="str">
        <x:v>Virtual power plant developments; commercial deployments, policy and industry news.</x:v>
      </x:c>
      <x:c r="H392" s="6" t="str">
        <x:v>https://www.pv-magazine.com/2026/06/29/the-virtual-power-plant-era-has-arrived/</x:v>
      </x:c>
      <x:c r="I392" s="16" t="d">
        <x:v>2026-06-29T12:00:00.000Z</x:v>
      </x:c>
      <x:c r="J392" s="6" t="str">
        <x:v>https://www.pv-magazine.com/2026/06/29/the-virtual-power-plant-era-has-arrived/</x:v>
      </x:c>
      <x:c r="K392" s="6" t="str">
        <x:v>Dated article URL: 2026-06-29. Search publication metadata: 3 months ago. </x:v>
      </x:c>
    </x:row>
    <x:row r="393" ht="15" hidden="0" customHeight="1">
      <x:c r="A393" s="12" t="n">
        <x:v>37</x:v>
      </x:c>
      <x:c r="B393" s="6" t="str">
        <x:v>Virtual power plants and demand flexibility</x:v>
      </x:c>
      <x:c r="C393" s="6" t="str">
        <x:v>Electrification</x:v>
      </x:c>
      <x:c r="D393" s="6" t="str">
        <x:v>RenewEconomy</x:v>
      </x:c>
      <x:c r="E393" s="6" t="str">
        <x:v>reneweconomy.com.au</x:v>
      </x:c>
      <x:c r="F393" s="6" t="str">
        <x:v>Specialist news</x:v>
      </x:c>
      <x:c r="G393" s="6" t="str">
        <x:v>Virtual power plant developments; commercial deployments, policy and industry news.</x:v>
      </x:c>
      <x:c r="H393" s="6" t="str">
        <x:v>https://reneweconomy.com.au/switchedon-podcast-why-the-booming-home-battery-market-is-staying-clear-of-virtual-power-plants/</x:v>
      </x:c>
      <x:c r="I393" s="16" t="d">
        <x:v>2026-07-15T12:00:00.000Z</x:v>
      </x:c>
      <x:c r="J393" s="6" t="str">
        <x:v>https://reneweconomy.com.au/switchedon-podcast-why-the-booming-home-battery-market-is-staying-clear-of-virtual-power-plants/</x:v>
      </x:c>
      <x:c r="K393" s="6" t="str">
        <x:v>Dated item visible in retrieved page/index: 2026-07-15. Search publication metadata: 3 months ago. </x:v>
      </x:c>
    </x:row>
    <x:row r="394" ht="15" hidden="0" customHeight="1">
      <x:c r="A394" s="12" t="n">
        <x:v>37</x:v>
      </x:c>
      <x:c r="B394" s="6" t="str">
        <x:v>Virtual power plants and demand flexibility</x:v>
      </x:c>
      <x:c r="C394" s="6" t="str">
        <x:v>Electrification</x:v>
      </x:c>
      <x:c r="D394" s="6" t="str">
        <x:v>CleanTechnica</x:v>
      </x:c>
      <x:c r="E394" s="6" t="str">
        <x:v>cleantechnica.com</x:v>
      </x:c>
      <x:c r="F394" s="6" t="str">
        <x:v>Specialist news</x:v>
      </x:c>
      <x:c r="G394" s="6" t="str">
        <x:v>Virtual power plant developments; commercial deployments, policy and industry news.</x:v>
      </x:c>
      <x:c r="H394" s="6" t="str">
        <x:v>https://cleantechnica.com/2026/07/28/grid-modernization-energy-storage-vpp-wind-solar-ders/</x:v>
      </x:c>
      <x:c r="I394" s="16" t="d">
        <x:v>2026-07-28T12:00:00.000Z</x:v>
      </x:c>
      <x:c r="J394" s="6" t="str">
        <x:v>https://cleantechnica.com/2026/07/28/grid-modernization-energy-storage-vpp-wind-solar-ders/</x:v>
      </x:c>
      <x:c r="K394" s="6" t="str">
        <x:v>Dated article URL: 2026-07-28. Search publication metadata: 2 months ago. </x:v>
      </x:c>
    </x:row>
    <x:row r="395" ht="15" hidden="0" customHeight="1">
      <x:c r="A395" s="12" t="n">
        <x:v>37</x:v>
      </x:c>
      <x:c r="B395" s="6" t="str">
        <x:v>Virtual power plants and demand flexibility</x:v>
      </x:c>
      <x:c r="C395" s="6" t="str">
        <x:v>Electrification</x:v>
      </x:c>
      <x:c r="D395" s="6" t="str">
        <x:v>Electrek</x:v>
      </x:c>
      <x:c r="E395" s="6" t="str">
        <x:v>electrek.co</x:v>
      </x:c>
      <x:c r="F395" s="6" t="str">
        <x:v>Specialist news</x:v>
      </x:c>
      <x:c r="G395" s="6" t="str">
        <x:v>Virtual power plant developments; commercial deployments, policy and industry news.</x:v>
      </x:c>
      <x:c r="H395" s="6" t="str">
        <x:v>https://electrek.co/2026/06/24/tesla-sunrun-16gw-vpp-data-centers/</x:v>
      </x:c>
      <x:c r="I395" s="16" t="d">
        <x:v>2026-06-24T12:00:00.000Z</x:v>
      </x:c>
      <x:c r="J395" s="6" t="str">
        <x:v>https://electrek.co/2026/06/24/tesla-sunrun-16gw-vpp-data-centers/</x:v>
      </x:c>
      <x:c r="K395" s="6" t="str">
        <x:v>Dated article URL: 2026-06-24. Search publication metadata: 3 months ago. </x:v>
      </x:c>
    </x:row>
    <x:row r="396" ht="15" hidden="0" customHeight="1">
      <x:c r="A396" s="12" t="n">
        <x:v>37</x:v>
      </x:c>
      <x:c r="B396" s="6" t="str">
        <x:v>Virtual power plants and demand flexibility</x:v>
      </x:c>
      <x:c r="C396" s="6" t="str">
        <x:v>Electrification</x:v>
      </x:c>
      <x:c r="D396" s="6" t="str">
        <x:v>POWER Magazine</x:v>
      </x:c>
      <x:c r="E396" s="6" t="str">
        <x:v>powermag.com</x:v>
      </x:c>
      <x:c r="F396" s="6" t="str">
        <x:v>Specialist news</x:v>
      </x:c>
      <x:c r="G396" s="6" t="str">
        <x:v>Virtual power plant developments; commercial deployments, policy and industry news.</x:v>
      </x:c>
      <x:c r="H396" s="6" t="str">
        <x:v>https://www.powermag.com/pge-google-rewiring-america-launch-vpp-in-california/</x:v>
      </x:c>
      <x:c r="I396" s="16" t="d">
        <x:v>2026-09-03T12:00:00.000Z</x:v>
      </x:c>
      <x:c r="J396" s="6" t="str">
        <x:v>https://www.powermag.com/pge-google-rewiring-america-launch-vpp-in-california/</x:v>
      </x:c>
      <x:c r="K396" s="6" t="str">
        <x:v>Dated item visible in retrieved page/index: 2026-09-03. Search publication metadata: last month. </x:v>
      </x:c>
    </x:row>
    <x:row r="397" ht="15" hidden="0" customHeight="1">
      <x:c r="A397" s="12" t="n">
        <x:v>37</x:v>
      </x:c>
      <x:c r="B397" s="6" t="str">
        <x:v>Virtual power plants and demand flexibility</x:v>
      </x:c>
      <x:c r="C397" s="6" t="str">
        <x:v>Electrification</x:v>
      </x:c>
      <x:c r="D397" s="6" t="str">
        <x:v>Factor This / Renewable Energy World</x:v>
      </x:c>
      <x:c r="E397" s="6" t="str">
        <x:v>renewableenergyworld.com</x:v>
      </x:c>
      <x:c r="F397" s="6" t="str">
        <x:v>Specialist news</x:v>
      </x:c>
      <x:c r="G397" s="6" t="str">
        <x:v>Virtual power plant developments; commercial deployments, policy and industry news.</x:v>
      </x:c>
      <x:c r="H397" s="6" t="str">
        <x:v>https://www.renewableenergyworld.com/energy-storage/battery/look-what-ders-can-do-580-mw-sent-to-the-grid-in-largest-ever-vpp-dispatch/</x:v>
      </x:c>
      <x:c r="I397" s="16" t="d">
        <x:v>2026-09-09T12:00:00.000Z</x:v>
      </x:c>
      <x:c r="J397" s="6" t="str">
        <x:v>https://www.renewableenergyworld.com/energy-storage/battery/look-what-ders-can-do-580-mw-sent-to-the-grid-in-largest-ever-vpp-dispatch/</x:v>
      </x:c>
      <x:c r="K397" s="6" t="str">
        <x:v>Dated item visible in retrieved page/index: 2026-09-09. Search publication metadata: 3 weeks ago. </x:v>
      </x:c>
    </x:row>
    <x:row r="398" ht="24" hidden="0" customHeight="1">
      <x:c r="A398" s="12" t="n">
        <x:v>37</x:v>
      </x:c>
      <x:c r="B398" s="6" t="str">
        <x:v>Virtual power plants and demand flexibility</x:v>
      </x:c>
      <x:c r="C398" s="6" t="str">
        <x:v>Electrification</x:v>
      </x:c>
      <x:c r="D398" s="6" t="str">
        <x:v>Microgrid Knowledge</x:v>
      </x:c>
      <x:c r="E398" s="6" t="str">
        <x:v>microgridknowledge.com</x:v>
      </x:c>
      <x:c r="F398" s="6" t="str">
        <x:v>Specialist news</x:v>
      </x:c>
      <x:c r="G398" s="6" t="str">
        <x:v>Virtual power plant developments; commercial deployments, policy and industry news.</x:v>
      </x:c>
      <x:c r="H398" s="6" t="str">
        <x:v>https://www.microgridknowledge.com/distributed-energy/virtual-power-plant/article/55379650/the-us-virtual-power-plant-market-is-entering-a-business-model-shakeout</x:v>
      </x:c>
      <x:c r="I398" s="16" t="d">
        <x:v>2026-05-26T12:00:00.000Z</x:v>
      </x:c>
      <x:c r="J398" s="6" t="str">
        <x:v>https://www.microgridknowledge.com/distributed-energy/virtual-power-plant/article/55379650/the-us-virtual-power-plant-market-is-entering-a-business-model-shakeout</x:v>
      </x:c>
      <x:c r="K398" s="6" t="str">
        <x:v>Dated item visible in retrieved page/index: 2026-05-26. Search publication metadata: 4 months ago. </x:v>
      </x:c>
    </x:row>
    <x:row r="399" ht="15" hidden="0" customHeight="1">
      <x:c r="A399" s="12" t="n">
        <x:v>38</x:v>
      </x:c>
      <x:c r="B399" s="6" t="str">
        <x:v>Advanced transmission and grid-enhancing technologies</x:v>
      </x:c>
      <x:c r="C399" s="6" t="str">
        <x:v>Electrification</x:v>
      </x:c>
      <x:c r="D399" s="6" t="str">
        <x:v>Utility Dive</x:v>
      </x:c>
      <x:c r="E399" s="6" t="str">
        <x:v>utilitydive.com</x:v>
      </x:c>
      <x:c r="F399" s="6" t="str">
        <x:v>Specialist news</x:v>
      </x:c>
      <x:c r="G399" s="6" t="str">
        <x:v>Grid enhancing dynamic line rating reconductoring developments; commercial deployments, policy and industry news.</x:v>
      </x:c>
      <x:c r="H399" s="6" t="str">
        <x:v>https://www.utilitydive.com/news/pennsylvania-house-advanced-transmission-technology-bill-gets/819303/</x:v>
      </x:c>
      <x:c r="I399" s="16" t="d">
        <x:v>2026-05-05T12:00:00.000Z</x:v>
      </x:c>
      <x:c r="J399" s="6" t="str">
        <x:v>https://www.utilitydive.com/news/pennsylvania-house-advanced-transmission-technology-bill-gets/819303/</x:v>
      </x:c>
      <x:c r="K399" s="6" t="str">
        <x:v>Dated item visible in retrieved page/index: 2026-05-05. Search publication metadata: 5 months ago. </x:v>
      </x:c>
    </x:row>
    <x:row r="400" ht="15" hidden="0" customHeight="1">
      <x:c r="A400" s="12" t="n">
        <x:v>38</x:v>
      </x:c>
      <x:c r="B400" s="6" t="str">
        <x:v>Advanced transmission and grid-enhancing technologies</x:v>
      </x:c>
      <x:c r="C400" s="6" t="str">
        <x:v>Electrification</x:v>
      </x:c>
      <x:c r="D400" s="6" t="str">
        <x:v>Canary Media</x:v>
      </x:c>
      <x:c r="E400" s="6" t="str">
        <x:v>canarymedia.com</x:v>
      </x:c>
      <x:c r="F400" s="6" t="str">
        <x:v>Specialist news</x:v>
      </x:c>
      <x:c r="G400" s="6" t="str">
        <x:v>Grid enhancing dynamic line rating reconductoring developments; commercial deployments, policy and industry news.</x:v>
      </x:c>
      <x:c r="H400" s="6" t="str">
        <x:v>https://www.canarymedia.com/articles/transmission/software-firm-grid-enhancing-tech</x:v>
      </x:c>
      <x:c r="I400" s="16" t="d">
        <x:v>2026-06-10T12:00:00.000Z</x:v>
      </x:c>
      <x:c r="J400" s="6" t="str">
        <x:v>https://www.canarymedia.com/articles/transmission/software-firm-grid-enhancing-tech</x:v>
      </x:c>
      <x:c r="K400" s="6" t="str">
        <x:v>Dated item visible in retrieved page/index: 2026-06-10. Search publication metadata: 4 months ago. </x:v>
      </x:c>
    </x:row>
    <x:row r="401" ht="15" hidden="0" customHeight="1">
      <x:c r="A401" s="12" t="n">
        <x:v>38</x:v>
      </x:c>
      <x:c r="B401" s="6" t="str">
        <x:v>Advanced transmission and grid-enhancing technologies</x:v>
      </x:c>
      <x:c r="C401" s="6" t="str">
        <x:v>Electrification</x:v>
      </x:c>
      <x:c r="D401" s="6" t="str">
        <x:v>T&amp;D World</x:v>
      </x:c>
      <x:c r="E401" s="6" t="str">
        <x:v>tdworld.com</x:v>
      </x:c>
      <x:c r="F401" s="6" t="str">
        <x:v>Specialist news</x:v>
      </x:c>
      <x:c r="G401" s="6" t="str">
        <x:v>Grid enhancing dynamic line rating reconductoring developments; commercial deployments, policy and industry news.</x:v>
      </x:c>
      <x:c r="H401" s="6" t="str">
        <x:v>https://www.tdworld.com/overhead-transmission/article/55370119/optical-fibers-are-redefining-sensors</x:v>
      </x:c>
      <x:c r="I401" s="16" t="d">
        <x:v>2026-04-10T12:00:00.000Z</x:v>
      </x:c>
      <x:c r="J401" s="6" t="str">
        <x:v>https://www.tdworld.com/overhead-transmission/article/55370119/optical-fibers-are-redefining-sensors</x:v>
      </x:c>
      <x:c r="K401" s="6" t="str">
        <x:v>Dated item visible in retrieved page/index: 2026-04-10. Search publication metadata: 6 months ago. </x:v>
      </x:c>
    </x:row>
    <x:row r="402" ht="15" hidden="0" customHeight="1">
      <x:c r="A402" s="12" t="n">
        <x:v>38</x:v>
      </x:c>
      <x:c r="B402" s="6" t="str">
        <x:v>Advanced transmission and grid-enhancing technologies</x:v>
      </x:c>
      <x:c r="C402" s="6" t="str">
        <x:v>Electrification</x:v>
      </x:c>
      <x:c r="D402" s="6" t="str">
        <x:v>POWER Magazine</x:v>
      </x:c>
      <x:c r="E402" s="6" t="str">
        <x:v>powermag.com</x:v>
      </x:c>
      <x:c r="F402" s="6" t="str">
        <x:v>Specialist news</x:v>
      </x:c>
      <x:c r="G402" s="6" t="str">
        <x:v>Grid enhancing dynamic line rating reconductoring developments; commercial deployments, policy and industry news.</x:v>
      </x:c>
      <x:c r="H402" s="6" t="str">
        <x:v>https://www.powermag.com/from-tail-risk-to-design-baseline-how-the-grid-is-adapting-to-extreme-heat/</x:v>
      </x:c>
      <x:c r="I402" s="16" t="d">
        <x:v>2025-12-11T12:00:00.000Z</x:v>
      </x:c>
      <x:c r="J402" s="6" t="str">
        <x:v>https://www.powermag.com/from-tail-risk-to-design-baseline-how-the-grid-is-adapting-to-extreme-heat/</x:v>
      </x:c>
      <x:c r="K402" s="6" t="str">
        <x:v>Dated item visible in retrieved page/index: 2025-12-11. Search publication metadata: 4 months ago. </x:v>
      </x:c>
    </x:row>
    <x:row r="403" ht="15" hidden="0" customHeight="1">
      <x:c r="A403" s="12" t="n">
        <x:v>38</x:v>
      </x:c>
      <x:c r="B403" s="6" t="str">
        <x:v>Advanced transmission and grid-enhancing technologies</x:v>
      </x:c>
      <x:c r="C403" s="6" t="str">
        <x:v>Electrification</x:v>
      </x:c>
      <x:c r="D403" s="6" t="str">
        <x:v>Factor This / Renewable Energy World</x:v>
      </x:c>
      <x:c r="E403" s="6" t="str">
        <x:v>renewableenergyworld.com</x:v>
      </x:c>
      <x:c r="F403" s="6" t="str">
        <x:v>Specialist news</x:v>
      </x:c>
      <x:c r="G403" s="6" t="str">
        <x:v>Grid enhancing dynamic line rating reconductoring developments; commercial deployments, policy and industry news.</x:v>
      </x:c>
      <x:c r="H403" s="6" t="str">
        <x:v>https://www.renewableenergyworld.com/energy-business/new-project-development/a-bipartisan-spark-for-the-grid-factor-this-brief/</x:v>
      </x:c>
      <x:c r="I403" s="16" t="d">
        <x:v>2026-09-28T12:00:00.000Z</x:v>
      </x:c>
      <x:c r="J403" s="6" t="str">
        <x:v>https://www.renewableenergyworld.com/energy-business/new-project-development/a-bipartisan-spark-for-the-grid-factor-this-brief/</x:v>
      </x:c>
      <x:c r="K403" s="6" t="str">
        <x:v>Dated item visible in retrieved page/index: 2026-09-28. Search publication metadata: 2 weeks ago. </x:v>
      </x:c>
    </x:row>
    <x:row r="404" ht="15" hidden="0" customHeight="1">
      <x:c r="A404" s="12" t="n">
        <x:v>38</x:v>
      </x:c>
      <x:c r="B404" s="6" t="str">
        <x:v>Advanced transmission and grid-enhancing technologies</x:v>
      </x:c>
      <x:c r="C404" s="6" t="str">
        <x:v>Electrification</x:v>
      </x:c>
      <x:c r="D404" s="6" t="str">
        <x:v>pv magazine</x:v>
      </x:c>
      <x:c r="E404" s="6" t="str">
        <x:v>pv-magazine.com</x:v>
      </x:c>
      <x:c r="F404" s="6" t="str">
        <x:v>Specialist news</x:v>
      </x:c>
      <x:c r="G404" s="6" t="str">
        <x:v>Grid enhancing dynamic line rating reconductoring developments; commercial deployments, policy and industry news.</x:v>
      </x:c>
      <x:c r="H404" s="6" t="str">
        <x:v>https://www.pv-magazine.com/2026/07/13/philippines-proposes-transmission-grid-reforms-updates-to-net-metering/</x:v>
      </x:c>
      <x:c r="I404" s="16" t="d">
        <x:v>2026-07-13T12:00:00.000Z</x:v>
      </x:c>
      <x:c r="J404" s="6" t="str">
        <x:v>https://www.pv-magazine.com/2026/07/13/philippines-proposes-transmission-grid-reforms-updates-to-net-metering/</x:v>
      </x:c>
      <x:c r="K404" s="6" t="str">
        <x:v>Dated article URL: 2026-07-13. Search publication metadata: 3 months ago. </x:v>
      </x:c>
    </x:row>
    <x:row r="405" ht="15" hidden="0" customHeight="1">
      <x:c r="A405" s="12" t="n">
        <x:v>38</x:v>
      </x:c>
      <x:c r="B405" s="6" t="str">
        <x:v>Advanced transmission and grid-enhancing technologies</x:v>
      </x:c>
      <x:c r="C405" s="6" t="str">
        <x:v>Electrification</x:v>
      </x:c>
      <x:c r="D405" s="6" t="str">
        <x:v>RenewEconomy</x:v>
      </x:c>
      <x:c r="E405" s="6" t="str">
        <x:v>reneweconomy.com.au</x:v>
      </x:c>
      <x:c r="F405" s="6" t="str">
        <x:v>Specialist news</x:v>
      </x:c>
      <x:c r="G405" s="6" t="str">
        <x:v>Grid enhancing dynamic line rating reconductoring developments; commercial deployments, policy and industry news.</x:v>
      </x:c>
      <x:c r="H405" s="6" t="str">
        <x:v>https://reneweconomy.com.au/can-evs-help-get-more-out-of-the-grid-for-less-two-new-grant-winners-hope-to-show-the-way/</x:v>
      </x:c>
      <x:c r="I405" s="16" t="d">
        <x:v>2026-07-22T12:00:00.000Z</x:v>
      </x:c>
      <x:c r="J405" s="6" t="str">
        <x:v>https://reneweconomy.com.au/can-evs-help-get-more-out-of-the-grid-for-less-two-new-grant-winners-hope-to-show-the-way/</x:v>
      </x:c>
      <x:c r="K405" s="6" t="str">
        <x:v>Dated item visible in retrieved page/index: 2026-07-22. Search publication metadata: 2 months ago. </x:v>
      </x:c>
    </x:row>
    <x:row r="406" ht="15" hidden="0" customHeight="1">
      <x:c r="A406" s="12" t="n">
        <x:v>38</x:v>
      </x:c>
      <x:c r="B406" s="6" t="str">
        <x:v>Advanced transmission and grid-enhancing technologies</x:v>
      </x:c>
      <x:c r="C406" s="6" t="str">
        <x:v>Electrification</x:v>
      </x:c>
      <x:c r="D406" s="6" t="str">
        <x:v>US Department of Energy</x:v>
      </x:c>
      <x:c r="E406" s="6" t="str">
        <x:v>energy.gov</x:v>
      </x:c>
      <x:c r="F406" s="6" t="str">
        <x:v>Research / association / public updates</x:v>
      </x:c>
      <x:c r="G406" s="6" t="str">
        <x:v>Grid enhancing dynamic line rating reconductoring developments; primary updates and research.</x:v>
      </x:c>
      <x:c r="H406" s="6" t="str">
        <x:v>https://www.energy.gov/nepa/articles/cx-035898-expanding-transmission-capacity-and-reducing-community-disruptions-through</x:v>
      </x:c>
      <x:c r="I406" s="16" t="d">
        <x:v>2026-06-03T12:00:00.000Z</x:v>
      </x:c>
      <x:c r="J406" s="6" t="str">
        <x:v>https://www.energy.gov/nepa/articles/cx-035898-expanding-transmission-capacity-and-reducing-community-disruptions-through</x:v>
      </x:c>
      <x:c r="K406" s="6" t="str">
        <x:v>Dated item visible in retrieved page/index: 2026-06-03. Search publication metadata: 4 months ago. </x:v>
      </x:c>
    </x:row>
    <x:row r="407" ht="15" hidden="0" customHeight="1">
      <x:c r="A407" s="12" t="n">
        <x:v>38</x:v>
      </x:c>
      <x:c r="B407" s="6" t="str">
        <x:v>Advanced transmission and grid-enhancing technologies</x:v>
      </x:c>
      <x:c r="C407" s="6" t="str">
        <x:v>Electrification</x:v>
      </x:c>
      <x:c r="D407" s="6" t="str">
        <x:v>WATT Coalition</x:v>
      </x:c>
      <x:c r="E407" s="6" t="str">
        <x:v>watt-transmission.org</x:v>
      </x:c>
      <x:c r="F407" s="6" t="str">
        <x:v>Research / association / public updates</x:v>
      </x:c>
      <x:c r="G407" s="6" t="str">
        <x:v>Grid enhancing dynamic line rating reconductoring developments; primary updates and research.</x:v>
      </x:c>
      <x:c r="H407" s="6" t="str">
        <x:v>https://watt-transmission.org/federal-grant-awards-spark-grid-innovation-across-the-country/</x:v>
      </x:c>
      <x:c r="I407" s="16" t="d">
        <x:v>2026-09-24T12:00:00.000Z</x:v>
      </x:c>
      <x:c r="J407" s="6" t="str">
        <x:v>https://watt-transmission.org/federal-grant-awards-spark-grid-innovation-across-the-country/</x:v>
      </x:c>
      <x:c r="K407" s="6" t="str">
        <x:v>Dated item visible in retrieved page/index: 2026-09-24. Search publication metadata: 3 weeks ago. </x:v>
      </x:c>
    </x:row>
    <x:row r="408" ht="15" hidden="0" customHeight="1">
      <x:c r="A408" s="12" t="n">
        <x:v>38</x:v>
      </x:c>
      <x:c r="B408" s="6" t="str">
        <x:v>Advanced transmission and grid-enhancing technologies</x:v>
      </x:c>
      <x:c r="C408" s="6" t="str">
        <x:v>Electrification</x:v>
      </x:c>
      <x:c r="D408" s="6" t="str">
        <x:v>RTO Insider</x:v>
      </x:c>
      <x:c r="E408" s="6" t="str">
        <x:v>rtoinsider.com</x:v>
      </x:c>
      <x:c r="F408" s="6" t="str">
        <x:v>Specialist news</x:v>
      </x:c>
      <x:c r="G408" s="6" t="str">
        <x:v>Grid enhancing dynamic line rating reconductoring developments; commercial deployments, policy and industry news.</x:v>
      </x:c>
      <x:c r="H408" s="6" t="str">
        <x:v>https://www.rtoinsider.com/124625-epri-suggests-ways-new-grid-loads-lower-electricity-prices/</x:v>
      </x:c>
      <x:c r="I408" s="16" t="d">
        <x:v>2026-02-01T12:00:00.000Z</x:v>
      </x:c>
      <x:c r="J408" s="6" t="str">
        <x:v>https://www.rtoinsider.com/124625-epri-suggests-ways-new-grid-loads-lower-electricity-prices/</x:v>
      </x:c>
      <x:c r="K408" s="6" t="str">
        <x:v>Dated item visible in retrieved page/index: 2026-02-01. Search publication metadata: 8 months ago. </x:v>
      </x:c>
    </x:row>
    <x:row r="409" ht="15" hidden="0" customHeight="1">
      <x:c r="A409" s="12" t="n">
        <x:v>39</x:v>
      </x:c>
      <x:c r="B409" s="6" t="str">
        <x:v>Smart and bidirectional EV charging</x:v>
      </x:c>
      <x:c r="C409" s="6" t="str">
        <x:v>Electrification</x:v>
      </x:c>
      <x:c r="D409" s="6" t="str">
        <x:v>Electrive</x:v>
      </x:c>
      <x:c r="E409" s="6" t="str">
        <x:v>electrive.com</x:v>
      </x:c>
      <x:c r="F409" s="6" t="str">
        <x:v>Specialist news</x:v>
      </x:c>
      <x:c r="G409" s="6" t="str">
        <x:v>Bidirectional vehicle grid charging developments; commercial deployments, policy and industry news.</x:v>
      </x:c>
      <x:c r="H409" s="6" t="str">
        <x:v>https://www.electrive.com/2026/07/27/hyundai-and-kia-consolidate-smart-and-bidirectional-charging-under-new-brand/</x:v>
      </x:c>
      <x:c r="I409" s="16" t="d">
        <x:v>2026-07-27T12:00:00.000Z</x:v>
      </x:c>
      <x:c r="J409" s="6" t="str">
        <x:v>https://www.electrive.com/2026/07/27/hyundai-and-kia-consolidate-smart-and-bidirectional-charging-under-new-brand/</x:v>
      </x:c>
      <x:c r="K409" s="6" t="str">
        <x:v>Dated article URL: 2026-07-27. Search publication metadata: 2 months ago. </x:v>
      </x:c>
    </x:row>
    <x:row r="410" ht="15" hidden="0" customHeight="1">
      <x:c r="A410" s="12" t="n">
        <x:v>39</x:v>
      </x:c>
      <x:c r="B410" s="6" t="str">
        <x:v>Smart and bidirectional EV charging</x:v>
      </x:c>
      <x:c r="C410" s="6" t="str">
        <x:v>Electrification</x:v>
      </x:c>
      <x:c r="D410" s="6" t="str">
        <x:v>Electrek</x:v>
      </x:c>
      <x:c r="E410" s="6" t="str">
        <x:v>electrek.co</x:v>
      </x:c>
      <x:c r="F410" s="6" t="str">
        <x:v>Specialist news</x:v>
      </x:c>
      <x:c r="G410" s="6" t="str">
        <x:v>Bidirectional vehicle grid charging developments; commercial deployments, policy and industry news.</x:v>
      </x:c>
      <x:c r="H410" s="6" t="str">
        <x:v>https://electrek.co/2026/05/08/really-quick-charge-the-mobility-house-v2g-and-building-up-the-grid/</x:v>
      </x:c>
      <x:c r="I410" s="16" t="d">
        <x:v>2026-05-08T12:00:00.000Z</x:v>
      </x:c>
      <x:c r="J410" s="6" t="str">
        <x:v>https://electrek.co/2026/05/08/really-quick-charge-the-mobility-house-v2g-and-building-up-the-grid/</x:v>
      </x:c>
      <x:c r="K410" s="6" t="str">
        <x:v>Dated article URL: 2026-05-08. Search publication metadata: 5 months ago. </x:v>
      </x:c>
    </x:row>
    <x:row r="411" ht="15" hidden="0" customHeight="1">
      <x:c r="A411" s="12" t="n">
        <x:v>39</x:v>
      </x:c>
      <x:c r="B411" s="6" t="str">
        <x:v>Smart and bidirectional EV charging</x:v>
      </x:c>
      <x:c r="C411" s="6" t="str">
        <x:v>Electrification</x:v>
      </x:c>
      <x:c r="D411" s="6" t="str">
        <x:v>Charged EVs</x:v>
      </x:c>
      <x:c r="E411" s="6" t="str">
        <x:v>chargedevs.com</x:v>
      </x:c>
      <x:c r="F411" s="6" t="str">
        <x:v>Specialist news</x:v>
      </x:c>
      <x:c r="G411" s="6" t="str">
        <x:v>Bidirectional vehicle grid charging developments; commercial deployments, policy and industry news.</x:v>
      </x:c>
      <x:c r="H411" s="6" t="str">
        <x:v>https://chargedevs.com/newswire/gms-bidirectional-ev-charging-system-enables-vehicle-to-home-and-vehicle-to-grid-features/</x:v>
      </x:c>
      <x:c r="I411" s="16" t="d">
        <x:v>2026-06-16T12:00:00.000Z</x:v>
      </x:c>
      <x:c r="J411" s="6" t="str">
        <x:v>https://chargedevs.com/newswire/gms-bidirectional-ev-charging-system-enables-vehicle-to-home-and-vehicle-to-grid-features/</x:v>
      </x:c>
      <x:c r="K411" s="6" t="str">
        <x:v>Dated item visible in retrieved page/index: 2026-06-16. Search publication metadata: 4 months ago. </x:v>
      </x:c>
    </x:row>
    <x:row r="412" ht="15" hidden="0" customHeight="1">
      <x:c r="A412" s="12" t="n">
        <x:v>39</x:v>
      </x:c>
      <x:c r="B412" s="6" t="str">
        <x:v>Smart and bidirectional EV charging</x:v>
      </x:c>
      <x:c r="C412" s="6" t="str">
        <x:v>Electrification</x:v>
      </x:c>
      <x:c r="D412" s="6" t="str">
        <x:v>Utility Dive</x:v>
      </x:c>
      <x:c r="E412" s="6" t="str">
        <x:v>utilitydive.com</x:v>
      </x:c>
      <x:c r="F412" s="6" t="str">
        <x:v>Specialist news</x:v>
      </x:c>
      <x:c r="G412" s="6" t="str">
        <x:v>Bidirectional vehicle grid charging developments; commercial deployments, policy and industry news.</x:v>
      </x:c>
      <x:c r="H412" s="6" t="str">
        <x:v>https://www.utilitydive.com/news/managed-bidirectional-ev-charging-advances-with-utility-automaker-support/823171/</x:v>
      </x:c>
      <x:c r="I412" s="16" t="d">
        <x:v>2026-06-16T12:00:00.000Z</x:v>
      </x:c>
      <x:c r="J412" s="6" t="str">
        <x:v>https://www.utilitydive.com/news/managed-bidirectional-ev-charging-advances-with-utility-automaker-support/823171/</x:v>
      </x:c>
      <x:c r="K412" s="6" t="str">
        <x:v>Dated item visible in retrieved page/index: 2026-06-16. Search publication metadata: 4 months ago. </x:v>
      </x:c>
    </x:row>
    <x:row r="413" ht="15" hidden="0" customHeight="1">
      <x:c r="A413" s="12" t="n">
        <x:v>39</x:v>
      </x:c>
      <x:c r="B413" s="6" t="str">
        <x:v>Smart and bidirectional EV charging</x:v>
      </x:c>
      <x:c r="C413" s="6" t="str">
        <x:v>Electrification</x:v>
      </x:c>
      <x:c r="D413" s="6" t="str">
        <x:v>pv magazine</x:v>
      </x:c>
      <x:c r="E413" s="6" t="str">
        <x:v>pv-magazine.com</x:v>
      </x:c>
      <x:c r="F413" s="6" t="str">
        <x:v>Specialist news</x:v>
      </x:c>
      <x:c r="G413" s="6" t="str">
        <x:v>Bidirectional vehicle grid charging developments; commercial deployments, policy and industry news.</x:v>
      </x:c>
      <x:c r="H413" s="6" t="str">
        <x:v>https://www.pv-magazine.com/2026/07/01/solax-introduces-ac-side-v2h-system-at-intersolar-europe-2026/</x:v>
      </x:c>
      <x:c r="I413" s="16" t="d">
        <x:v>2026-07-01T12:00:00.000Z</x:v>
      </x:c>
      <x:c r="J413" s="6" t="str">
        <x:v>https://www.pv-magazine.com/2026/07/01/solax-introduces-ac-side-v2h-system-at-intersolar-europe-2026/</x:v>
      </x:c>
      <x:c r="K413" s="6" t="str">
        <x:v>Dated article URL: 2026-07-01. Search publication metadata: 3 months ago. </x:v>
      </x:c>
    </x:row>
    <x:row r="414" ht="15" hidden="0" customHeight="1">
      <x:c r="A414" s="12" t="n">
        <x:v>39</x:v>
      </x:c>
      <x:c r="B414" s="6" t="str">
        <x:v>Smart and bidirectional EV charging</x:v>
      </x:c>
      <x:c r="C414" s="6" t="str">
        <x:v>Electrification</x:v>
      </x:c>
      <x:c r="D414" s="6" t="str">
        <x:v>CleanTechnica</x:v>
      </x:c>
      <x:c r="E414" s="6" t="str">
        <x:v>cleantechnica.com</x:v>
      </x:c>
      <x:c r="F414" s="6" t="str">
        <x:v>Specialist news</x:v>
      </x:c>
      <x:c r="G414" s="6" t="str">
        <x:v>Bidirectional vehicle grid charging developments; commercial deployments, policy and industry news.</x:v>
      </x:c>
      <x:c r="H414" s="6" t="str">
        <x:v>https://cleantechnica.com/2026/06/25/volkswagen-group-elli-bring-vehicle-to-grid-offer-to-the-volume-market/</x:v>
      </x:c>
      <x:c r="I414" s="16" t="d">
        <x:v>2026-06-25T12:00:00.000Z</x:v>
      </x:c>
      <x:c r="J414" s="6" t="str">
        <x:v>https://cleantechnica.com/2026/06/25/volkswagen-group-elli-bring-vehicle-to-grid-offer-to-the-volume-market/</x:v>
      </x:c>
      <x:c r="K414" s="6" t="str">
        <x:v>Dated article URL: 2026-06-25. Search publication metadata: 3 months ago. </x:v>
      </x:c>
    </x:row>
    <x:row r="415" ht="15" hidden="0" customHeight="1">
      <x:c r="A415" s="12" t="n">
        <x:v>39</x:v>
      </x:c>
      <x:c r="B415" s="6" t="str">
        <x:v>Smart and bidirectional EV charging</x:v>
      </x:c>
      <x:c r="C415" s="6" t="str">
        <x:v>Electrification</x:v>
      </x:c>
      <x:c r="D415" s="6" t="str">
        <x:v>Canary Media</x:v>
      </x:c>
      <x:c r="E415" s="6" t="str">
        <x:v>canarymedia.com</x:v>
      </x:c>
      <x:c r="F415" s="6" t="str">
        <x:v>Specialist news</x:v>
      </x:c>
      <x:c r="G415" s="6" t="str">
        <x:v>Bidirectional vehicle grid charging developments; commercial deployments, policy and industry news.</x:v>
      </x:c>
      <x:c r="H415" s="6" t="str">
        <x:v>https://www.canarymedia.com/articles/ev-charging</x:v>
      </x:c>
      <x:c r="I415" s="16" t="d">
        <x:v>2026-06-03T12:00:00.000Z</x:v>
      </x:c>
      <x:c r="J415" s="6" t="str">
        <x:v>https://www.canarymedia.com/articles/ev-charging</x:v>
      </x:c>
      <x:c r="K415" s="6" t="str">
        <x:v>Dated item visible in retrieved page/index: 2026-06-03. </x:v>
      </x:c>
    </x:row>
    <x:row r="416" ht="15" hidden="0" customHeight="1">
      <x:c r="A416" s="12" t="n">
        <x:v>39</x:v>
      </x:c>
      <x:c r="B416" s="6" t="str">
        <x:v>Smart and bidirectional EV charging</x:v>
      </x:c>
      <x:c r="C416" s="6" t="str">
        <x:v>Electrification</x:v>
      </x:c>
      <x:c r="D416" s="6" t="str">
        <x:v>RenewEconomy</x:v>
      </x:c>
      <x:c r="E416" s="6" t="str">
        <x:v>reneweconomy.com.au</x:v>
      </x:c>
      <x:c r="F416" s="6" t="str">
        <x:v>Specialist news</x:v>
      </x:c>
      <x:c r="G416" s="6" t="str">
        <x:v>Bidirectional vehicle grid charging developments; commercial deployments, policy and industry news.</x:v>
      </x:c>
      <x:c r="H416" s="6" t="str">
        <x:v>https://reneweconomy.com.au/the-driven-podcast-is-australia-finally-ready-for-v2g-live-from-everything-electric-sydney/</x:v>
      </x:c>
      <x:c r="I416" s="16" t="d">
        <x:v>2026-09-21T12:00:00.000Z</x:v>
      </x:c>
      <x:c r="J416" s="6" t="str">
        <x:v>https://reneweconomy.com.au/the-driven-podcast-is-australia-finally-ready-for-v2g-live-from-everything-electric-sydney/</x:v>
      </x:c>
      <x:c r="K416" s="6" t="str">
        <x:v>Dated item visible in retrieved page/index: 2026-09-21. Search publication metadata: 3 weeks ago. </x:v>
      </x:c>
    </x:row>
    <x:row r="417" ht="15" hidden="0" customHeight="1">
      <x:c r="A417" s="12" t="n">
        <x:v>39</x:v>
      </x:c>
      <x:c r="B417" s="6" t="str">
        <x:v>Smart and bidirectional EV charging</x:v>
      </x:c>
      <x:c r="C417" s="6" t="str">
        <x:v>Electrification</x:v>
      </x:c>
      <x:c r="D417" s="6" t="str">
        <x:v>Energy-Storage.news</x:v>
      </x:c>
      <x:c r="E417" s="6" t="str">
        <x:v>energy-storage.news</x:v>
      </x:c>
      <x:c r="F417" s="6" t="str">
        <x:v>Specialist news</x:v>
      </x:c>
      <x:c r="G417" s="6" t="str">
        <x:v>Bidirectional vehicle grid charging developments; commercial deployments, policy and industry news.</x:v>
      </x:c>
      <x:c r="H417" s="6" t="str">
        <x:v>https://www.energy-storage.news/tesla-set-to-launch-vehicle-to-grid-programme-in-the-us/</x:v>
      </x:c>
      <x:c r="I417" s="16" t="d">
        <x:v>2026-02-12T12:00:00.000Z</x:v>
      </x:c>
      <x:c r="J417" s="6" t="str">
        <x:v>https://www.energy-storage.news/tesla-set-to-launch-vehicle-to-grid-programme-in-the-us/</x:v>
      </x:c>
      <x:c r="K417" s="6" t="str">
        <x:v>Dated item visible in retrieved page/index: 2026-02-12. Search publication metadata: 8 months ago. </x:v>
      </x:c>
    </x:row>
    <x:row r="418" ht="15" hidden="0" customHeight="1">
      <x:c r="A418" s="12" t="n">
        <x:v>39</x:v>
      </x:c>
      <x:c r="B418" s="6" t="str">
        <x:v>Smart and bidirectional EV charging</x:v>
      </x:c>
      <x:c r="C418" s="6" t="str">
        <x:v>Electrification</x:v>
      </x:c>
      <x:c r="D418" s="6" t="str">
        <x:v>The EV Report</x:v>
      </x:c>
      <x:c r="E418" s="6" t="str">
        <x:v>theevreport.com</x:v>
      </x:c>
      <x:c r="F418" s="6" t="str">
        <x:v>Specialist news</x:v>
      </x:c>
      <x:c r="G418" s="6" t="str">
        <x:v>Bidirectional vehicle grid charging developments; commercial deployments, policy and industry news.</x:v>
      </x:c>
      <x:c r="H418" s="6" t="str">
        <x:v>https://theevreport.com/valeo-v2g-ac-charging-station</x:v>
      </x:c>
      <x:c r="I418" s="16" t="d">
        <x:v>2026-06-02T12:00:00.000Z</x:v>
      </x:c>
      <x:c r="J418" s="6" t="str">
        <x:v>https://theevreport.com/valeo-v2g-ac-charging-station</x:v>
      </x:c>
      <x:c r="K418" s="6" t="str">
        <x:v>Dated item visible in retrieved page/index: 2026-06-02. Search publication metadata: 4 months ago. </x:v>
      </x:c>
    </x:row>
    <x:row r="419" ht="15" hidden="0" customHeight="1">
      <x:c r="A419" s="12" t="n">
        <x:v>40</x:v>
      </x:c>
      <x:c r="B419" s="6" t="str">
        <x:v>Battery recycling and materials recovery</x:v>
      </x:c>
      <x:c r="C419" s="6" t="str">
        <x:v>Electrification</x:v>
      </x:c>
      <x:c r="D419" s="6" t="str">
        <x:v>Recycling Today</x:v>
      </x:c>
      <x:c r="E419" s="6" t="str">
        <x:v>recyclingtoday.com</x:v>
      </x:c>
      <x:c r="F419" s="6" t="str">
        <x:v>Specialist news</x:v>
      </x:c>
      <x:c r="G419" s="6" t="str">
        <x:v>Battery recycling developments; commercial deployments, policy and industry news.</x:v>
      </x:c>
      <x:c r="H419" s="6" t="str">
        <x:v>https://www.recyclingtoday.com/news/waste-to-resource-ontario-announces-new-co-chairs/</x:v>
      </x:c>
      <x:c r="I419" s="16" t="d">
        <x:v>2026-02-26T12:00:00.000Z</x:v>
      </x:c>
      <x:c r="J419" s="6" t="str">
        <x:v>https://www.recyclingtoday.com/news/waste-to-resource-ontario-announces-new-co-chairs/</x:v>
      </x:c>
      <x:c r="K419" s="6" t="str">
        <x:v>Dated item visible in retrieved page/index: 2026-02-26. Search publication metadata: 7 months ago. </x:v>
      </x:c>
    </x:row>
    <x:row r="420" ht="15" hidden="0" customHeight="1">
      <x:c r="A420" s="12" t="n">
        <x:v>40</x:v>
      </x:c>
      <x:c r="B420" s="6" t="str">
        <x:v>Battery recycling and materials recovery</x:v>
      </x:c>
      <x:c r="C420" s="6" t="str">
        <x:v>Electrification</x:v>
      </x:c>
      <x:c r="D420" s="6" t="str">
        <x:v>Resource Recycling / E-Scrap News</x:v>
      </x:c>
      <x:c r="E420" s="6" t="str">
        <x:v>resource-recycling.com</x:v>
      </x:c>
      <x:c r="F420" s="6" t="str">
        <x:v>Specialist news</x:v>
      </x:c>
      <x:c r="G420" s="6" t="str">
        <x:v>Battery recycling developments; commercial deployments, policy and industry news.</x:v>
      </x:c>
      <x:c r="H420" s="6" t="str">
        <x:v>https://resource-recycling.com/e-scrap/2026/07/08/canada-ev-battery-reuse-pilot-to-start/</x:v>
      </x:c>
      <x:c r="I420" s="16" t="d">
        <x:v>2026-07-08T12:00:00.000Z</x:v>
      </x:c>
      <x:c r="J420" s="6" t="str">
        <x:v>https://resource-recycling.com/e-scrap/2026/07/08/canada-ev-battery-reuse-pilot-to-start/</x:v>
      </x:c>
      <x:c r="K420" s="6" t="str">
        <x:v>Dated article URL: 2026-07-08. Search publication metadata: 3 months ago. </x:v>
      </x:c>
    </x:row>
    <x:row r="421" ht="15" hidden="0" customHeight="1">
      <x:c r="A421" s="12" t="n">
        <x:v>40</x:v>
      </x:c>
      <x:c r="B421" s="6" t="str">
        <x:v>Battery recycling and materials recovery</x:v>
      </x:c>
      <x:c r="C421" s="6" t="str">
        <x:v>Electrification</x:v>
      </x:c>
      <x:c r="D421" s="6" t="str">
        <x:v>Batteries International</x:v>
      </x:c>
      <x:c r="E421" s="6" t="str">
        <x:v>batteriesinternational.com</x:v>
      </x:c>
      <x:c r="F421" s="6" t="str">
        <x:v>Specialist news</x:v>
      </x:c>
      <x:c r="G421" s="6" t="str">
        <x:v>Battery recycling developments; commercial deployments, policy and industry news.</x:v>
      </x:c>
      <x:c r="H421" s="6" t="str">
        <x:v>https://www.batteriesinternational.com/news/clarios-finalises-acquisition-of-ecobat-lead-recycling-plants-in-germany-austria/</x:v>
      </x:c>
      <x:c r="I421" s="16" t="d">
        <x:v>2026-05-04T12:00:00.000Z</x:v>
      </x:c>
      <x:c r="J421" s="6" t="str">
        <x:v>https://www.batteriesinternational.com/news/clarios-finalises-acquisition-of-ecobat-lead-recycling-plants-in-germany-austria/</x:v>
      </x:c>
      <x:c r="K421" s="6" t="str">
        <x:v>Dated item visible in retrieved page/index: 2026-05-04. Search publication metadata: 5 months ago. </x:v>
      </x:c>
    </x:row>
    <x:row r="422" ht="15" hidden="0" customHeight="1">
      <x:c r="A422" s="12" t="n">
        <x:v>40</x:v>
      </x:c>
      <x:c r="B422" s="6" t="str">
        <x:v>Battery recycling and materials recovery</x:v>
      </x:c>
      <x:c r="C422" s="6" t="str">
        <x:v>Electrification</x:v>
      </x:c>
      <x:c r="D422" s="6" t="str">
        <x:v>Electrive</x:v>
      </x:c>
      <x:c r="E422" s="6" t="str">
        <x:v>electrive.com</x:v>
      </x:c>
      <x:c r="F422" s="6" t="str">
        <x:v>Specialist news</x:v>
      </x:c>
      <x:c r="G422" s="6" t="str">
        <x:v>Battery recycling developments; commercial deployments, policy and industry news.</x:v>
      </x:c>
      <x:c r="H422" s="6" t="str">
        <x:v>https://www.electrive.com/2026/07/21/cylib-acquires-bavarian-ev-battery-recycling-facility/</x:v>
      </x:c>
      <x:c r="I422" s="16" t="d">
        <x:v>2026-07-21T12:00:00.000Z</x:v>
      </x:c>
      <x:c r="J422" s="6" t="str">
        <x:v>https://www.electrive.com/2026/07/21/cylib-acquires-bavarian-ev-battery-recycling-facility/</x:v>
      </x:c>
      <x:c r="K422" s="6" t="str">
        <x:v>Dated article URL: 2026-07-21. Search publication metadata: 2 months ago. </x:v>
      </x:c>
    </x:row>
    <x:row r="423" ht="15" hidden="0" customHeight="1">
      <x:c r="A423" s="12" t="n">
        <x:v>40</x:v>
      </x:c>
      <x:c r="B423" s="6" t="str">
        <x:v>Battery recycling and materials recovery</x:v>
      </x:c>
      <x:c r="C423" s="6" t="str">
        <x:v>Electrification</x:v>
      </x:c>
      <x:c r="D423" s="6" t="str">
        <x:v>Charged EVs</x:v>
      </x:c>
      <x:c r="E423" s="6" t="str">
        <x:v>chargedevs.com</x:v>
      </x:c>
      <x:c r="F423" s="6" t="str">
        <x:v>Specialist news</x:v>
      </x:c>
      <x:c r="G423" s="6" t="str">
        <x:v>Battery recycling developments; commercial deployments, policy and industry news.</x:v>
      </x:c>
      <x:c r="H423" s="6" t="str">
        <x:v>https://chargedevs.com/newswire/redwood-materials-introduces-open-air-grid-storage-batteries/</x:v>
      </x:c>
      <x:c r="I423" s="16" t="d">
        <x:v>2026-04-21T12:00:00.000Z</x:v>
      </x:c>
      <x:c r="J423" s="6" t="str">
        <x:v>https://chargedevs.com/newswire/redwood-materials-introduces-open-air-grid-storage-batteries/</x:v>
      </x:c>
      <x:c r="K423" s="6" t="str">
        <x:v>Dated item visible in retrieved page/index: 2026-04-21. Search publication metadata: 5 months ago. </x:v>
      </x:c>
    </x:row>
    <x:row r="424" ht="15" hidden="0" customHeight="1">
      <x:c r="A424" s="12" t="n">
        <x:v>40</x:v>
      </x:c>
      <x:c r="B424" s="6" t="str">
        <x:v>Battery recycling and materials recovery</x:v>
      </x:c>
      <x:c r="C424" s="6" t="str">
        <x:v>Electrification</x:v>
      </x:c>
      <x:c r="D424" s="6" t="str">
        <x:v>MINING.com</x:v>
      </x:c>
      <x:c r="E424" s="6" t="str">
        <x:v>mining.com</x:v>
      </x:c>
      <x:c r="F424" s="6" t="str">
        <x:v>Specialist news</x:v>
      </x:c>
      <x:c r="G424" s="6" t="str">
        <x:v>Battery recycling developments; commercial deployments, policy and industry news.</x:v>
      </x:c>
      <x:c r="H424" s="6" t="str">
        <x:v>https://redesign.mining.com/worlds-largest-ev-battery-repurposing-megafactory-opens-in-british-columbia/</x:v>
      </x:c>
      <x:c r="I424" s="16" t="d">
        <x:v>2026-06-24T12:00:00.000Z</x:v>
      </x:c>
      <x:c r="J424" s="6" t="str">
        <x:v>https://redesign.mining.com/worlds-largest-ev-battery-repurposing-megafactory-opens-in-british-columbia/</x:v>
      </x:c>
      <x:c r="K424" s="6" t="str">
        <x:v>Dated item visible in retrieved page/index: 2026-06-24. Search publication metadata: 3 months ago. </x:v>
      </x:c>
    </x:row>
    <x:row r="425" ht="15" hidden="0" customHeight="1">
      <x:c r="A425" s="12" t="n">
        <x:v>40</x:v>
      </x:c>
      <x:c r="B425" s="6" t="str">
        <x:v>Battery recycling and materials recovery</x:v>
      </x:c>
      <x:c r="C425" s="6" t="str">
        <x:v>Electrification</x:v>
      </x:c>
      <x:c r="D425" s="6" t="str">
        <x:v>pv magazine</x:v>
      </x:c>
      <x:c r="E425" s="6" t="str">
        <x:v>pv-magazine.com</x:v>
      </x:c>
      <x:c r="F425" s="6" t="str">
        <x:v>Specialist news</x:v>
      </x:c>
      <x:c r="G425" s="6" t="str">
        <x:v>Battery recycling developments; commercial deployments, policy and industry news.</x:v>
      </x:c>
      <x:c r="H425" s="6" t="str">
        <x:v>https://www.pv-magazine.com/2026/07/02/new-pv-module-recycling-tech-achieves-97-75-silicon-recovery-for-electrode-production/</x:v>
      </x:c>
      <x:c r="I425" s="16" t="d">
        <x:v>2026-07-02T12:00:00.000Z</x:v>
      </x:c>
      <x:c r="J425" s="6" t="str">
        <x:v>https://www.pv-magazine.com/2026/07/02/new-pv-module-recycling-tech-achieves-97-75-silicon-recovery-for-electrode-production/</x:v>
      </x:c>
      <x:c r="K425" s="6" t="str">
        <x:v>Dated article URL: 2026-07-02. Search publication metadata: 3 months ago. </x:v>
      </x:c>
    </x:row>
    <x:row r="426" ht="15" hidden="0" customHeight="1">
      <x:c r="A426" s="12" t="n">
        <x:v>40</x:v>
      </x:c>
      <x:c r="B426" s="6" t="str">
        <x:v>Battery recycling and materials recovery</x:v>
      </x:c>
      <x:c r="C426" s="6" t="str">
        <x:v>Electrification</x:v>
      </x:c>
      <x:c r="D426" s="6" t="str">
        <x:v>Canary Media</x:v>
      </x:c>
      <x:c r="E426" s="6" t="str">
        <x:v>canarymedia.com</x:v>
      </x:c>
      <x:c r="F426" s="6" t="str">
        <x:v>Specialist news</x:v>
      </x:c>
      <x:c r="G426" s="6" t="str">
        <x:v>Battery recycling developments; commercial deployments, policy and industry news.</x:v>
      </x:c>
      <x:c r="H426" s="6" t="str">
        <x:v>https://www.canarymedia.com/articles/batteries/battery-recycling-ascend-elements</x:v>
      </x:c>
      <x:c r="I426" s="16" t="d">
        <x:v>2026-04-17T12:00:00.000Z</x:v>
      </x:c>
      <x:c r="J426" s="6" t="str">
        <x:v>https://www.canarymedia.com/articles/batteries/battery-recycling-ascend-elements</x:v>
      </x:c>
      <x:c r="K426" s="6" t="str">
        <x:v>Dated item visible in retrieved page/index: 2026-04-17. Search publication metadata: 6 months ago. </x:v>
      </x:c>
    </x:row>
    <x:row r="427" ht="24" hidden="0" customHeight="1">
      <x:c r="A427" s="12" t="n">
        <x:v>40</x:v>
      </x:c>
      <x:c r="B427" s="6" t="str">
        <x:v>Battery recycling and materials recovery</x:v>
      </x:c>
      <x:c r="C427" s="6" t="str">
        <x:v>Electrification</x:v>
      </x:c>
      <x:c r="D427" s="6" t="str">
        <x:v>Recharge</x:v>
      </x:c>
      <x:c r="E427" s="6" t="str">
        <x:v>rechargenews.com</x:v>
      </x:c>
      <x:c r="F427" s="6" t="str">
        <x:v>Specialist news</x:v>
      </x:c>
      <x:c r="G427" s="6" t="str">
        <x:v>Battery recycling developments; commercial deployments, policy and industry news.</x:v>
      </x:c>
      <x:c r="H427" s="6" t="str">
        <x:v>https://www.rechargenews.com/policy/us-battery-boom-will-face-china-price-test-when-subsidies-wind-down/2-1-2018822?zephr_sso_ott=VcmRDS</x:v>
      </x:c>
      <x:c r="I427" s="16" t="d">
        <x:v>2026-07-27T12:00:00.000Z</x:v>
      </x:c>
      <x:c r="J427" s="6" t="str">
        <x:v>https://www.rechargenews.com/policy/us-battery-boom-will-face-china-price-test-when-subsidies-wind-down/2-1-2018822?zephr_sso_ott=VcmRDS</x:v>
      </x:c>
      <x:c r="K427" s="6" t="str">
        <x:v>Dated item visible in retrieved page/index: 2026-07-27. Search publication metadata: 2 months ago. </x:v>
      </x:c>
    </x:row>
    <x:row r="428" ht="15" hidden="0" customHeight="1">
      <x:c r="A428" s="12" t="n">
        <x:v>40</x:v>
      </x:c>
      <x:c r="B428" s="6" t="str">
        <x:v>Battery recycling and materials recovery</x:v>
      </x:c>
      <x:c r="C428" s="6" t="str">
        <x:v>Electrification</x:v>
      </x:c>
      <x:c r="D428" s="6" t="str">
        <x:v>Benchmark Mineral Intelligence</x:v>
      </x:c>
      <x:c r="E428" s="6" t="str">
        <x:v>benchmarkminerals.com</x:v>
      </x:c>
      <x:c r="F428" s="6" t="str">
        <x:v>Specialist news</x:v>
      </x:c>
      <x:c r="G428" s="6" t="str">
        <x:v>Battery recycling developments; commercial deployments, policy and industry news.</x:v>
      </x:c>
      <x:c r="H428" s="6" t="str">
        <x:v>https://source.benchmarkminerals.com/article/china-s-miit-measures-for-comprehensive-utilisation-of-nev-batteries-take-effect</x:v>
      </x:c>
      <x:c r="I428" s="16" t="d">
        <x:v>2026-04-01T12:00:00.000Z</x:v>
      </x:c>
      <x:c r="J428" s="6" t="str">
        <x:v>https://source.benchmarkminerals.com/article/china-s-miit-measures-for-comprehensive-utilisation-of-nev-batteries-take-effect</x:v>
      </x:c>
      <x:c r="K428" s="6" t="str">
        <x:v>Dated item visible in retrieved page/index: 2026-04-01. Search publication metadata: 6 months ago. </x:v>
      </x:c>
    </x:row>
    <x:row r="429" ht="15" hidden="0" customHeight="1">
      <x:c r="A429" s="12" t="n">
        <x:v>40</x:v>
      </x:c>
      <x:c r="B429" s="6" t="str">
        <x:v>Battery recycling and materials recovery</x:v>
      </x:c>
      <x:c r="C429" s="6" t="str">
        <x:v>Electrification</x:v>
      </x:c>
      <x:c r="D429" s="6" t="str">
        <x:v>Recycling International</x:v>
      </x:c>
      <x:c r="E429" s="6" t="str">
        <x:v>recyclinginternational.com</x:v>
      </x:c>
      <x:c r="F429" s="6" t="str">
        <x:v>Specialist news</x:v>
      </x:c>
      <x:c r="G429" s="6" t="str">
        <x:v>Battery recycling developments; commercial deployments, policy and industry news.</x:v>
      </x:c>
      <x:c r="H429" s="6" t="str">
        <x:v>https://recyclinginternational.com/commodities/battery-recycling/blc-plans-to-double-battery-recycling-capacity-as-market-evolves/64944/</x:v>
      </x:c>
      <x:c r="I429" s="16" t="d">
        <x:v>2026-09-16T12:00:00.000Z</x:v>
      </x:c>
      <x:c r="J429" s="6" t="str">
        <x:v>https://recyclinginternational.com/commodities/battery-recycling/blc-plans-to-double-battery-recycling-capacity-as-market-evolves/64944/</x:v>
      </x:c>
      <x:c r="K429" s="6" t="str">
        <x:v>Dated item visible in retrieved page/index: 2026-09-16. Search publication metadata: last month. </x:v>
      </x:c>
    </x:row>
    <x:row r="430" ht="15" hidden="0" customHeight="1">
      <x:c r="A430" s="12" t="n">
        <x:v>41</x:v>
      </x:c>
      <x:c r="B430" s="6" t="str">
        <x:v>Low-emissions hydrogen and electrolyzers</x:v>
      </x:c>
      <x:c r="C430" s="6" t="str">
        <x:v>Sustainable industry</x:v>
      </x:c>
      <x:c r="D430" s="6" t="str">
        <x:v>Hydrogen Insight</x:v>
      </x:c>
      <x:c r="E430" s="6" t="str">
        <x:v>hydrogeninsight.com</x:v>
      </x:c>
      <x:c r="F430" s="6" t="str">
        <x:v>Specialist news</x:v>
      </x:c>
      <x:c r="G430" s="6" t="str">
        <x:v>Hydrogen electrolyzer developments; commercial deployments, policy and industry news.</x:v>
      </x:c>
      <x:c r="H430" s="6" t="str">
        <x:v>https://www.hydrogeninsight.com/electrolysers/overseas-deliveries-of-chinese-made-electrolysers-skyrocketed-in-first-half-of-2026/2-1-2018238</x:v>
      </x:c>
      <x:c r="I430" s="16" t="d">
        <x:v>2026-07-20T12:00:00.000Z</x:v>
      </x:c>
      <x:c r="J430" s="6" t="str">
        <x:v>https://www.hydrogeninsight.com/electrolysers/overseas-deliveries-of-chinese-made-electrolysers-skyrocketed-in-first-half-of-2026/2-1-2018238</x:v>
      </x:c>
      <x:c r="K430" s="6" t="str">
        <x:v>Dated item visible in retrieved page/index: 2026-07-20. Search publication metadata: 2 months ago. </x:v>
      </x:c>
    </x:row>
    <x:row r="431" ht="24" hidden="0" customHeight="1">
      <x:c r="A431" s="12" t="n">
        <x:v>41</x:v>
      </x:c>
      <x:c r="B431" s="6" t="str">
        <x:v>Low-emissions hydrogen and electrolyzers</x:v>
      </x:c>
      <x:c r="C431" s="6" t="str">
        <x:v>Sustainable industry</x:v>
      </x:c>
      <x:c r="D431" s="6" t="str">
        <x:v>H2 View</x:v>
      </x:c>
      <x:c r="E431" s="6" t="str">
        <x:v>h2-view.com</x:v>
      </x:c>
      <x:c r="F431" s="6" t="str">
        <x:v>Specialist news</x:v>
      </x:c>
      <x:c r="G431" s="6" t="str">
        <x:v>Hydrogen electrolyzer developments; commercial deployments, policy and industry news.</x:v>
      </x:c>
      <x:c r="H431" s="6" t="str">
        <x:v>https://www.h2-view.com/story/eu-funded-green-hydrogen-projects-may-be-required-to-prioritise-european-made-electrolysers-under-the-european-commissions-proposed-industrial-accelerator-act-iaa-public-procurement-rules/2138150.article/</x:v>
      </x:c>
      <x:c r="I431" s="16" t="d">
        <x:v>2026-03-04T12:00:00.000Z</x:v>
      </x:c>
      <x:c r="J431" s="6" t="str">
        <x:v>https://www.h2-view.com/story/eu-funded-green-hydrogen-projects-may-be-required-to-prioritise-european-made-electrolysers-under-the-european-commissions-proposed-industrial-accelerator-act-iaa-public-procurement-rules/2138150.article/</x:v>
      </x:c>
      <x:c r="K431" s="6" t="str">
        <x:v>Dated item visible in retrieved page/index: 2026-03-04. Search publication metadata: 7 months ago. </x:v>
      </x:c>
    </x:row>
    <x:row r="432" ht="15" hidden="0" customHeight="1">
      <x:c r="A432" s="12" t="n">
        <x:v>41</x:v>
      </x:c>
      <x:c r="B432" s="6" t="str">
        <x:v>Low-emissions hydrogen and electrolyzers</x:v>
      </x:c>
      <x:c r="C432" s="6" t="str">
        <x:v>Sustainable industry</x:v>
      </x:c>
      <x:c r="D432" s="6" t="str">
        <x:v>gasworld</x:v>
      </x:c>
      <x:c r="E432" s="6" t="str">
        <x:v>gasworld.com</x:v>
      </x:c>
      <x:c r="F432" s="6" t="str">
        <x:v>Specialist news</x:v>
      </x:c>
      <x:c r="G432" s="6" t="str">
        <x:v>Hydrogen electrolyzer developments; commercial deployments, policy and industry news.</x:v>
      </x:c>
      <x:c r="H432" s="6" t="str">
        <x:v>https://www.gasworld.com/story/irish-developer-eyes-exclusive-rights-to-manufacture-cph2-electrolysers/2253030.article/</x:v>
      </x:c>
      <x:c r="I432" s="16" t="d">
        <x:v>2026-06-25T12:00:00.000Z</x:v>
      </x:c>
      <x:c r="J432" s="6" t="str">
        <x:v>https://www.gasworld.com/story/irish-developer-eyes-exclusive-rights-to-manufacture-cph2-electrolysers/2253030.article/</x:v>
      </x:c>
      <x:c r="K432" s="6" t="str">
        <x:v>Dated item visible in retrieved page/index: 2026-06-25. Search publication metadata: 3 months ago. </x:v>
      </x:c>
    </x:row>
    <x:row r="433" ht="24" hidden="0" customHeight="1">
      <x:c r="A433" s="12" t="n">
        <x:v>41</x:v>
      </x:c>
      <x:c r="B433" s="6" t="str">
        <x:v>Low-emissions hydrogen and electrolyzers</x:v>
      </x:c>
      <x:c r="C433" s="6" t="str">
        <x:v>Sustainable industry</x:v>
      </x:c>
      <x:c r="D433" s="6" t="str">
        <x:v>Hydrogen Central</x:v>
      </x:c>
      <x:c r="E433" s="6" t="str">
        <x:v>hydrogen-central.com</x:v>
      </x:c>
      <x:c r="F433" s="6" t="str">
        <x:v>Specialist news</x:v>
      </x:c>
      <x:c r="G433" s="6" t="str">
        <x:v>Hydrogen electrolyzer developments; commercial deployments, policy and industry news.</x:v>
      </x:c>
      <x:c r="H433" s="6" t="str">
        <x:v>https://hydrogen-central.com/next-hydrogen-secures-up-to-2-million-nrcan-contribution-funding-to-advance-canadian-commercial-electrolyzer-technology/</x:v>
      </x:c>
      <x:c r="I433" s="16" t="d">
        <x:v>2026-09-17T12:00:00.000Z</x:v>
      </x:c>
      <x:c r="J433" s="6" t="str">
        <x:v>https://hydrogen-central.com/next-hydrogen-secures-up-to-2-million-nrcan-contribution-funding-to-advance-canadian-commercial-electrolyzer-technology/</x:v>
      </x:c>
      <x:c r="K433" s="6" t="str">
        <x:v>Dated item visible in retrieved page/index: 2026-09-17. Search publication metadata: last month. </x:v>
      </x:c>
    </x:row>
    <x:row r="434" ht="24" hidden="0" customHeight="1">
      <x:c r="A434" s="12" t="n">
        <x:v>41</x:v>
      </x:c>
      <x:c r="B434" s="6" t="str">
        <x:v>Low-emissions hydrogen and electrolyzers</x:v>
      </x:c>
      <x:c r="C434" s="6" t="str">
        <x:v>Sustainable industry</x:v>
      </x:c>
      <x:c r="D434" s="6" t="str">
        <x:v>pv magazine</x:v>
      </x:c>
      <x:c r="E434" s="6" t="str">
        <x:v>pv-magazine.com</x:v>
      </x:c>
      <x:c r="F434" s="6" t="str">
        <x:v>Specialist news</x:v>
      </x:c>
      <x:c r="G434" s="6" t="str">
        <x:v>Hydrogen electrolyzer developments; commercial deployments, policy and industry news.</x:v>
      </x:c>
      <x:c r="H434" s="6" t="str">
        <x:v>https://www.pv-magazine.com/2026/07/27/advait-greenergy-guofuhee-showcase-5-mw-alkaline-electrolyser-in-live-factory-acceptance-testing-ahead-of-india-deployment/</x:v>
      </x:c>
      <x:c r="I434" s="16" t="d">
        <x:v>2026-07-27T12:00:00.000Z</x:v>
      </x:c>
      <x:c r="J434" s="6" t="str">
        <x:v>https://www.pv-magazine.com/2026/07/27/advait-greenergy-guofuhee-showcase-5-mw-alkaline-electrolyser-in-live-factory-acceptance-testing-ahead-of-india-deployment/</x:v>
      </x:c>
      <x:c r="K434" s="6" t="str">
        <x:v>Dated article URL: 2026-07-27. Search publication metadata: 2 months ago. </x:v>
      </x:c>
    </x:row>
    <x:row r="435" ht="15" hidden="0" customHeight="1">
      <x:c r="A435" s="12" t="n">
        <x:v>41</x:v>
      </x:c>
      <x:c r="B435" s="6" t="str">
        <x:v>Low-emissions hydrogen and electrolyzers</x:v>
      </x:c>
      <x:c r="C435" s="6" t="str">
        <x:v>Sustainable industry</x:v>
      </x:c>
      <x:c r="D435" s="6" t="str">
        <x:v>Offshore Energy</x:v>
      </x:c>
      <x:c r="E435" s="6" t="str">
        <x:v>offshore-energy.biz</x:v>
      </x:c>
      <x:c r="F435" s="6" t="str">
        <x:v>Specialist news</x:v>
      </x:c>
      <x:c r="G435" s="6" t="str">
        <x:v>Hydrogen electrolyzer developments; commercial deployments, policy and industry news.</x:v>
      </x:c>
      <x:c r="H435" s="6" t="str">
        <x:v>https://www.offshore-energy.biz/2026/07/24/north-sea-pilot-project-produces-first-green-hydrogen-on-operational-platform</x:v>
      </x:c>
      <x:c r="I435" s="16" t="d">
        <x:v>2026-07-24T12:00:00.000Z</x:v>
      </x:c>
      <x:c r="J435" s="6" t="str">
        <x:v>https://www.offshore-energy.biz/2026/07/24/north-sea-pilot-project-produces-first-green-hydrogen-on-operational-platform</x:v>
      </x:c>
      <x:c r="K435" s="6" t="str">
        <x:v>Dated article URL: 2026-07-24. Search publication metadata: 2 months ago. </x:v>
      </x:c>
    </x:row>
    <x:row r="436" ht="15" hidden="0" customHeight="1">
      <x:c r="A436" s="12" t="n">
        <x:v>41</x:v>
      </x:c>
      <x:c r="B436" s="6" t="str">
        <x:v>Low-emissions hydrogen and electrolyzers</x:v>
      </x:c>
      <x:c r="C436" s="6" t="str">
        <x:v>Sustainable industry</x:v>
      </x:c>
      <x:c r="D436" s="6" t="str">
        <x:v>Hydrogen Tech World</x:v>
      </x:c>
      <x:c r="E436" s="6" t="str">
        <x:v>hydrogentechworld.com</x:v>
      </x:c>
      <x:c r="F436" s="6" t="str">
        <x:v>Specialist news</x:v>
      </x:c>
      <x:c r="G436" s="6" t="str">
        <x:v>Hydrogen electrolyzer developments; commercial deployments, policy and industry news.</x:v>
      </x:c>
      <x:c r="H436" s="6" t="str">
        <x:v>https://hydrogentechworld.com/news-category/electrolyzers</x:v>
      </x:c>
      <x:c r="I436" s="16" t="d">
        <x:v>2026-07-22T12:00:00.000Z</x:v>
      </x:c>
      <x:c r="J436" s="6" t="str">
        <x:v>https://hydrogentechworld.com/news-category/electrolyzers</x:v>
      </x:c>
      <x:c r="K436" s="6" t="str">
        <x:v>Dated item visible in retrieved page/index: 2026-07-22. Search publication metadata: 2 months ago. </x:v>
      </x:c>
    </x:row>
    <x:row r="437" ht="15" hidden="0" customHeight="1">
      <x:c r="A437" s="12" t="n">
        <x:v>41</x:v>
      </x:c>
      <x:c r="B437" s="6" t="str">
        <x:v>Low-emissions hydrogen and electrolyzers</x:v>
      </x:c>
      <x:c r="C437" s="6" t="str">
        <x:v>Sustainable industry</x:v>
      </x:c>
      <x:c r="D437" s="6" t="str">
        <x:v>International Energy Agency</x:v>
      </x:c>
      <x:c r="E437" s="6" t="str">
        <x:v>iea.org</x:v>
      </x:c>
      <x:c r="F437" s="6" t="str">
        <x:v>Research / association / public updates</x:v>
      </x:c>
      <x:c r="G437" s="6" t="str">
        <x:v>Hydrogen electrolyzer developments; primary updates and research.</x:v>
      </x:c>
      <x:c r="H437" s="6" t="str">
        <x:v>https://www.iea.org/energy-system/renewables-and-low-emissions/hydrogen</x:v>
      </x:c>
      <x:c r="I437" s="16" t="d">
        <x:v>2026-06-18T12:00:00.000Z</x:v>
      </x:c>
      <x:c r="J437" s="6" t="str">
        <x:v>https://www.iea.org/energy-system/renewables-and-low-emissions/hydrogen</x:v>
      </x:c>
      <x:c r="K437" s="6" t="str">
        <x:v>Dated item visible in retrieved page/index: 2026-06-18. Search publication metadata: 4 months ago. </x:v>
      </x:c>
    </x:row>
    <x:row r="438" ht="24" hidden="0" customHeight="1">
      <x:c r="A438" s="12" t="n">
        <x:v>41</x:v>
      </x:c>
      <x:c r="B438" s="6" t="str">
        <x:v>Low-emissions hydrogen and electrolyzers</x:v>
      </x:c>
      <x:c r="C438" s="6" t="str">
        <x:v>Sustainable industry</x:v>
      </x:c>
      <x:c r="D438" s="6" t="str">
        <x:v>FuelCellsWorks</x:v>
      </x:c>
      <x:c r="E438" s="6" t="str">
        <x:v>fuelcellsworks.com</x:v>
      </x:c>
      <x:c r="F438" s="6" t="str">
        <x:v>Specialist news</x:v>
      </x:c>
      <x:c r="G438" s="6" t="str">
        <x:v>Hydrogen electrolyzer developments; commercial deployments, policy and industry news.</x:v>
      </x:c>
      <x:c r="H438" s="6" t="str">
        <x:v>https://fuelcellsworks.com/2026/08/13/electrolyzer/europe-s-electrolyser-factories-sit-underused-as-less-than-10-percent-of-2030-hydrogen-projects-reach-fid</x:v>
      </x:c>
      <x:c r="I438" s="16" t="d">
        <x:v>2026-08-13T12:00:00.000Z</x:v>
      </x:c>
      <x:c r="J438" s="6" t="str">
        <x:v>https://fuelcellsworks.com/2026/08/13/electrolyzer/europe-s-electrolyser-factories-sit-underused-as-less-than-10-percent-of-2030-hydrogen-projects-reach-fid</x:v>
      </x:c>
      <x:c r="K438" s="6" t="str">
        <x:v>Dated article URL: 2026-08-13. Search publication metadata: 2 months ago. </x:v>
      </x:c>
    </x:row>
    <x:row r="439" ht="15" hidden="0" customHeight="1">
      <x:c r="A439" s="12" t="n">
        <x:v>41</x:v>
      </x:c>
      <x:c r="B439" s="6" t="str">
        <x:v>Low-emissions hydrogen and electrolyzers</x:v>
      </x:c>
      <x:c r="C439" s="6" t="str">
        <x:v>Sustainable industry</x:v>
      </x:c>
      <x:c r="D439" s="6" t="str">
        <x:v>Energy Live News</x:v>
      </x:c>
      <x:c r="E439" s="6" t="str">
        <x:v>energylivenews.com</x:v>
      </x:c>
      <x:c r="F439" s="6" t="str">
        <x:v>Specialist news</x:v>
      </x:c>
      <x:c r="G439" s="6" t="str">
        <x:v>Hydrogen electrolyzer developments; commercial deployments, policy and industry news.</x:v>
      </x:c>
      <x:c r="H439" s="6" t="str">
        <x:v>https://www.energylivenews.com/2026/08/13/hydrogen-on-hold-as-plants-sit-underused/</x:v>
      </x:c>
      <x:c r="I439" s="16" t="d">
        <x:v>2026-08-13T12:00:00.000Z</x:v>
      </x:c>
      <x:c r="J439" s="6" t="str">
        <x:v>https://www.energylivenews.com/2026/08/13/hydrogen-on-hold-as-plants-sit-underused/</x:v>
      </x:c>
      <x:c r="K439" s="6" t="str">
        <x:v>Dated article URL: 2026-08-13. Search publication metadata: 2 months ago. </x:v>
      </x:c>
    </x:row>
    <x:row r="440" ht="15" hidden="0" customHeight="1">
      <x:c r="A440" s="12" t="n">
        <x:v>42</x:v>
      </x:c>
      <x:c r="B440" s="6" t="str">
        <x:v>Industrial carbon capture and storage</x:v>
      </x:c>
      <x:c r="C440" s="6" t="str">
        <x:v>Sustainable industry</x:v>
      </x:c>
      <x:c r="D440" s="6" t="str">
        <x:v>Carbon Herald</x:v>
      </x:c>
      <x:c r="E440" s="6" t="str">
        <x:v>carbonherald.com</x:v>
      </x:c>
      <x:c r="F440" s="6" t="str">
        <x:v>Specialist news</x:v>
      </x:c>
      <x:c r="G440" s="6" t="str">
        <x:v>Carbon capture storage developments; commercial deployments, policy and industry news.</x:v>
      </x:c>
      <x:c r="H440" s="6" t="str">
        <x:v>https://carbonherald.com/whats-next-for-carbon-capture-utilization-storage-ccus-in-2026/</x:v>
      </x:c>
      <x:c r="I440" s="16" t="d">
        <x:v>2026-01-14T12:00:00.000Z</x:v>
      </x:c>
      <x:c r="J440" s="6" t="str">
        <x:v>https://carbonherald.com/whats-next-for-carbon-capture-utilization-storage-ccus-in-2026/</x:v>
      </x:c>
      <x:c r="K440" s="6" t="str">
        <x:v>Dated item visible in retrieved page/index: 2026-01-14. Search publication metadata: 9 months ago. </x:v>
      </x:c>
    </x:row>
    <x:row r="441" ht="15" hidden="0" customHeight="1">
      <x:c r="A441" s="12" t="n">
        <x:v>42</x:v>
      </x:c>
      <x:c r="B441" s="6" t="str">
        <x:v>Industrial carbon capture and storage</x:v>
      </x:c>
      <x:c r="C441" s="6" t="str">
        <x:v>Sustainable industry</x:v>
      </x:c>
      <x:c r="D441" s="6" t="str">
        <x:v>Carbon Capture Magazine</x:v>
      </x:c>
      <x:c r="E441" s="6" t="str">
        <x:v>carboncapturemagazine.com</x:v>
      </x:c>
      <x:c r="F441" s="6" t="str">
        <x:v>Specialist news</x:v>
      </x:c>
      <x:c r="G441" s="6" t="str">
        <x:v>Carbon capture storage developments; commercial deployments, policy and industry news.</x:v>
      </x:c>
      <x:c r="H441" s="6" t="str">
        <x:v>https://carboncapturemagazine.com/articles/liverpool-bay-ccs-completes-installation-of-offshore-co2-storage-program</x:v>
      </x:c>
      <x:c r="I441" s="16" t="d">
        <x:v>2026-10-08T12:00:00.000Z</x:v>
      </x:c>
      <x:c r="J441" s="6" t="str">
        <x:v>https://carboncapturemagazine.com/articles/liverpool-bay-ccs-completes-installation-of-offshore-co2-storage-program</x:v>
      </x:c>
      <x:c r="K441" s="6" t="str">
        <x:v>Dated item visible in retrieved page/index: 2026-10-08. Search publication metadata: last week. </x:v>
      </x:c>
    </x:row>
    <x:row r="442" ht="15" hidden="0" customHeight="1">
      <x:c r="A442" s="12" t="n">
        <x:v>42</x:v>
      </x:c>
      <x:c r="B442" s="6" t="str">
        <x:v>Industrial carbon capture and storage</x:v>
      </x:c>
      <x:c r="C442" s="6" t="str">
        <x:v>Sustainable industry</x:v>
      </x:c>
      <x:c r="D442" s="6" t="str">
        <x:v>Offshore Energy</x:v>
      </x:c>
      <x:c r="E442" s="6" t="str">
        <x:v>offshore-energy.biz</x:v>
      </x:c>
      <x:c r="F442" s="6" t="str">
        <x:v>Specialist news</x:v>
      </x:c>
      <x:c r="G442" s="6" t="str">
        <x:v>Carbon capture storage developments; commercial deployments, policy and industry news.</x:v>
      </x:c>
      <x:c r="H442" s="6" t="str">
        <x:v>https://www.offshore-energy.biz/2026/07/29/shearwater-to-explore-carbon-storage-potential-in-australian-waters</x:v>
      </x:c>
      <x:c r="I442" s="16" t="d">
        <x:v>2026-07-29T12:00:00.000Z</x:v>
      </x:c>
      <x:c r="J442" s="6" t="str">
        <x:v>https://www.offshore-energy.biz/2026/07/29/shearwater-to-explore-carbon-storage-potential-in-australian-waters</x:v>
      </x:c>
      <x:c r="K442" s="6" t="str">
        <x:v>Dated article URL: 2026-07-29. Search publication metadata: 2 months ago. </x:v>
      </x:c>
    </x:row>
    <x:row r="443" ht="15" hidden="0" customHeight="1">
      <x:c r="A443" s="12" t="n">
        <x:v>42</x:v>
      </x:c>
      <x:c r="B443" s="6" t="str">
        <x:v>Industrial carbon capture and storage</x:v>
      </x:c>
      <x:c r="C443" s="6" t="str">
        <x:v>Sustainable industry</x:v>
      </x:c>
      <x:c r="D443" s="6" t="str">
        <x:v>gasworld</x:v>
      </x:c>
      <x:c r="E443" s="6" t="str">
        <x:v>gasworld.com</x:v>
      </x:c>
      <x:c r="F443" s="6" t="str">
        <x:v>Specialist news</x:v>
      </x:c>
      <x:c r="G443" s="6" t="str">
        <x:v>Carbon capture storage developments; commercial deployments, policy and industry news.</x:v>
      </x:c>
      <x:c r="H443" s="6" t="str">
        <x:v>https://www.gasworld.com/story/is-europes-ccs-pipeline-running-out-of-steam/2252015.article/</x:v>
      </x:c>
      <x:c r="I443" s="16" t="d">
        <x:v>2026-06-12T12:00:00.000Z</x:v>
      </x:c>
      <x:c r="J443" s="6" t="str">
        <x:v>https://www.gasworld.com/story/is-europes-ccs-pipeline-running-out-of-steam/2252015.article/</x:v>
      </x:c>
      <x:c r="K443" s="6" t="str">
        <x:v>Dated item visible in retrieved page/index: 2026-06-12. Search publication metadata: 4 months ago. </x:v>
      </x:c>
    </x:row>
    <x:row r="444" ht="15" hidden="0" customHeight="1">
      <x:c r="A444" s="12" t="n">
        <x:v>42</x:v>
      </x:c>
      <x:c r="B444" s="6" t="str">
        <x:v>Industrial carbon capture and storage</x:v>
      </x:c>
      <x:c r="C444" s="6" t="str">
        <x:v>Sustainable industry</x:v>
      </x:c>
      <x:c r="D444" s="6" t="str">
        <x:v>Energy Voice</x:v>
      </x:c>
      <x:c r="E444" s="6" t="str">
        <x:v>energyvoice.com</x:v>
      </x:c>
      <x:c r="F444" s="6" t="str">
        <x:v>Specialist news</x:v>
      </x:c>
      <x:c r="G444" s="6" t="str">
        <x:v>Carbon capture storage developments; commercial deployments, policy and industry news.</x:v>
      </x:c>
      <x:c r="H444" s="6" t="str">
        <x:v>https://www.energyvoice.com/renewables-energy-transition/ccs/uk-ccs/599144/uk-consortium-plans-teesside-direct-air-capture-plant/</x:v>
      </x:c>
      <x:c r="I444" s="16" t="d">
        <x:v>2026-06-11T12:00:00.000Z</x:v>
      </x:c>
      <x:c r="J444" s="6" t="str">
        <x:v>https://www.energyvoice.com/renewables-energy-transition/ccs/uk-ccs/599144/uk-consortium-plans-teesside-direct-air-capture-plant/</x:v>
      </x:c>
      <x:c r="K444" s="6" t="str">
        <x:v>Dated item visible in retrieved page/index: 2026-06-11. Search publication metadata: 4 months ago. </x:v>
      </x:c>
    </x:row>
    <x:row r="445" ht="15" hidden="0" customHeight="1">
      <x:c r="A445" s="12" t="n">
        <x:v>42</x:v>
      </x:c>
      <x:c r="B445" s="6" t="str">
        <x:v>Industrial carbon capture and storage</x:v>
      </x:c>
      <x:c r="C445" s="6" t="str">
        <x:v>Sustainable industry</x:v>
      </x:c>
      <x:c r="D445" s="6" t="str">
        <x:v>POWER Magazine</x:v>
      </x:c>
      <x:c r="E445" s="6" t="str">
        <x:v>powermag.com</x:v>
      </x:c>
      <x:c r="F445" s="6" t="str">
        <x:v>Specialist news</x:v>
      </x:c>
      <x:c r="G445" s="6" t="str">
        <x:v>Carbon capture storage developments; commercial deployments, policy and industry news.</x:v>
      </x:c>
      <x:c r="H445" s="6" t="str">
        <x:v>https://www.powermag.com/the-real-barriers-to-power-sector-carbon-capture/</x:v>
      </x:c>
      <x:c r="I445" s="16" t="d">
        <x:v>2026-03-02T12:00:00.000Z</x:v>
      </x:c>
      <x:c r="J445" s="6" t="str">
        <x:v>https://www.powermag.com/the-real-barriers-to-power-sector-carbon-capture/</x:v>
      </x:c>
      <x:c r="K445" s="6" t="str">
        <x:v>Dated item visible in retrieved page/index: 2026-03-02. Search publication metadata: 7 months ago. </x:v>
      </x:c>
    </x:row>
    <x:row r="446" ht="15" hidden="0" customHeight="1">
      <x:c r="A446" s="12" t="n">
        <x:v>42</x:v>
      </x:c>
      <x:c r="B446" s="6" t="str">
        <x:v>Industrial carbon capture and storage</x:v>
      </x:c>
      <x:c r="C446" s="6" t="str">
        <x:v>Sustainable industry</x:v>
      </x:c>
      <x:c r="D446" s="6" t="str">
        <x:v>Global CCS Institute</x:v>
      </x:c>
      <x:c r="E446" s="6" t="str">
        <x:v>globalccsinstitute.com</x:v>
      </x:c>
      <x:c r="F446" s="6" t="str">
        <x:v>Research / association / public updates</x:v>
      </x:c>
      <x:c r="G446" s="6" t="str">
        <x:v>Carbon capture storage developments; primary updates and research.</x:v>
      </x:c>
      <x:c r="H446" s="6" t="str">
        <x:v>https://www.globalccsinstitute.com/carbonmanagementfactsheet/</x:v>
      </x:c>
      <x:c r="I446" s="16" t="d">
        <x:v>2026-06-13T12:00:00.000Z</x:v>
      </x:c>
      <x:c r="J446" s="6" t="str">
        <x:v>https://www.globalccsinstitute.com/carbonmanagementfactsheet/</x:v>
      </x:c>
      <x:c r="K446" s="6" t="str">
        <x:v>Dated item visible in retrieved page/index: 2026-06-13. Search publication metadata: 4 months ago. </x:v>
      </x:c>
    </x:row>
    <x:row r="447" ht="15" hidden="0" customHeight="1">
      <x:c r="A447" s="12" t="n">
        <x:v>42</x:v>
      </x:c>
      <x:c r="B447" s="6" t="str">
        <x:v>Industrial carbon capture and storage</x:v>
      </x:c>
      <x:c r="C447" s="6" t="str">
        <x:v>Sustainable industry</x:v>
      </x:c>
      <x:c r="D447" s="6" t="str">
        <x:v>International Energy Agency</x:v>
      </x:c>
      <x:c r="E447" s="6" t="str">
        <x:v>iea.org</x:v>
      </x:c>
      <x:c r="F447" s="6" t="str">
        <x:v>Research / association / public updates</x:v>
      </x:c>
      <x:c r="G447" s="6" t="str">
        <x:v>Carbon capture storage developments; primary updates and research.</x:v>
      </x:c>
      <x:c r="H447" s="6" t="str">
        <x:v>https://www.iea.org/policies/30864-carbon-capture-and-storage-investment-agreement</x:v>
      </x:c>
      <x:c r="I447" s="16" t="d">
        <x:v>2026-03-31T12:00:00.000Z</x:v>
      </x:c>
      <x:c r="J447" s="6" t="str">
        <x:v>https://www.iea.org/policies/30864-carbon-capture-and-storage-investment-agreement</x:v>
      </x:c>
      <x:c r="K447" s="6" t="str">
        <x:v>Dated item visible in retrieved page/index: 2026-03-31. </x:v>
      </x:c>
    </x:row>
    <x:row r="448" ht="15" hidden="0" customHeight="1">
      <x:c r="A448" s="12" t="n">
        <x:v>42</x:v>
      </x:c>
      <x:c r="B448" s="6" t="str">
        <x:v>Industrial carbon capture and storage</x:v>
      </x:c>
      <x:c r="C448" s="6" t="str">
        <x:v>Sustainable industry</x:v>
      </x:c>
      <x:c r="D448" s="6" t="str">
        <x:v>Carbon Capture Journal</x:v>
      </x:c>
      <x:c r="E448" s="6" t="str">
        <x:v>carboncapturejournal.com</x:v>
      </x:c>
      <x:c r="F448" s="6" t="str">
        <x:v>Specialist news</x:v>
      </x:c>
      <x:c r="G448" s="6" t="str">
        <x:v>Carbon capture storage developments; commercial deployments, policy and industry news.</x:v>
      </x:c>
      <x:c r="H448" s="6" t="str">
        <x:v>https://www.carboncapturejournal.com/news/atlas-maps-carbon-storage-opportunities-across-eastern-canada/7226.aspx</x:v>
      </x:c>
      <x:c r="I448" s="16" t="d">
        <x:v>2026-04-21T12:00:00.000Z</x:v>
      </x:c>
      <x:c r="J448" s="6" t="str">
        <x:v>https://www.carboncapturejournal.com/news/atlas-maps-carbon-storage-opportunities-across-eastern-canada/7226.aspx</x:v>
      </x:c>
      <x:c r="K448" s="6" t="str">
        <x:v>Dated item visible in retrieved page/index: 2026-04-21. Search publication metadata: 5 months ago. </x:v>
      </x:c>
    </x:row>
    <x:row r="449" ht="15" hidden="0" customHeight="1">
      <x:c r="A449" s="12" t="n">
        <x:v>42</x:v>
      </x:c>
      <x:c r="B449" s="6" t="str">
        <x:v>Industrial carbon capture and storage</x:v>
      </x:c>
      <x:c r="C449" s="6" t="str">
        <x:v>Sustainable industry</x:v>
      </x:c>
      <x:c r="D449" s="6" t="str">
        <x:v>Carbon Clean newsroom</x:v>
      </x:c>
      <x:c r="E449" s="6" t="str">
        <x:v>carbonclean.com</x:v>
      </x:c>
      <x:c r="F449" s="6" t="str">
        <x:v>Vendor newsroom</x:v>
      </x:c>
      <x:c r="G449" s="6" t="str">
        <x:v>Carbon capture storage developments; commercial deployments, policy and industry news.</x:v>
      </x:c>
      <x:c r="H449" s="6" t="str">
        <x:v>https://www.carbonclean.com/insights/end-of-year-reflections</x:v>
      </x:c>
      <x:c r="I449" s="16" t="d">
        <x:v>2026-01-02T12:00:00.000Z</x:v>
      </x:c>
      <x:c r="J449" s="6" t="str">
        <x:v>https://www.carbonclean.com/insights/end-of-year-reflections</x:v>
      </x:c>
      <x:c r="K449" s="6" t="str">
        <x:v>Dated item visible in retrieved page/index: 2026-01-02. Search publication metadata: 9 months ago. </x:v>
      </x:c>
    </x:row>
    <x:row r="450" ht="24" hidden="0" customHeight="1">
      <x:c r="A450" s="12" t="n">
        <x:v>43</x:v>
      </x:c>
      <x:c r="B450" s="6" t="str">
        <x:v>Low-carbon cement and concrete</x:v>
      </x:c>
      <x:c r="C450" s="6" t="str">
        <x:v>Sustainable industry</x:v>
      </x:c>
      <x:c r="D450" s="6" t="str">
        <x:v>Global Cement</x:v>
      </x:c>
      <x:c r="E450" s="6" t="str">
        <x:v>globalcement.com</x:v>
      </x:c>
      <x:c r="F450" s="6" t="str">
        <x:v>Specialist news</x:v>
      </x:c>
      <x:c r="G450" s="6" t="str">
        <x:v>Low carbon cement concrete developments; commercial deployments, policy and industry news.</x:v>
      </x:c>
      <x:c r="H450" s="6" t="str">
        <x:v>https://www.globalcement.com/news/20901-global-cement-and-concrete-association-holds-building-the-sustainable-future-pathways-to-low-carbon-cement-and-concrete-conference</x:v>
      </x:c>
      <x:c r="I450" s="16" t="d">
        <x:v>2026-06-22T12:00:00.000Z</x:v>
      </x:c>
      <x:c r="J450" s="6" t="str">
        <x:v>https://www.globalcement.com/news/20901-global-cement-and-concrete-association-holds-building-the-sustainable-future-pathways-to-low-carbon-cement-and-concrete-conference</x:v>
      </x:c>
      <x:c r="K450" s="6" t="str">
        <x:v>Dated item visible in retrieved page/index: 2026-06-22. Search publication metadata: 3 months ago. </x:v>
      </x:c>
    </x:row>
    <x:row r="451" ht="15" hidden="0" customHeight="1">
      <x:c r="A451" s="12" t="n">
        <x:v>43</x:v>
      </x:c>
      <x:c r="B451" s="6" t="str">
        <x:v>Low-carbon cement and concrete</x:v>
      </x:c>
      <x:c r="C451" s="6" t="str">
        <x:v>Sustainable industry</x:v>
      </x:c>
      <x:c r="D451" s="6" t="str">
        <x:v>World Cement</x:v>
      </x:c>
      <x:c r="E451" s="6" t="str">
        <x:v>worldcement.com</x:v>
      </x:c>
      <x:c r="F451" s="6" t="str">
        <x:v>Specialist news</x:v>
      </x:c>
      <x:c r="G451" s="6" t="str">
        <x:v>Low carbon cement concrete developments; commercial deployments, policy and industry news.</x:v>
      </x:c>
      <x:c r="H451" s="6" t="str">
        <x:v>https://www.worldcement.com/europe-cis/10092026/heidelberg-materials-lower-carbon-concrete-solution-is-a-uk-first/</x:v>
      </x:c>
      <x:c r="I451" s="16" t="d">
        <x:v>2026-09-10T12:00:00.000Z</x:v>
      </x:c>
      <x:c r="J451" s="6" t="str">
        <x:v>https://www.worldcement.com/europe-cis/10092026/heidelberg-materials-lower-carbon-concrete-solution-is-a-uk-first/</x:v>
      </x:c>
      <x:c r="K451" s="6" t="str">
        <x:v>Dated item visible in retrieved page/index: 2026-09-10. Search publication metadata: last month. </x:v>
      </x:c>
    </x:row>
    <x:row r="452" ht="15" hidden="0" customHeight="1">
      <x:c r="A452" s="12" t="n">
        <x:v>43</x:v>
      </x:c>
      <x:c r="B452" s="6" t="str">
        <x:v>Low-carbon cement and concrete</x:v>
      </x:c>
      <x:c r="C452" s="6" t="str">
        <x:v>Sustainable industry</x:v>
      </x:c>
      <x:c r="D452" s="6" t="str">
        <x:v>Concrete Products</x:v>
      </x:c>
      <x:c r="E452" s="6" t="str">
        <x:v>concreteproducts.com</x:v>
      </x:c>
      <x:c r="F452" s="6" t="str">
        <x:v>Specialist news</x:v>
      </x:c>
      <x:c r="G452" s="6" t="str">
        <x:v>Low carbon cement concrete developments; commercial deployments, policy and industry news.</x:v>
      </x:c>
      <x:c r="H452" s="6" t="str">
        <x:v>https://concreteproducts.com/index.php/2026/02/05/canal-block-brings-co2-curing-to-robust-new-dimension/</x:v>
      </x:c>
      <x:c r="I452" s="16" t="d">
        <x:v>2026-02-05T12:00:00.000Z</x:v>
      </x:c>
      <x:c r="J452" s="6" t="str">
        <x:v>https://concreteproducts.com/index.php/2026/02/05/canal-block-brings-co2-curing-to-robust-new-dimension/</x:v>
      </x:c>
      <x:c r="K452" s="6" t="str">
        <x:v>Dated article URL: 2026-02-05. Search publication metadata: 8 months ago. </x:v>
      </x:c>
    </x:row>
    <x:row r="453" ht="15" hidden="0" customHeight="1">
      <x:c r="A453" s="12" t="n">
        <x:v>43</x:v>
      </x:c>
      <x:c r="B453" s="6" t="str">
        <x:v>Low-carbon cement and concrete</x:v>
      </x:c>
      <x:c r="C453" s="6" t="str">
        <x:v>Sustainable industry</x:v>
      </x:c>
      <x:c r="D453" s="6" t="str">
        <x:v>Agg-Net</x:v>
      </x:c>
      <x:c r="E453" s="6" t="str">
        <x:v>agg-net.com</x:v>
      </x:c>
      <x:c r="F453" s="6" t="str">
        <x:v>Specialist news</x:v>
      </x:c>
      <x:c r="G453" s="6" t="str">
        <x:v>Low carbon cement concrete developments; commercial deployments, policy and industry news.</x:v>
      </x:c>
      <x:c r="H453" s="6" t="str">
        <x:v>https://agg-net.com/news/chryso-and-ecocem-launch-low-carbon-concrete-solution</x:v>
      </x:c>
      <x:c r="I453" s="16" t="d">
        <x:v>2026-10-02T12:00:00.000Z</x:v>
      </x:c>
      <x:c r="J453" s="6" t="str">
        <x:v>https://agg-net.com/news/chryso-and-ecocem-launch-low-carbon-concrete-solution</x:v>
      </x:c>
      <x:c r="K453" s="6" t="str">
        <x:v>Dated item visible in retrieved page/index: 2026-10-02. Search publication metadata: 2 weeks ago. </x:v>
      </x:c>
    </x:row>
    <x:row r="454" ht="15" hidden="0" customHeight="1">
      <x:c r="A454" s="12" t="n">
        <x:v>43</x:v>
      </x:c>
      <x:c r="B454" s="6" t="str">
        <x:v>Low-carbon cement and concrete</x:v>
      </x:c>
      <x:c r="C454" s="6" t="str">
        <x:v>Sustainable industry</x:v>
      </x:c>
      <x:c r="D454" s="6" t="str">
        <x:v>Construction Dive</x:v>
      </x:c>
      <x:c r="E454" s="6" t="str">
        <x:v>constructiondive.com</x:v>
      </x:c>
      <x:c r="F454" s="6" t="str">
        <x:v>Specialist news</x:v>
      </x:c>
      <x:c r="G454" s="6" t="str">
        <x:v>Low carbon cement concrete developments; commercial deployments, policy and industry news.</x:v>
      </x:c>
      <x:c r="H454" s="6" t="str">
        <x:v>https://www.constructiondive.com/news/canada-tariffs-pressure-concrete-cement/825869/?trk=article-ssr-frontend-pulse_little-text-block</x:v>
      </x:c>
      <x:c r="I454" s="16" t="d">
        <x:v>2026-04-09T12:00:00.000Z</x:v>
      </x:c>
      <x:c r="J454" s="6" t="str">
        <x:v>https://www.constructiondive.com/news/canada-tariffs-pressure-concrete-cement/825869/?trk=article-ssr-frontend-pulse_little-text-block</x:v>
      </x:c>
      <x:c r="K454" s="6" t="str">
        <x:v>Dated item visible in retrieved page/index: 2026-04-09. Search publication metadata: 2 months ago. </x:v>
      </x:c>
    </x:row>
    <x:row r="455" ht="15" hidden="0" customHeight="1">
      <x:c r="A455" s="12" t="n">
        <x:v>43</x:v>
      </x:c>
      <x:c r="B455" s="6" t="str">
        <x:v>Low-carbon cement and concrete</x:v>
      </x:c>
      <x:c r="C455" s="6" t="str">
        <x:v>Sustainable industry</x:v>
      </x:c>
      <x:c r="D455" s="6" t="str">
        <x:v>Carbon Herald</x:v>
      </x:c>
      <x:c r="E455" s="6" t="str">
        <x:v>carbonherald.com</x:v>
      </x:c>
      <x:c r="F455" s="6" t="str">
        <x:v>Specialist news</x:v>
      </x:c>
      <x:c r="G455" s="6" t="str">
        <x:v>Low carbon cement concrete developments; commercial deployments, policy and industry news.</x:v>
      </x:c>
      <x:c r="H455" s="6" t="str">
        <x:v>https://carbonherald.com/cocoon-raises-15m-to-scale-low-carbon-cement-alternative/</x:v>
      </x:c>
      <x:c r="I455" s="16" t="d">
        <x:v>2026-03-19T12:00:00.000Z</x:v>
      </x:c>
      <x:c r="J455" s="6" t="str">
        <x:v>https://carbonherald.com/cocoon-raises-15m-to-scale-low-carbon-cement-alternative/</x:v>
      </x:c>
      <x:c r="K455" s="6" t="str">
        <x:v>Dated item visible in retrieved page/index: 2026-03-19. Search publication metadata: 7 months ago. </x:v>
      </x:c>
    </x:row>
    <x:row r="456" ht="15" hidden="0" customHeight="1">
      <x:c r="A456" s="12" t="n">
        <x:v>43</x:v>
      </x:c>
      <x:c r="B456" s="6" t="str">
        <x:v>Low-carbon cement and concrete</x:v>
      </x:c>
      <x:c r="C456" s="6" t="str">
        <x:v>Sustainable industry</x:v>
      </x:c>
      <x:c r="D456" s="6" t="str">
        <x:v>Canary Media</x:v>
      </x:c>
      <x:c r="E456" s="6" t="str">
        <x:v>canarymedia.com</x:v>
      </x:c>
      <x:c r="F456" s="6" t="str">
        <x:v>Specialist news</x:v>
      </x:c>
      <x:c r="G456" s="6" t="str">
        <x:v>Low carbon cement concrete developments; commercial deployments, policy and industry news.</x:v>
      </x:c>
      <x:c r="H456" s="6" t="str">
        <x:v>https://www.canarymedia.com/articles/clean-industry/clean-cement-startup-sublime-cuts-jobs</x:v>
      </x:c>
      <x:c r="I456" s="16" t="d">
        <x:v>2026-03-12T12:00:00.000Z</x:v>
      </x:c>
      <x:c r="J456" s="6" t="str">
        <x:v>https://www.canarymedia.com/articles/clean-industry/clean-cement-startup-sublime-cuts-jobs</x:v>
      </x:c>
      <x:c r="K456" s="6" t="str">
        <x:v>Dated item visible in retrieved page/index: 2026-03-12. Search publication metadata: 7 months ago. </x:v>
      </x:c>
    </x:row>
    <x:row r="457" ht="15" hidden="0" customHeight="1">
      <x:c r="A457" s="12" t="n">
        <x:v>43</x:v>
      </x:c>
      <x:c r="B457" s="6" t="str">
        <x:v>Low-carbon cement and concrete</x:v>
      </x:c>
      <x:c r="C457" s="6" t="str">
        <x:v>Sustainable industry</x:v>
      </x:c>
      <x:c r="D457" s="6" t="str">
        <x:v>International Cement Review / CemNet</x:v>
      </x:c>
      <x:c r="E457" s="6" t="str">
        <x:v>cemnet.com</x:v>
      </x:c>
      <x:c r="F457" s="6" t="str">
        <x:v>Specialist news</x:v>
      </x:c>
      <x:c r="G457" s="6" t="str">
        <x:v>Low carbon cement concrete developments; commercial deployments, policy and industry news.</x:v>
      </x:c>
      <x:c r="H457" s="6" t="str">
        <x:v>https://www.cemnet.com/News/story/181423/cem-in-eu-launches-low-carbon-cement-range-to-replace-cem-i.html</x:v>
      </x:c>
      <x:c r="I457" s="16" t="d">
        <x:v>2026-05-29T12:00:00.000Z</x:v>
      </x:c>
      <x:c r="J457" s="6" t="str">
        <x:v>https://www.cemnet.com/News/story/181423/cem-in-eu-launches-low-carbon-cement-range-to-replace-cem-i.html</x:v>
      </x:c>
      <x:c r="K457" s="6" t="str">
        <x:v>Dated item visible in retrieved page/index: 2026-05-29. Search publication metadata: 4 months ago. </x:v>
      </x:c>
    </x:row>
    <x:row r="458" ht="15" hidden="0" customHeight="1">
      <x:c r="A458" s="12" t="n">
        <x:v>43</x:v>
      </x:c>
      <x:c r="B458" s="6" t="str">
        <x:v>Low-carbon cement and concrete</x:v>
      </x:c>
      <x:c r="C458" s="6" t="str">
        <x:v>Sustainable industry</x:v>
      </x:c>
      <x:c r="D458" s="6" t="str">
        <x:v>American Cement Association</x:v>
      </x:c>
      <x:c r="E458" s="6" t="str">
        <x:v>cement.org</x:v>
      </x:c>
      <x:c r="F458" s="6" t="str">
        <x:v>Research / association / public updates</x:v>
      </x:c>
      <x:c r="G458" s="6" t="str">
        <x:v>Low carbon cement concrete developments; primary updates and research.</x:v>
      </x:c>
      <x:c r="H458" s="6" t="str">
        <x:v>https://www.cement.org/2026/06/18/aca-launches-first-ever-blended-cement-awards/</x:v>
      </x:c>
      <x:c r="I458" s="16" t="d">
        <x:v>2026-06-18T12:00:00.000Z</x:v>
      </x:c>
      <x:c r="J458" s="6" t="str">
        <x:v>https://www.cement.org/2026/06/18/aca-launches-first-ever-blended-cement-awards/</x:v>
      </x:c>
      <x:c r="K458" s="6" t="str">
        <x:v>Dated article URL: 2026-06-18. Search publication metadata: 4 months ago. </x:v>
      </x:c>
    </x:row>
    <x:row r="459" ht="15" hidden="0" customHeight="1">
      <x:c r="A459" s="12" t="n">
        <x:v>43</x:v>
      </x:c>
      <x:c r="B459" s="6" t="str">
        <x:v>Low-carbon cement and concrete</x:v>
      </x:c>
      <x:c r="C459" s="6" t="str">
        <x:v>Sustainable industry</x:v>
      </x:c>
      <x:c r="D459" s="6" t="str">
        <x:v>ESG Today</x:v>
      </x:c>
      <x:c r="E459" s="6" t="str">
        <x:v>esgtoday.com</x:v>
      </x:c>
      <x:c r="F459" s="6" t="str">
        <x:v>Specialist news</x:v>
      </x:c>
      <x:c r="G459" s="6" t="str">
        <x:v>Low carbon cement concrete developments; commercial deployments, policy and industry news.</x:v>
      </x:c>
      <x:c r="H459" s="6" t="str">
        <x:v>https://www.esgtoday.com/reclinker-raises-13-million-to-turn-construction-waste-into-low-carbon-cement/</x:v>
      </x:c>
      <x:c r="I459" s="16" t="d">
        <x:v>2026-10-06T12:00:00.000Z</x:v>
      </x:c>
      <x:c r="J459" s="6" t="str">
        <x:v>https://www.esgtoday.com/reclinker-raises-13-million-to-turn-construction-waste-into-low-carbon-cement/</x:v>
      </x:c>
      <x:c r="K459" s="6" t="str">
        <x:v>Dated item visible in retrieved page/index: 2026-10-06. Search publication metadata: last week. </x:v>
      </x:c>
    </x:row>
    <x:row r="460" ht="15" hidden="0" customHeight="1">
      <x:c r="A460" s="12" t="n">
        <x:v>44</x:v>
      </x:c>
      <x:c r="B460" s="6" t="str">
        <x:v>Sustainable aviation fuels</x:v>
      </x:c>
      <x:c r="C460" s="6" t="str">
        <x:v>Sustainable industry</x:v>
      </x:c>
      <x:c r="D460" s="6" t="str">
        <x:v>Aviation Week</x:v>
      </x:c>
      <x:c r="E460" s="6" t="str">
        <x:v>aviationweek.com</x:v>
      </x:c>
      <x:c r="F460" s="6" t="str">
        <x:v>Specialist news</x:v>
      </x:c>
      <x:c r="G460" s="6" t="str">
        <x:v>Sustainable aviation fuel developments; commercial deployments, policy and industry news.</x:v>
      </x:c>
      <x:c r="H460" s="6" t="str">
        <x:v>https://aviationweek.com/special-topic/sustainable-aviation-fuel</x:v>
      </x:c>
      <x:c r="I460" s="16" t="d">
        <x:v>2026-10-13T12:00:00.000Z</x:v>
      </x:c>
      <x:c r="J460" s="6" t="str">
        <x:v>https://aviationweek.com/special-topic/sustainable-aviation-fuel</x:v>
      </x:c>
      <x:c r="K460" s="6" t="str">
        <x:v>Dated item visible in retrieved page/index: 2026-10-13. </x:v>
      </x:c>
    </x:row>
    <x:row r="461" ht="15" hidden="0" customHeight="1">
      <x:c r="A461" s="12" t="n">
        <x:v>44</x:v>
      </x:c>
      <x:c r="B461" s="6" t="str">
        <x:v>Sustainable aviation fuels</x:v>
      </x:c>
      <x:c r="C461" s="6" t="str">
        <x:v>Sustainable industry</x:v>
      </x:c>
      <x:c r="D461" s="6" t="str">
        <x:v>Aviation International News</x:v>
      </x:c>
      <x:c r="E461" s="6" t="str">
        <x:v>ainonline.com</x:v>
      </x:c>
      <x:c r="F461" s="6" t="str">
        <x:v>Specialist news</x:v>
      </x:c>
      <x:c r="G461" s="6" t="str">
        <x:v>Sustainable aviation fuel developments; commercial deployments, policy and industry news.</x:v>
      </x:c>
      <x:c r="H461" s="6" t="str">
        <x:v>https://www.ainonline.com/aviation-news/business-aviation/2026-07-07/gulfstream-saf-testing-shows-contrail-emission-cuts</x:v>
      </x:c>
      <x:c r="I461" s="16" t="d">
        <x:v>2026-07-07T12:00:00.000Z</x:v>
      </x:c>
      <x:c r="J461" s="6" t="str">
        <x:v>https://www.ainonline.com/aviation-news/business-aviation/2026-07-07/gulfstream-saf-testing-shows-contrail-emission-cuts</x:v>
      </x:c>
      <x:c r="K461" s="6" t="str">
        <x:v>Dated article URL: 2026-07-07. Search publication metadata: 3 months ago. </x:v>
      </x:c>
    </x:row>
    <x:row r="462" ht="15" hidden="0" customHeight="1">
      <x:c r="A462" s="12" t="n">
        <x:v>44</x:v>
      </x:c>
      <x:c r="B462" s="6" t="str">
        <x:v>Sustainable aviation fuels</x:v>
      </x:c>
      <x:c r="C462" s="6" t="str">
        <x:v>Sustainable industry</x:v>
      </x:c>
      <x:c r="D462" s="6" t="str">
        <x:v>Biofuels International</x:v>
      </x:c>
      <x:c r="E462" s="6" t="str">
        <x:v>biofuels-news.com</x:v>
      </x:c>
      <x:c r="F462" s="6" t="str">
        <x:v>Specialist news</x:v>
      </x:c>
      <x:c r="G462" s="6" t="str">
        <x:v>Sustainable aviation fuel developments; commercial deployments, policy and industry news.</x:v>
      </x:c>
      <x:c r="H462" s="6" t="str">
        <x:v>https://biofuels-news.com/news/topsoe-and-sasol-chosen-as-technology-providers-for-saf-project-in-canada/</x:v>
      </x:c>
      <x:c r="I462" s="16" t="d">
        <x:v>2026-07-10T12:00:00.000Z</x:v>
      </x:c>
      <x:c r="J462" s="6" t="str">
        <x:v>https://biofuels-news.com/news/topsoe-and-sasol-chosen-as-technology-providers-for-saf-project-in-canada/</x:v>
      </x:c>
      <x:c r="K462" s="6" t="str">
        <x:v>Dated item visible in retrieved page/index: 2026-07-10. Search publication metadata: 3 months ago. </x:v>
      </x:c>
    </x:row>
    <x:row r="463" ht="15" hidden="0" customHeight="1">
      <x:c r="A463" s="12" t="n">
        <x:v>44</x:v>
      </x:c>
      <x:c r="B463" s="6" t="str">
        <x:v>Sustainable aviation fuels</x:v>
      </x:c>
      <x:c r="C463" s="6" t="str">
        <x:v>Sustainable industry</x:v>
      </x:c>
      <x:c r="D463" s="6" t="str">
        <x:v>The Daily Digest</x:v>
      </x:c>
      <x:c r="E463" s="6" t="str">
        <x:v>biofuelsdigest.com</x:v>
      </x:c>
      <x:c r="F463" s="6" t="str">
        <x:v>Specialist news</x:v>
      </x:c>
      <x:c r="G463" s="6" t="str">
        <x:v>Sustainable aviation fuel developments; commercial deployments, policy and industry news.</x:v>
      </x:c>
      <x:c r="H463" s="6" t="str">
        <x:v>https://biofuelsdigest.com/argus-launches-saf-emissions-reduction-indexes/</x:v>
      </x:c>
      <x:c r="I463" s="16" t="d">
        <x:v>2026-08-04T12:00:00.000Z</x:v>
      </x:c>
      <x:c r="J463" s="6" t="str">
        <x:v>https://biofuelsdigest.com/argus-launches-saf-emissions-reduction-indexes/</x:v>
      </x:c>
      <x:c r="K463" s="6" t="str">
        <x:v>Dated item visible in retrieved page/index: 2026-08-04. Search publication metadata: 2 months ago. </x:v>
      </x:c>
    </x:row>
    <x:row r="464" ht="24" hidden="0" customHeight="1">
      <x:c r="A464" s="12" t="n">
        <x:v>44</x:v>
      </x:c>
      <x:c r="B464" s="6" t="str">
        <x:v>Sustainable aviation fuels</x:v>
      </x:c>
      <x:c r="C464" s="6" t="str">
        <x:v>Sustainable industry</x:v>
      </x:c>
      <x:c r="D464" s="6" t="str">
        <x:v>Renewable Carbon News</x:v>
      </x:c>
      <x:c r="E464" s="6" t="str">
        <x:v>renewable-carbon.eu</x:v>
      </x:c>
      <x:c r="F464" s="6" t="str">
        <x:v>Specialist news</x:v>
      </x:c>
      <x:c r="G464" s="6" t="str">
        <x:v>Sustainable aviation fuel developments; commercial deployments, policy and industry news.</x:v>
      </x:c>
      <x:c r="H464" s="6" t="str">
        <x:v>https://renewable-carbon.eu/news/skynrg-announces-financial-close-and-starts-construction-on-its-first-sustainable-aviation-fuel-plant-dsl-01-in-delfzijl-the-netherlands/</x:v>
      </x:c>
      <x:c r="I464" s="16" t="d">
        <x:v>2026-02-20T12:00:00.000Z</x:v>
      </x:c>
      <x:c r="J464" s="6" t="str">
        <x:v>https://renewable-carbon.eu/news/skynrg-announces-financial-close-and-starts-construction-on-its-first-sustainable-aviation-fuel-plant-dsl-01-in-delfzijl-the-netherlands/</x:v>
      </x:c>
      <x:c r="K464" s="6" t="str">
        <x:v>Dated item visible in retrieved page/index: 2026-02-20. Search publication metadata: 7 months ago. </x:v>
      </x:c>
    </x:row>
    <x:row r="465" ht="15" hidden="0" customHeight="1">
      <x:c r="A465" s="12" t="n">
        <x:v>44</x:v>
      </x:c>
      <x:c r="B465" s="6" t="str">
        <x:v>Sustainable aviation fuels</x:v>
      </x:c>
      <x:c r="C465" s="6" t="str">
        <x:v>Sustainable industry</x:v>
      </x:c>
      <x:c r="D465" s="6" t="str">
        <x:v>GreenAir News</x:v>
      </x:c>
      <x:c r="E465" s="6" t="str">
        <x:v>greenairnews.com</x:v>
      </x:c>
      <x:c r="F465" s="6" t="str">
        <x:v>Specialist news</x:v>
      </x:c>
      <x:c r="G465" s="6" t="str">
        <x:v>Sustainable aviation fuel developments; commercial deployments, policy and industry news.</x:v>
      </x:c>
      <x:c r="H465" s="6" t="str">
        <x:v>https://www.greenairnews.com/?cat=39</x:v>
      </x:c>
      <x:c r="I465" s="16" t="d">
        <x:v>2026-09-29T12:00:00.000Z</x:v>
      </x:c>
      <x:c r="J465" s="6" t="str">
        <x:v>https://www.greenairnews.com/?cat=39</x:v>
      </x:c>
      <x:c r="K465" s="6" t="str">
        <x:v>Dated item visible in retrieved page/index: 2026-09-29. </x:v>
      </x:c>
    </x:row>
    <x:row r="466" ht="15" hidden="0" customHeight="1">
      <x:c r="A466" s="12" t="n">
        <x:v>44</x:v>
      </x:c>
      <x:c r="B466" s="6" t="str">
        <x:v>Sustainable aviation fuels</x:v>
      </x:c>
      <x:c r="C466" s="6" t="str">
        <x:v>Sustainable industry</x:v>
      </x:c>
      <x:c r="D466" s="6" t="str">
        <x:v>SAF Investor</x:v>
      </x:c>
      <x:c r="E466" s="6" t="str">
        <x:v>safinvestor.com</x:v>
      </x:c>
      <x:c r="F466" s="6" t="str">
        <x:v>Specialist news</x:v>
      </x:c>
      <x:c r="G466" s="6" t="str">
        <x:v>Sustainable aviation fuel developments; commercial deployments, policy and industry news.</x:v>
      </x:c>
      <x:c r="H466" s="6" t="str">
        <x:v>https://www.safinvestor.com/news/150042/gulfstream-saf-2/</x:v>
      </x:c>
      <x:c r="I466" s="16" t="d">
        <x:v>2026-07-08T12:00:00.000Z</x:v>
      </x:c>
      <x:c r="J466" s="6" t="str">
        <x:v>https://www.safinvestor.com/news/150042/gulfstream-saf-2/</x:v>
      </x:c>
      <x:c r="K466" s="6" t="str">
        <x:v>Dated item visible in retrieved page/index: 2026-07-08. Search publication metadata: 3 months ago. </x:v>
      </x:c>
    </x:row>
    <x:row r="467" ht="15" hidden="0" customHeight="1">
      <x:c r="A467" s="12" t="n">
        <x:v>44</x:v>
      </x:c>
      <x:c r="B467" s="6" t="str">
        <x:v>Sustainable aviation fuels</x:v>
      </x:c>
      <x:c r="C467" s="6" t="str">
        <x:v>Sustainable industry</x:v>
      </x:c>
      <x:c r="D467" s="6" t="str">
        <x:v>ESG Today</x:v>
      </x:c>
      <x:c r="E467" s="6" t="str">
        <x:v>esgtoday.com</x:v>
      </x:c>
      <x:c r="F467" s="6" t="str">
        <x:v>Specialist news</x:v>
      </x:c>
      <x:c r="G467" s="6" t="str">
        <x:v>Sustainable aviation fuel developments; commercial deployments, policy and industry news.</x:v>
      </x:c>
      <x:c r="H467" s="6" t="str">
        <x:v>https://www.esgtoday.com/airbus-air-canada-launch-sustainable-aviation-fuel-investment-platform/</x:v>
      </x:c>
      <x:c r="I467" s="16" t="d">
        <x:v>2026-07-21T12:00:00.000Z</x:v>
      </x:c>
      <x:c r="J467" s="6" t="str">
        <x:v>https://www.esgtoday.com/airbus-air-canada-launch-sustainable-aviation-fuel-investment-platform/</x:v>
      </x:c>
      <x:c r="K467" s="6" t="str">
        <x:v>Dated item visible in retrieved page/index: 2026-07-21. Search publication metadata: 2 months ago. </x:v>
      </x:c>
    </x:row>
    <x:row r="468" ht="15" hidden="0" customHeight="1">
      <x:c r="A468" s="12" t="n">
        <x:v>44</x:v>
      </x:c>
      <x:c r="B468" s="6" t="str">
        <x:v>Sustainable aviation fuels</x:v>
      </x:c>
      <x:c r="C468" s="6" t="str">
        <x:v>Sustainable industry</x:v>
      </x:c>
      <x:c r="D468" s="6" t="str">
        <x:v>IATA</x:v>
      </x:c>
      <x:c r="E468" s="6" t="str">
        <x:v>iata.org</x:v>
      </x:c>
      <x:c r="F468" s="6" t="str">
        <x:v>Research / association / public updates</x:v>
      </x:c>
      <x:c r="G468" s="6" t="str">
        <x:v>Sustainable aviation fuel developments; primary updates and research.</x:v>
      </x:c>
      <x:c r="H468" s="6" t="str">
        <x:v>https://www.iata.org/en/pressroom/2026-releases/06-06-saf-production-volumes-still-disappointing/</x:v>
      </x:c>
      <x:c r="I468" s="16" t="d">
        <x:v>2026-06-06T12:00:00.000Z</x:v>
      </x:c>
      <x:c r="J468" s="6" t="str">
        <x:v>https://www.iata.org/en/pressroom/2026-releases/06-06-saf-production-volumes-still-disappointing/</x:v>
      </x:c>
      <x:c r="K468" s="6" t="str">
        <x:v>Dated item visible in retrieved page/index: 2026-06-06. Search publication metadata: 4 months ago. </x:v>
      </x:c>
    </x:row>
    <x:row r="469" ht="24" hidden="0" customHeight="1">
      <x:c r="A469" s="12" t="n">
        <x:v>44</x:v>
      </x:c>
      <x:c r="B469" s="6" t="str">
        <x:v>Sustainable aviation fuels</x:v>
      </x:c>
      <x:c r="C469" s="6" t="str">
        <x:v>Sustainable industry</x:v>
      </x:c>
      <x:c r="D469" s="6" t="str">
        <x:v>Hydrogen Insight</x:v>
      </x:c>
      <x:c r="E469" s="6" t="str">
        <x:v>hydrogeninsight.com</x:v>
      </x:c>
      <x:c r="F469" s="6" t="str">
        <x:v>Specialist news</x:v>
      </x:c>
      <x:c r="G469" s="6" t="str">
        <x:v>Sustainable aviation fuel developments; commercial deployments, policy and industry news.</x:v>
      </x:c>
      <x:c r="H469" s="6" t="str">
        <x:v>https://www.hydrogeninsight.com/production/exclusive-eu-auditor-denies-granting-rfnbo-pre-certification-to-trafigura-s-supply-of-biogas-based-aviation-fuels/2-1-1934678</x:v>
      </x:c>
      <x:c r="I469" s="16" t="d">
        <x:v>2026-01-27T12:00:00.000Z</x:v>
      </x:c>
      <x:c r="J469" s="6" t="str">
        <x:v>https://www.hydrogeninsight.com/production/exclusive-eu-auditor-denies-granting-rfnbo-pre-certification-to-trafigura-s-supply-of-biogas-based-aviation-fuels/2-1-1934678</x:v>
      </x:c>
      <x:c r="K469" s="6" t="str">
        <x:v>Dated item visible in retrieved page/index: 2026-01-27. Search publication metadata: 8 months ago. </x:v>
      </x:c>
    </x:row>
    <x:row r="470" ht="15" hidden="0" customHeight="1">
      <x:c r="A470" s="12" t="n">
        <x:v>45</x:v>
      </x:c>
      <x:c r="B470" s="6" t="str">
        <x:v>Additive manufacturing for end-use production</x:v>
      </x:c>
      <x:c r="C470" s="6" t="str">
        <x:v>Sustainable industry</x:v>
      </x:c>
      <x:c r="D470" s="6" t="str">
        <x:v>3D Printing Industry</x:v>
      </x:c>
      <x:c r="E470" s="6" t="str">
        <x:v>3dprintingindustry.com</x:v>
      </x:c>
      <x:c r="F470" s="6" t="str">
        <x:v>Specialist news</x:v>
      </x:c>
      <x:c r="G470" s="6" t="str">
        <x:v>Additive manufacturing production developments; commercial deployments, policy and industry news.</x:v>
      </x:c>
      <x:c r="H470" s="6" t="str">
        <x:v>https://3dprintingindustry.com/news/3d-printing-industry-year-in-review-november-2025-247656/</x:v>
      </x:c>
      <x:c r="I470" s="16" t="d">
        <x:v>2026-01-03T12:00:00.000Z</x:v>
      </x:c>
      <x:c r="J470" s="6" t="str">
        <x:v>https://3dprintingindustry.com/news/3d-printing-industry-year-in-review-november-2025-247656/</x:v>
      </x:c>
      <x:c r="K470" s="6" t="str">
        <x:v>Publication date directly observed on the retrieved page: 2026-01-03.</x:v>
      </x:c>
    </x:row>
    <x:row r="471" ht="15" hidden="0" customHeight="1">
      <x:c r="A471" s="12" t="n">
        <x:v>45</x:v>
      </x:c>
      <x:c r="B471" s="6" t="str">
        <x:v>Additive manufacturing for end-use production</x:v>
      </x:c>
      <x:c r="C471" s="6" t="str">
        <x:v>Sustainable industry</x:v>
      </x:c>
      <x:c r="D471" s="6" t="str">
        <x:v>3DPrint.com</x:v>
      </x:c>
      <x:c r="E471" s="6" t="str">
        <x:v>3dprint.com</x:v>
      </x:c>
      <x:c r="F471" s="6" t="str">
        <x:v>Specialist news</x:v>
      </x:c>
      <x:c r="G471" s="6" t="str">
        <x:v>Additive manufacturing production developments; commercial deployments, policy and industry news.</x:v>
      </x:c>
      <x:c r="H471" s="6" t="str">
        <x:v>https://3dprint.com/322920/3d-printing-predictions-2026-industrial-production-polymer-additive-manufacturing/</x:v>
      </x:c>
      <x:c r="I471" s="16" t="d">
        <x:v>2026-01-05T12:00:00.000Z</x:v>
      </x:c>
      <x:c r="J471" s="6" t="str">
        <x:v>https://3dprint.com/322920/3d-printing-predictions-2026-industrial-production-polymer-additive-manufacturing/</x:v>
      </x:c>
      <x:c r="K471" s="6" t="str">
        <x:v>Dated item visible in retrieved page/index: 2026-01-05. Search publication metadata: 9 months ago. </x:v>
      </x:c>
    </x:row>
    <x:row r="472" ht="15" hidden="0" customHeight="1">
      <x:c r="A472" s="12" t="n">
        <x:v>45</x:v>
      </x:c>
      <x:c r="B472" s="6" t="str">
        <x:v>Additive manufacturing for end-use production</x:v>
      </x:c>
      <x:c r="C472" s="6" t="str">
        <x:v>Sustainable industry</x:v>
      </x:c>
      <x:c r="D472" s="6" t="str">
        <x:v>TCT Magazine</x:v>
      </x:c>
      <x:c r="E472" s="6" t="str">
        <x:v>tctmagazine.com</x:v>
      </x:c>
      <x:c r="F472" s="6" t="str">
        <x:v>Specialist news</x:v>
      </x:c>
      <x:c r="G472" s="6" t="str">
        <x:v>Additive manufacturing production developments; commercial deployments, policy and industry news.</x:v>
      </x:c>
      <x:c r="H472" s="6" t="str">
        <x:v>https://www.tctmagazine.com/wohlers-report-2026-additive-manufacturing-revenues-reach-24-2-billion/</x:v>
      </x:c>
      <x:c r="I472" s="16" t="d">
        <x:v>2026-02-17T12:00:00.000Z</x:v>
      </x:c>
      <x:c r="J472" s="6" t="str">
        <x:v>https://www.tctmagazine.com/wohlers-report-2026-additive-manufacturing-revenues-reach-24-2-billion/</x:v>
      </x:c>
      <x:c r="K472" s="6" t="str">
        <x:v>Dated item visible in retrieved page/index: 2026-02-17. Search publication metadata: 8 months ago. </x:v>
      </x:c>
    </x:row>
    <x:row r="473" ht="15" hidden="0" customHeight="1">
      <x:c r="A473" s="12" t="n">
        <x:v>45</x:v>
      </x:c>
      <x:c r="B473" s="6" t="str">
        <x:v>Additive manufacturing for end-use production</x:v>
      </x:c>
      <x:c r="C473" s="6" t="str">
        <x:v>Sustainable industry</x:v>
      </x:c>
      <x:c r="D473" s="6" t="str">
        <x:v>VoxelMatters</x:v>
      </x:c>
      <x:c r="E473" s="6" t="str">
        <x:v>voxelmatters.com</x:v>
      </x:c>
      <x:c r="F473" s="6" t="str">
        <x:v>Specialist news</x:v>
      </x:c>
      <x:c r="G473" s="6" t="str">
        <x:v>Additive manufacturing production developments; commercial deployments, policy and industry news.</x:v>
      </x:c>
      <x:c r="H473" s="6" t="str">
        <x:v>https://www.voxelmatters.com/velo3d-inaugurates-forge-1-production-campus-in-livermore-california/</x:v>
      </x:c>
      <x:c r="I473" s="16" t="d">
        <x:v>2026-07-18T12:00:00.000Z</x:v>
      </x:c>
      <x:c r="J473" s="6" t="str">
        <x:v>https://www.voxelmatters.com/velo3d-inaugurates-forge-1-production-campus-in-livermore-california/</x:v>
      </x:c>
      <x:c r="K473" s="6" t="str">
        <x:v>Dated item visible in retrieved page/index: 2026-07-18. Search publication metadata: 3 months ago. </x:v>
      </x:c>
    </x:row>
    <x:row r="474" ht="15" hidden="0" customHeight="1">
      <x:c r="A474" s="12" t="n">
        <x:v>45</x:v>
      </x:c>
      <x:c r="B474" s="6" t="str">
        <x:v>Additive manufacturing for end-use production</x:v>
      </x:c>
      <x:c r="C474" s="6" t="str">
        <x:v>Sustainable industry</x:v>
      </x:c>
      <x:c r="D474" s="6" t="str">
        <x:v>Metal AM</x:v>
      </x:c>
      <x:c r="E474" s="6" t="str">
        <x:v>metal-am.com</x:v>
      </x:c>
      <x:c r="F474" s="6" t="str">
        <x:v>Specialist news</x:v>
      </x:c>
      <x:c r="G474" s="6" t="str">
        <x:v>Additive manufacturing production developments; commercial deployments, policy and industry news.</x:v>
      </x:c>
      <x:c r="H474" s="6" t="str">
        <x:v>https://www.metal-am.com/amsc-publishes-2026-additive-manufacturing-gaps-report/</x:v>
      </x:c>
      <x:c r="I474" s="16" t="d">
        <x:v>2026-05-21T12:00:00.000Z</x:v>
      </x:c>
      <x:c r="J474" s="6" t="str">
        <x:v>https://www.metal-am.com/amsc-publishes-2026-additive-manufacturing-gaps-report/</x:v>
      </x:c>
      <x:c r="K474" s="6" t="str">
        <x:v>Dated item visible in retrieved page/index: 2026-05-21. Search publication metadata: 4 months ago. </x:v>
      </x:c>
    </x:row>
    <x:row r="475" ht="15" hidden="0" customHeight="1">
      <x:c r="A475" s="12" t="n">
        <x:v>45</x:v>
      </x:c>
      <x:c r="B475" s="6" t="str">
        <x:v>Additive manufacturing for end-use production</x:v>
      </x:c>
      <x:c r="C475" s="6" t="str">
        <x:v>Sustainable industry</x:v>
      </x:c>
      <x:c r="D475" s="6" t="str">
        <x:v>Engineering.com</x:v>
      </x:c>
      <x:c r="E475" s="6" t="str">
        <x:v>engineering.com</x:v>
      </x:c>
      <x:c r="F475" s="6" t="str">
        <x:v>Specialist news</x:v>
      </x:c>
      <x:c r="G475" s="6" t="str">
        <x:v>Additive manufacturing production developments; commercial deployments, policy and industry news.</x:v>
      </x:c>
      <x:c r="H475" s="6" t="str">
        <x:v>https://www.engineering.com/additive-business-update-blt-eos-farsoon-and-more/</x:v>
      </x:c>
      <x:c r="I475" s="16" t="d">
        <x:v>2026-04-28T12:00:00.000Z</x:v>
      </x:c>
      <x:c r="J475" s="6" t="str">
        <x:v>https://www.engineering.com/additive-business-update-blt-eos-farsoon-and-more/</x:v>
      </x:c>
      <x:c r="K475" s="6" t="str">
        <x:v>Dated item visible in retrieved page/index: 2026-04-28. Search publication metadata: 5 months ago. </x:v>
      </x:c>
    </x:row>
    <x:row r="476" ht="15" hidden="0" customHeight="1">
      <x:c r="A476" s="12" t="n">
        <x:v>45</x:v>
      </x:c>
      <x:c r="B476" s="6" t="str">
        <x:v>Additive manufacturing for end-use production</x:v>
      </x:c>
      <x:c r="C476" s="6" t="str">
        <x:v>Sustainable industry</x:v>
      </x:c>
      <x:c r="D476" s="6" t="str">
        <x:v>Manufacturing.net</x:v>
      </x:c>
      <x:c r="E476" s="6" t="str">
        <x:v>manufacturing.net</x:v>
      </x:c>
      <x:c r="F476" s="6" t="str">
        <x:v>Specialist news</x:v>
      </x:c>
      <x:c r="G476" s="6" t="str">
        <x:v>Additive manufacturing production developments; commercial deployments, policy and industry news.</x:v>
      </x:c>
      <x:c r="H476" s="6" t="str">
        <x:v>https://www.manufacturing.net/additive-manufacturing</x:v>
      </x:c>
      <x:c r="I476" s="16" t="d">
        <x:v>2026-07-29T12:00:00.000Z</x:v>
      </x:c>
      <x:c r="J476" s="6" t="str">
        <x:v>https://www.manufacturing.net/additive-manufacturing</x:v>
      </x:c>
      <x:c r="K476" s="6" t="str">
        <x:v>Dated item visible in retrieved page/index: 2026-07-29. </x:v>
      </x:c>
    </x:row>
    <x:row r="477" ht="15" hidden="0" customHeight="1">
      <x:c r="A477" s="12" t="n">
        <x:v>45</x:v>
      </x:c>
      <x:c r="B477" s="6" t="str">
        <x:v>Additive manufacturing for end-use production</x:v>
      </x:c>
      <x:c r="C477" s="6" t="str">
        <x:v>Sustainable industry</x:v>
      </x:c>
      <x:c r="D477" s="6" t="str">
        <x:v>Design News</x:v>
      </x:c>
      <x:c r="E477" s="6" t="str">
        <x:v>designnews.com</x:v>
      </x:c>
      <x:c r="F477" s="6" t="str">
        <x:v>Specialist news</x:v>
      </x:c>
      <x:c r="G477" s="6" t="str">
        <x:v>Additive manufacturing production developments; commercial deployments, policy and industry news.</x:v>
      </x:c>
      <x:c r="H477" s="6" t="str">
        <x:v>https://www.designnews.com/3d-printing/additive-manufacturing-leaders-scale-production-with-24-7-operations</x:v>
      </x:c>
      <x:c r="I477" s="16" t="d">
        <x:v>2026-09-30T12:00:00.000Z</x:v>
      </x:c>
      <x:c r="J477" s="6" t="str">
        <x:v>https://www.designnews.com/3d-printing/additive-manufacturing-leaders-scale-production-with-24-7-operations</x:v>
      </x:c>
      <x:c r="K477" s="6" t="str">
        <x:v>Dated item visible in retrieved page/index: 2026-09-30. Search publication metadata: 2 weeks ago. </x:v>
      </x:c>
    </x:row>
    <x:row r="478" ht="15" hidden="0" customHeight="1">
      <x:c r="A478" s="12" t="n">
        <x:v>45</x:v>
      </x:c>
      <x:c r="B478" s="6" t="str">
        <x:v>Additive manufacturing for end-use production</x:v>
      </x:c>
      <x:c r="C478" s="6" t="str">
        <x:v>Sustainable industry</x:v>
      </x:c>
      <x:c r="D478" s="6" t="str">
        <x:v>Wohlers Associates / ASTM</x:v>
      </x:c>
      <x:c r="E478" s="6" t="str">
        <x:v>wohlersassociates.com</x:v>
      </x:c>
      <x:c r="F478" s="6" t="str">
        <x:v>Research / association / public updates</x:v>
      </x:c>
      <x:c r="G478" s="6" t="str">
        <x:v>Additive manufacturing production developments; primary updates and research.</x:v>
      </x:c>
      <x:c r="H478" s="6" t="str">
        <x:v>https://platform.wohlersassociates.com/insights/from-paintings-to-maps-market-intelligence</x:v>
      </x:c>
      <x:c r="I478" s="16" t="d">
        <x:v>2026-01-14T12:00:00.000Z</x:v>
      </x:c>
      <x:c r="J478" s="6" t="str">
        <x:v>https://platform.wohlersassociates.com/insights/from-paintings-to-maps-market-intelligence</x:v>
      </x:c>
      <x:c r="K478" s="6" t="str">
        <x:v>Dated item visible in retrieved page/index: 2026-01-14. Search publication metadata: 9 months ago. </x:v>
      </x:c>
    </x:row>
    <x:row r="479" ht="24" hidden="0" customHeight="1">
      <x:c r="A479" s="12" t="n">
        <x:v>45</x:v>
      </x:c>
      <x:c r="B479" s="6" t="str">
        <x:v>Additive manufacturing for end-use production</x:v>
      </x:c>
      <x:c r="C479" s="6" t="str">
        <x:v>Sustainable industry</x:v>
      </x:c>
      <x:c r="D479" s="6" t="str">
        <x:v>SME</x:v>
      </x:c>
      <x:c r="E479" s="6" t="str">
        <x:v>sme.org</x:v>
      </x:c>
      <x:c r="F479" s="6" t="str">
        <x:v>Research / association / public updates</x:v>
      </x:c>
      <x:c r="G479" s="6" t="str">
        <x:v>Additive manufacturing production developments; primary updates and research.</x:v>
      </x:c>
      <x:c r="H479" s="6" t="str">
        <x:v>https://www.sme.org/aboutsme/newsroom/press-releases/2026/sme-chief-manufacturing-officer-appointed-to-america-makes-executive-committee/</x:v>
      </x:c>
      <x:c r="I479" s="16" t="d">
        <x:v>2026-08-19T12:00:00.000Z</x:v>
      </x:c>
      <x:c r="J479" s="6" t="str">
        <x:v>https://www.sme.org/aboutsme/newsroom/press-releases/2026/sme-chief-manufacturing-officer-appointed-to-america-makes-executive-committee/</x:v>
      </x:c>
      <x:c r="K479" s="6" t="str">
        <x:v>Dated item visible in retrieved page/index: 2026-08-19. Search publication metadata: last month. Evidence is a published press release, not independent reporting.</x:v>
      </x:c>
    </x:row>
    <x:row r="480" ht="15" hidden="0" customHeight="1">
      <x:c r="A480" s="12" t="n">
        <x:v>46</x:v>
      </x:c>
      <x:c r="B480" s="6" t="str">
        <x:v>Verifiable digital identity wallets</x:v>
      </x:c>
      <x:c r="C480" s="6" t="str">
        <x:v>Digital &amp; planetary systems</x:v>
      </x:c>
      <x:c r="D480" s="6" t="str">
        <x:v>Biometric Update</x:v>
      </x:c>
      <x:c r="E480" s="6" t="str">
        <x:v>biometricupdate.com</x:v>
      </x:c>
      <x:c r="F480" s="6" t="str">
        <x:v>Specialist news</x:v>
      </x:c>
      <x:c r="G480" s="6" t="str">
        <x:v>Digital identity wallet developments; commercial deployments, policy and industry news.</x:v>
      </x:c>
      <x:c r="H480" s="6" t="str">
        <x:v>https://www.biometricupdate.com/202607/conformance-framework-for-eu-digital-identity-wallets-arrives-with-arf-v3-0</x:v>
      </x:c>
      <x:c r="I480" s="16" t="d">
        <x:v>2026-05-28T12:00:00.000Z</x:v>
      </x:c>
      <x:c r="J480" s="6" t="str">
        <x:v>https://www.biometricupdate.com/202607/conformance-framework-for-eu-digital-identity-wallets-arrives-with-arf-v3-0</x:v>
      </x:c>
      <x:c r="K480" s="6" t="str">
        <x:v>Dated item visible in retrieved page/index: 2026-05-28. Search publication metadata: 2 months ago. </x:v>
      </x:c>
    </x:row>
    <x:row r="481" ht="15" hidden="0" customHeight="1">
      <x:c r="A481" s="12" t="n">
        <x:v>46</x:v>
      </x:c>
      <x:c r="B481" s="6" t="str">
        <x:v>Verifiable digital identity wallets</x:v>
      </x:c>
      <x:c r="C481" s="6" t="str">
        <x:v>Digital &amp; planetary systems</x:v>
      </x:c>
      <x:c r="D481" s="6" t="str">
        <x:v>Mobile ID World</x:v>
      </x:c>
      <x:c r="E481" s="6" t="str">
        <x:v>mobileidworld.com</x:v>
      </x:c>
      <x:c r="F481" s="6" t="str">
        <x:v>Specialist news</x:v>
      </x:c>
      <x:c r="G481" s="6" t="str">
        <x:v>Digital identity wallet developments; commercial deployments, policy and industry news.</x:v>
      </x:c>
      <x:c r="H481" s="6" t="str">
        <x:v>https://www.mobileidworld.com/</x:v>
      </x:c>
      <x:c r="I481" s="16" t="d">
        <x:v>2026-06-16T12:00:00.000Z</x:v>
      </x:c>
      <x:c r="J481" s="6" t="str">
        <x:v>https://www.mobileidworld.com/</x:v>
      </x:c>
      <x:c r="K481" s="6" t="str">
        <x:v>Dated item visible in retrieved page/index: 2026-06-16. </x:v>
      </x:c>
    </x:row>
    <x:row r="482" ht="15" hidden="0" customHeight="1">
      <x:c r="A482" s="12" t="n">
        <x:v>46</x:v>
      </x:c>
      <x:c r="B482" s="6" t="str">
        <x:v>Verifiable digital identity wallets</x:v>
      </x:c>
      <x:c r="C482" s="6" t="str">
        <x:v>Digital &amp; planetary systems</x:v>
      </x:c>
      <x:c r="D482" s="6" t="str">
        <x:v>Identity Week</x:v>
      </x:c>
      <x:c r="E482" s="6" t="str">
        <x:v>identityweek.net</x:v>
      </x:c>
      <x:c r="F482" s="6" t="str">
        <x:v>Specialist news</x:v>
      </x:c>
      <x:c r="G482" s="6" t="str">
        <x:v>Digital identity wallet developments; commercial deployments, policy and industry news.</x:v>
      </x:c>
      <x:c r="H482" s="6" t="str">
        <x:v>https://identityweek.net/ontario-international-airport-welcomes-tsa-acceptance-of-digital-ids/</x:v>
      </x:c>
      <x:c r="I482" s="16" t="d">
        <x:v>2026-01-14T12:00:00.000Z</x:v>
      </x:c>
      <x:c r="J482" s="6" t="str">
        <x:v>https://identityweek.net/ontario-international-airport-welcomes-tsa-acceptance-of-digital-ids/</x:v>
      </x:c>
      <x:c r="K482" s="6" t="str">
        <x:v>Dated item visible in retrieved page/index: 2026-01-14. Search publication metadata: 9 months ago. </x:v>
      </x:c>
    </x:row>
    <x:row r="483" ht="24" hidden="0" customHeight="1">
      <x:c r="A483" s="12" t="n">
        <x:v>46</x:v>
      </x:c>
      <x:c r="B483" s="6" t="str">
        <x:v>Verifiable digital identity wallets</x:v>
      </x:c>
      <x:c r="C483" s="6" t="str">
        <x:v>Digital &amp; planetary systems</x:v>
      </x:c>
      <x:c r="D483" s="6" t="str">
        <x:v>Finextra</x:v>
      </x:c>
      <x:c r="E483" s="6" t="str">
        <x:v>finextra.com</x:v>
      </x:c>
      <x:c r="F483" s="6" t="str">
        <x:v>Specialist news</x:v>
      </x:c>
      <x:c r="G483" s="6" t="str">
        <x:v>Digital identity wallet developments; commercial deployments, policy and industry news.</x:v>
      </x:c>
      <x:c r="H483" s="6" t="str">
        <x:v>https://www.finextra.com/blogposting/31212/digital-identity-wallets-are-the-stablecoin-adoptions-missing-on-ramp</x:v>
      </x:c>
      <x:c r="I483" s="16" t="d">
        <x:v>2026-03-24T12:00:00.000Z</x:v>
      </x:c>
      <x:c r="J483" s="6" t="str">
        <x:v>https://www.finextra.com/blogposting/31212/digital-identity-wallets-are-the-stablecoin-adoptions-missing-on-ramp</x:v>
      </x:c>
      <x:c r="K483" s="6" t="str">
        <x:v>Dated item visible in retrieved page/index: 2026-03-24. Search publication metadata: 6 months ago. Includes contributor commentary as well as editorial/news content.</x:v>
      </x:c>
    </x:row>
    <x:row r="484" ht="15" hidden="0" customHeight="1">
      <x:c r="A484" s="12" t="n">
        <x:v>46</x:v>
      </x:c>
      <x:c r="B484" s="6" t="str">
        <x:v>Verifiable digital identity wallets</x:v>
      </x:c>
      <x:c r="C484" s="6" t="str">
        <x:v>Digital &amp; planetary systems</x:v>
      </x:c>
      <x:c r="D484" s="6" t="str">
        <x:v>The Paypers</x:v>
      </x:c>
      <x:c r="E484" s="6" t="str">
        <x:v>thepaypers.com</x:v>
      </x:c>
      <x:c r="F484" s="6" t="str">
        <x:v>Specialist news</x:v>
      </x:c>
      <x:c r="G484" s="6" t="str">
        <x:v>Digital identity wallet developments; commercial deployments, policy and industry news.</x:v>
      </x:c>
      <x:c r="H484" s="6" t="str">
        <x:v>https://thepaypers.com/fraud-and-fincrime/thought-leader-insights/eudi-wallet-readiness-what-banks-should-test-before-going-live</x:v>
      </x:c>
      <x:c r="I484" s="16" t="d">
        <x:v>2026-10-13T12:00:00.000Z</x:v>
      </x:c>
      <x:c r="J484" s="6" t="str">
        <x:v>https://thepaypers.com/fraud-and-fincrime/thought-leader-insights/eudi-wallet-readiness-what-banks-should-test-before-going-live</x:v>
      </x:c>
      <x:c r="K484" s="6" t="str">
        <x:v>Dated item visible in retrieved page/index: 2026-10-13. Search publication metadata: 4 days ago. </x:v>
      </x:c>
    </x:row>
    <x:row r="485" ht="15" hidden="0" customHeight="1">
      <x:c r="A485" s="12" t="n">
        <x:v>46</x:v>
      </x:c>
      <x:c r="B485" s="6" t="str">
        <x:v>Verifiable digital identity wallets</x:v>
      </x:c>
      <x:c r="C485" s="6" t="str">
        <x:v>Digital &amp; planetary systems</x:v>
      </x:c>
      <x:c r="D485" s="6" t="str">
        <x:v>Tech Monitor</x:v>
      </x:c>
      <x:c r="E485" s="6" t="str">
        <x:v>techmonitor.ai</x:v>
      </x:c>
      <x:c r="F485" s="6" t="str">
        <x:v>Specialist news</x:v>
      </x:c>
      <x:c r="G485" s="6" t="str">
        <x:v>Digital identity wallet developments; commercial deployments, policy and industry news.</x:v>
      </x:c>
      <x:c r="H485" s="6" t="str">
        <x:v>https://www.techmonitor.ai/comment-2/digital-id-cost-fraud-investment/</x:v>
      </x:c>
      <x:c r="I485" s="16" t="d">
        <x:v>2025-12-11T12:00:00.000Z</x:v>
      </x:c>
      <x:c r="J485" s="6" t="str">
        <x:v>https://www.techmonitor.ai/comment-2/digital-id-cost-fraud-investment/</x:v>
      </x:c>
      <x:c r="K485" s="6" t="str">
        <x:v>Dated item visible in retrieved page/index: 2025-12-11. Search publication metadata: 10 months ago. </x:v>
      </x:c>
    </x:row>
    <x:row r="486" ht="15" hidden="0" customHeight="1">
      <x:c r="A486" s="12" t="n">
        <x:v>46</x:v>
      </x:c>
      <x:c r="B486" s="6" t="str">
        <x:v>Verifiable digital identity wallets</x:v>
      </x:c>
      <x:c r="C486" s="6" t="str">
        <x:v>Digital &amp; planetary systems</x:v>
      </x:c>
      <x:c r="D486" s="6" t="str">
        <x:v>European Commission: Digital Strategy</x:v>
      </x:c>
      <x:c r="E486" s="6" t="str">
        <x:v>digital-strategy.ec.europa.eu</x:v>
      </x:c>
      <x:c r="F486" s="6" t="str">
        <x:v>Research / association / public updates</x:v>
      </x:c>
      <x:c r="G486" s="6" t="str">
        <x:v>Digital identity wallet developments; primary updates and research.</x:v>
      </x:c>
      <x:c r="H486" s="6" t="str">
        <x:v>https://digital-strategy.ec.europa.eu/en/news/commission-urges-member-states-rollout-eu-age-verification-app</x:v>
      </x:c>
      <x:c r="I486" s="16" t="d">
        <x:v>2026-04-29T12:00:00.000Z</x:v>
      </x:c>
      <x:c r="J486" s="6" t="str">
        <x:v>https://digital-strategy.ec.europa.eu/en/news/commission-urges-member-states-rollout-eu-age-verification-app</x:v>
      </x:c>
      <x:c r="K486" s="6" t="str">
        <x:v>Publication and update both dated 29 April 2026; this verification-app update is part of the identity-wallet ecosystem.</x:v>
      </x:c>
    </x:row>
    <x:row r="487" ht="15" hidden="0" customHeight="1">
      <x:c r="A487" s="12" t="n">
        <x:v>46</x:v>
      </x:c>
      <x:c r="B487" s="6" t="str">
        <x:v>Verifiable digital identity wallets</x:v>
      </x:c>
      <x:c r="C487" s="6" t="str">
        <x:v>Digital &amp; planetary systems</x:v>
      </x:c>
      <x:c r="D487" s="6" t="str">
        <x:v>Ledger Insights</x:v>
      </x:c>
      <x:c r="E487" s="6" t="str">
        <x:v>ledgerinsights.com</x:v>
      </x:c>
      <x:c r="F487" s="6" t="str">
        <x:v>Specialist news</x:v>
      </x:c>
      <x:c r="G487" s="6" t="str">
        <x:v>Digital identity wallet developments; commercial deployments, policy and industry news.</x:v>
      </x:c>
      <x:c r="H487" s="6" t="str">
        <x:v>https://www.ledgerinsights.com/openwallet-foundation-to-merge-into-lf-decentralized-trust/</x:v>
      </x:c>
      <x:c r="I487" s="16" t="d">
        <x:v>2026-09-01T12:00:00.000Z</x:v>
      </x:c>
      <x:c r="J487" s="6" t="str">
        <x:v>https://www.ledgerinsights.com/openwallet-foundation-to-merge-into-lf-decentralized-trust/</x:v>
      </x:c>
      <x:c r="K487" s="6" t="str">
        <x:v>Dated item visible in retrieved page/index: 2026-09-01. Search publication metadata: last month. </x:v>
      </x:c>
    </x:row>
    <x:row r="488" ht="15" hidden="0" customHeight="1">
      <x:c r="A488" s="12" t="n">
        <x:v>46</x:v>
      </x:c>
      <x:c r="B488" s="6" t="str">
        <x:v>Verifiable digital identity wallets</x:v>
      </x:c>
      <x:c r="C488" s="6" t="str">
        <x:v>Digital &amp; planetary systems</x:v>
      </x:c>
      <x:c r="D488" s="6" t="str">
        <x:v>ID Tech</x:v>
      </x:c>
      <x:c r="E488" s="6" t="str">
        <x:v>idtechwire.com</x:v>
      </x:c>
      <x:c r="F488" s="6" t="str">
        <x:v>Specialist news</x:v>
      </x:c>
      <x:c r="G488" s="6" t="str">
        <x:v>Digital identity wallet developments; commercial deployments, policy and industry news.</x:v>
      </x:c>
      <x:c r="H488" s="6" t="str">
        <x:v>https://idtechwire.com/topics/digital-identity-wallet/</x:v>
      </x:c>
      <x:c r="I488" s="16" t="d">
        <x:v>2026-04-30T12:00:00.000Z</x:v>
      </x:c>
      <x:c r="J488" s="6" t="str">
        <x:v>https://idtechwire.com/topics/digital-identity-wallet/</x:v>
      </x:c>
      <x:c r="K488" s="6" t="str">
        <x:v>Dated item visible in retrieved page/index: 2026-04-30. </x:v>
      </x:c>
    </x:row>
    <x:row r="489" ht="15" hidden="0" customHeight="1">
      <x:c r="A489" s="12" t="n">
        <x:v>46</x:v>
      </x:c>
      <x:c r="B489" s="6" t="str">
        <x:v>Verifiable digital identity wallets</x:v>
      </x:c>
      <x:c r="C489" s="6" t="str">
        <x:v>Digital &amp; planetary systems</x:v>
      </x:c>
      <x:c r="D489" s="6" t="str">
        <x:v>Computer Weekly</x:v>
      </x:c>
      <x:c r="E489" s="6" t="str">
        <x:v>computerweekly.com</x:v>
      </x:c>
      <x:c r="F489" s="6" t="str">
        <x:v>Specialist news</x:v>
      </x:c>
      <x:c r="G489" s="6" t="str">
        <x:v>Digital identity wallet developments; commercial deployments, policy and industry news.</x:v>
      </x:c>
      <x:c r="H489" s="6" t="str">
        <x:v>https://www.computerweekly.com/news/366639838/Nordics-ally-with-Baltics-to-accelerate-digital-wallet-roll-out</x:v>
      </x:c>
      <x:c r="I489" s="16" t="d">
        <x:v>2026-03-06T12:00:00.000Z</x:v>
      </x:c>
      <x:c r="J489" s="6" t="str">
        <x:v>https://www.computerweekly.com/news/366639838/Nordics-ally-with-Baltics-to-accelerate-digital-wallet-roll-out</x:v>
      </x:c>
      <x:c r="K489" s="6" t="str">
        <x:v>Dated item visible in retrieved page/index: 2026-03-06. Search publication metadata: 7 months ago. </x:v>
      </x:c>
    </x:row>
    <x:row r="490" ht="24" hidden="0" customHeight="1">
      <x:c r="A490" s="12" t="n">
        <x:v>47</x:v>
      </x:c>
      <x:c r="B490" s="6" t="str">
        <x:v>Tokenized real-world assets</x:v>
      </x:c>
      <x:c r="C490" s="6" t="str">
        <x:v>Digital &amp; planetary systems</x:v>
      </x:c>
      <x:c r="D490" s="6" t="str">
        <x:v>CoinDesk / CCData</x:v>
      </x:c>
      <x:c r="E490" s="6" t="str">
        <x:v>coindesk.com</x:v>
      </x:c>
      <x:c r="F490" s="6" t="str">
        <x:v>Specialist news</x:v>
      </x:c>
      <x:c r="G490" s="6" t="str">
        <x:v>Tokenized real world assets developments; commercial deployments, policy and industry news.</x:v>
      </x:c>
      <x:c r="H490" s="6" t="str">
        <x:v>https://www.coindesk.com/business/2026/07/25/robinhood-chain-s-real-world-assets-jump-fivefold-as-tokenized-stocks-start-trading-in-bigger-size</x:v>
      </x:c>
      <x:c r="I490" s="16" t="d">
        <x:v>2026-07-25T12:00:00.000Z</x:v>
      </x:c>
      <x:c r="J490" s="6" t="str">
        <x:v>https://www.coindesk.com/business/2026/07/25/robinhood-chain-s-real-world-assets-jump-fivefold-as-tokenized-stocks-start-trading-in-bigger-size</x:v>
      </x:c>
      <x:c r="K490" s="6" t="str">
        <x:v>Dated article URL: 2026-07-25. Search publication metadata: 2 months ago. </x:v>
      </x:c>
    </x:row>
    <x:row r="491" ht="15" hidden="0" customHeight="1">
      <x:c r="A491" s="12" t="n">
        <x:v>47</x:v>
      </x:c>
      <x:c r="B491" s="6" t="str">
        <x:v>Tokenized real-world assets</x:v>
      </x:c>
      <x:c r="C491" s="6" t="str">
        <x:v>Digital &amp; planetary systems</x:v>
      </x:c>
      <x:c r="D491" s="6" t="str">
        <x:v>The Block</x:v>
      </x:c>
      <x:c r="E491" s="6" t="str">
        <x:v>theblock.co</x:v>
      </x:c>
      <x:c r="F491" s="6" t="str">
        <x:v>Specialist news</x:v>
      </x:c>
      <x:c r="G491" s="6" t="str">
        <x:v>Tokenized real world assets developments; commercial deployments, policy and industry news.</x:v>
      </x:c>
      <x:c r="H491" s="6" t="str">
        <x:v>https://www.theblock.co/news/defi/2026-07-22-tokenized-equity-perps-drive-rwa-trading-boom-to-470-billion-monthly-volume-408961</x:v>
      </x:c>
      <x:c r="I491" s="16" t="d">
        <x:v>2026-07-22T12:00:00.000Z</x:v>
      </x:c>
      <x:c r="J491" s="6" t="str">
        <x:v>https://www.theblock.co/news/defi/2026-07-22-tokenized-equity-perps-drive-rwa-trading-boom-to-470-billion-monthly-volume-408961</x:v>
      </x:c>
      <x:c r="K491" s="6" t="str">
        <x:v>Dated article URL: 2026-07-22. Search publication metadata: 2 months ago. </x:v>
      </x:c>
    </x:row>
    <x:row r="492" ht="15" hidden="0" customHeight="1">
      <x:c r="A492" s="12" t="n">
        <x:v>47</x:v>
      </x:c>
      <x:c r="B492" s="6" t="str">
        <x:v>Tokenized real-world assets</x:v>
      </x:c>
      <x:c r="C492" s="6" t="str">
        <x:v>Digital &amp; planetary systems</x:v>
      </x:c>
      <x:c r="D492" s="6" t="str">
        <x:v>Cointelegraph</x:v>
      </x:c>
      <x:c r="E492" s="6" t="str">
        <x:v>cointelegraph.com</x:v>
      </x:c>
      <x:c r="F492" s="6" t="str">
        <x:v>Specialist news</x:v>
      </x:c>
      <x:c r="G492" s="6" t="str">
        <x:v>Tokenized real world assets developments; commercial deployments, policy and industry news.</x:v>
      </x:c>
      <x:c r="H492" s="6" t="str">
        <x:v>https://cointelegraph.com/news/tokenized-rwa-market-cap-spiked-in-the-last-15-months</x:v>
      </x:c>
      <x:c r="I492" s="16" t="d">
        <x:v>2026-05-01T12:00:00.000Z</x:v>
      </x:c>
      <x:c r="J492" s="6" t="str">
        <x:v>https://cointelegraph.com/news/tokenized-rwa-market-cap-spiked-in-the-last-15-months</x:v>
      </x:c>
      <x:c r="K492" s="6" t="str">
        <x:v>Dated item visible in retrieved page/index: 2026-05-01. Search publication metadata: 5 months ago. </x:v>
      </x:c>
    </x:row>
    <x:row r="493" ht="15" hidden="0" customHeight="1">
      <x:c r="A493" s="12" t="n">
        <x:v>47</x:v>
      </x:c>
      <x:c r="B493" s="6" t="str">
        <x:v>Tokenized real-world assets</x:v>
      </x:c>
      <x:c r="C493" s="6" t="str">
        <x:v>Digital &amp; planetary systems</x:v>
      </x:c>
      <x:c r="D493" s="6" t="str">
        <x:v>Ledger Insights</x:v>
      </x:c>
      <x:c r="E493" s="6" t="str">
        <x:v>ledgerinsights.com</x:v>
      </x:c>
      <x:c r="F493" s="6" t="str">
        <x:v>Specialist news</x:v>
      </x:c>
      <x:c r="G493" s="6" t="str">
        <x:v>Tokenized real world assets developments; commercial deployments, policy and industry news.</x:v>
      </x:c>
      <x:c r="H493" s="6" t="str">
        <x:v>https://www.ledgerinsights.com/tokenized-real-estate-fund-issued-on-goldman-sachs-distributed-ledger/</x:v>
      </x:c>
      <x:c r="I493" s="16" t="d">
        <x:v>2026-06-04T12:00:00.000Z</x:v>
      </x:c>
      <x:c r="J493" s="6" t="str">
        <x:v>https://www.ledgerinsights.com/tokenized-real-estate-fund-issued-on-goldman-sachs-distributed-ledger/</x:v>
      </x:c>
      <x:c r="K493" s="6" t="str">
        <x:v>Dated item visible in retrieved page/index: 2026-06-04. Search publication metadata: 4 months ago. </x:v>
      </x:c>
    </x:row>
    <x:row r="494" ht="24" hidden="0" customHeight="1">
      <x:c r="A494" s="12" t="n">
        <x:v>47</x:v>
      </x:c>
      <x:c r="B494" s="6" t="str">
        <x:v>Tokenized real-world assets</x:v>
      </x:c>
      <x:c r="C494" s="6" t="str">
        <x:v>Digital &amp; planetary systems</x:v>
      </x:c>
      <x:c r="D494" s="6" t="str">
        <x:v>Finextra</x:v>
      </x:c>
      <x:c r="E494" s="6" t="str">
        <x:v>finextra.com</x:v>
      </x:c>
      <x:c r="F494" s="6" t="str">
        <x:v>Specialist news</x:v>
      </x:c>
      <x:c r="G494" s="6" t="str">
        <x:v>Tokenized real world assets developments; commercial deployments, policy and industry news.</x:v>
      </x:c>
      <x:c r="H494" s="6" t="str">
        <x:v>https://www.finextra.com/blogposting/32027/tokenized-real-world-assets--the-next-frontier-of-blockchain-finance</x:v>
      </x:c>
      <x:c r="I494" s="16" t="d">
        <x:v>2026-06-16T12:00:00.000Z</x:v>
      </x:c>
      <x:c r="J494" s="6" t="str">
        <x:v>https://www.finextra.com/blogposting/32027/tokenized-real-world-assets--the-next-frontier-of-blockchain-finance</x:v>
      </x:c>
      <x:c r="K494" s="6" t="str">
        <x:v>Dated item visible in retrieved page/index: 2026-06-16. Search publication metadata: 4 months ago. Includes contributor commentary as well as editorial/news content.</x:v>
      </x:c>
    </x:row>
    <x:row r="495" ht="15" hidden="0" customHeight="1">
      <x:c r="A495" s="12" t="n">
        <x:v>47</x:v>
      </x:c>
      <x:c r="B495" s="6" t="str">
        <x:v>Tokenized real-world assets</x:v>
      </x:c>
      <x:c r="C495" s="6" t="str">
        <x:v>Digital &amp; planetary systems</x:v>
      </x:c>
      <x:c r="D495" s="6" t="str">
        <x:v>The Paypers</x:v>
      </x:c>
      <x:c r="E495" s="6" t="str">
        <x:v>thepaypers.com</x:v>
      </x:c>
      <x:c r="F495" s="6" t="str">
        <x:v>Specialist news</x:v>
      </x:c>
      <x:c r="G495" s="6" t="str">
        <x:v>Tokenized real world assets developments; commercial deployments, policy and industry news.</x:v>
      </x:c>
      <x:c r="H495" s="6" t="str">
        <x:v>https://thepaypers.com/crypto-web3-and-cbdc/expert-views/the-future-of-rwas-from-tokenization-to-trading</x:v>
      </x:c>
      <x:c r="I495" s="16" t="d">
        <x:v>2026-10-13T12:00:00.000Z</x:v>
      </x:c>
      <x:c r="J495" s="6" t="str">
        <x:v>https://thepaypers.com/crypto-web3-and-cbdc/expert-views/the-future-of-rwas-from-tokenization-to-trading</x:v>
      </x:c>
      <x:c r="K495" s="6" t="str">
        <x:v>Dated item visible in retrieved page/index: 2026-10-13. Search publication metadata: 4 days ago. </x:v>
      </x:c>
    </x:row>
    <x:row r="496" ht="15" hidden="0" customHeight="1">
      <x:c r="A496" s="12" t="n">
        <x:v>47</x:v>
      </x:c>
      <x:c r="B496" s="6" t="str">
        <x:v>Tokenized real-world assets</x:v>
      </x:c>
      <x:c r="C496" s="6" t="str">
        <x:v>Digital &amp; planetary systems</x:v>
      </x:c>
      <x:c r="D496" s="6" t="str">
        <x:v>CryptoSlate</x:v>
      </x:c>
      <x:c r="E496" s="6" t="str">
        <x:v>cryptoslate.com</x:v>
      </x:c>
      <x:c r="F496" s="6" t="str">
        <x:v>Specialist news</x:v>
      </x:c>
      <x:c r="G496" s="6" t="str">
        <x:v>Tokenized real world assets developments; commercial deployments, policy and industry news.</x:v>
      </x:c>
      <x:c r="H496" s="6" t="str">
        <x:v>https://cryptoslate.com/tokenization/</x:v>
      </x:c>
      <x:c r="I496" s="16" t="d">
        <x:v>2026-10-09T12:00:00.000Z</x:v>
      </x:c>
      <x:c r="J496" s="6" t="str">
        <x:v>https://cryptoslate.com/tokenization/</x:v>
      </x:c>
      <x:c r="K496" s="6" t="str">
        <x:v>Dated item visible in retrieved page/index: 2026-10-09. </x:v>
      </x:c>
    </x:row>
    <x:row r="497" ht="15" hidden="0" customHeight="1">
      <x:c r="A497" s="12" t="n">
        <x:v>47</x:v>
      </x:c>
      <x:c r="B497" s="6" t="str">
        <x:v>Tokenized real-world assets</x:v>
      </x:c>
      <x:c r="C497" s="6" t="str">
        <x:v>Digital &amp; planetary systems</x:v>
      </x:c>
      <x:c r="D497" s="6" t="str">
        <x:v>Decrypt</x:v>
      </x:c>
      <x:c r="E497" s="6" t="str">
        <x:v>decrypt.co</x:v>
      </x:c>
      <x:c r="F497" s="6" t="str">
        <x:v>Specialist news</x:v>
      </x:c>
      <x:c r="G497" s="6" t="str">
        <x:v>Tokenized real world assets developments; commercial deployments, policy and industry news.</x:v>
      </x:c>
      <x:c r="H497" s="6" t="str">
        <x:v>https://decrypt.co/358693/risk-off-capital-shifts-toward-tokenized-assets-defi-pulls-back%2529</x:v>
      </x:c>
      <x:c r="I497" s="16" t="d">
        <x:v>2026-02-20T12:00:00.000Z</x:v>
      </x:c>
      <x:c r="J497" s="6" t="str">
        <x:v>https://decrypt.co/358693/risk-off-capital-shifts-toward-tokenized-assets-defi-pulls-back%2529</x:v>
      </x:c>
      <x:c r="K497" s="6" t="str">
        <x:v>Dated item visible in retrieved page/index: 2026-02-20. Search publication metadata: 7 months ago. </x:v>
      </x:c>
    </x:row>
    <x:row r="498" ht="15" hidden="0" customHeight="1">
      <x:c r="A498" s="12" t="n">
        <x:v>47</x:v>
      </x:c>
      <x:c r="B498" s="6" t="str">
        <x:v>Tokenized real-world assets</x:v>
      </x:c>
      <x:c r="C498" s="6" t="str">
        <x:v>Digital &amp; planetary systems</x:v>
      </x:c>
      <x:c r="D498" s="6" t="str">
        <x:v>Securities.io</x:v>
      </x:c>
      <x:c r="E498" s="6" t="str">
        <x:v>securities.io</x:v>
      </x:c>
      <x:c r="F498" s="6" t="str">
        <x:v>Specialist news</x:v>
      </x:c>
      <x:c r="G498" s="6" t="str">
        <x:v>Tokenized real world assets developments; commercial deployments, policy and industry news.</x:v>
      </x:c>
      <x:c r="H498" s="6" t="str">
        <x:v>https://www.securities.io/tokenized-real-estate-vs-traditional-reits-comparison/</x:v>
      </x:c>
      <x:c r="I498" s="16" t="d">
        <x:v>2026-02-11T12:00:00.000Z</x:v>
      </x:c>
      <x:c r="J498" s="6" t="str">
        <x:v>https://www.securities.io/tokenized-real-estate-vs-traditional-reits-comparison/</x:v>
      </x:c>
      <x:c r="K498" s="6" t="str">
        <x:v>Dated item visible in retrieved page/index: 2026-02-11. Search publication metadata: 8 months ago. </x:v>
      </x:c>
    </x:row>
    <x:row r="499" ht="15" hidden="0" customHeight="1">
      <x:c r="A499" s="12" t="n">
        <x:v>47</x:v>
      </x:c>
      <x:c r="B499" s="6" t="str">
        <x:v>Tokenized real-world assets</x:v>
      </x:c>
      <x:c r="C499" s="6" t="str">
        <x:v>Digital &amp; planetary systems</x:v>
      </x:c>
      <x:c r="D499" s="6" t="str">
        <x:v>DL News</x:v>
      </x:c>
      <x:c r="E499" s="6" t="str">
        <x:v>dlnews.com</x:v>
      </x:c>
      <x:c r="F499" s="6" t="str">
        <x:v>Specialist news</x:v>
      </x:c>
      <x:c r="G499" s="6" t="str">
        <x:v>Tokenized real world assets developments; commercial deployments, policy and industry news.</x:v>
      </x:c>
      <x:c r="H499" s="6" t="str">
        <x:v>https://www.dlnews.com/articles/markets/xrp-hits-1bn-in-tokenised-assets-but-price-stall-ripple/</x:v>
      </x:c>
      <x:c r="I499" s="16" t="d">
        <x:v>2026-03-19T12:00:00.000Z</x:v>
      </x:c>
      <x:c r="J499" s="6" t="str">
        <x:v>https://www.dlnews.com/articles/markets/xrp-hits-1bn-in-tokenised-assets-but-price-stall-ripple/</x:v>
      </x:c>
      <x:c r="K499" s="6" t="str">
        <x:v>Dated item visible in retrieved page/index: 2026-03-19. Search publication metadata: 7 months ago. </x:v>
      </x:c>
    </x:row>
    <x:row r="500" ht="15" hidden="0" customHeight="1">
      <x:c r="A500" s="12" t="n">
        <x:v>48</x:v>
      </x:c>
      <x:c r="B500" s="6" t="str">
        <x:v>Regulated stablecoin payment rails</x:v>
      </x:c>
      <x:c r="C500" s="6" t="str">
        <x:v>Digital &amp; planetary systems</x:v>
      </x:c>
      <x:c r="D500" s="6" t="str">
        <x:v>CoinDesk / CCData</x:v>
      </x:c>
      <x:c r="E500" s="6" t="str">
        <x:v>coindesk.com</x:v>
      </x:c>
      <x:c r="F500" s="6" t="str">
        <x:v>Specialist news</x:v>
      </x:c>
      <x:c r="G500" s="6" t="str">
        <x:v>Stablecoin payments developments; commercial deployments, policy and industry news.</x:v>
      </x:c>
      <x:c r="H500" s="6" t="str">
        <x:v>https://www.coindesk.com/business/2026/08/28/visa-doubles-down-on-south-korea-with-upbit-operator-dunamu-on-stablecoin-payments</x:v>
      </x:c>
      <x:c r="I500" s="16" t="d">
        <x:v>2026-08-28T12:00:00.000Z</x:v>
      </x:c>
      <x:c r="J500" s="6" t="str">
        <x:v>https://www.coindesk.com/business/2026/08/28/visa-doubles-down-on-south-korea-with-upbit-operator-dunamu-on-stablecoin-payments</x:v>
      </x:c>
      <x:c r="K500" s="6" t="str">
        <x:v>Dated article URL: 2026-08-28. Search publication metadata: last month. </x:v>
      </x:c>
    </x:row>
    <x:row r="501" ht="24" hidden="0" customHeight="1">
      <x:c r="A501" s="12" t="n">
        <x:v>48</x:v>
      </x:c>
      <x:c r="B501" s="6" t="str">
        <x:v>Regulated stablecoin payment rails</x:v>
      </x:c>
      <x:c r="C501" s="6" t="str">
        <x:v>Digital &amp; planetary systems</x:v>
      </x:c>
      <x:c r="D501" s="6" t="str">
        <x:v>The Block</x:v>
      </x:c>
      <x:c r="E501" s="6" t="str">
        <x:v>theblock.co</x:v>
      </x:c>
      <x:c r="F501" s="6" t="str">
        <x:v>Specialist news</x:v>
      </x:c>
      <x:c r="G501" s="6" t="str">
        <x:v>Stablecoin payments developments; commercial deployments, policy and industry news.</x:v>
      </x:c>
      <x:c r="H501" s="6" t="str">
        <x:v>https://www.theblock.co/news/markets/2026-07-13-stablecoin-fx-priced-below-interbank-rates-in-q2-with-routing-now-the-biggest-cost-lever-borderless-408006</x:v>
      </x:c>
      <x:c r="I501" s="16" t="d">
        <x:v>2026-07-13T12:00:00.000Z</x:v>
      </x:c>
      <x:c r="J501" s="6" t="str">
        <x:v>https://www.theblock.co/news/markets/2026-07-13-stablecoin-fx-priced-below-interbank-rates-in-q2-with-routing-now-the-biggest-cost-lever-borderless-408006</x:v>
      </x:c>
      <x:c r="K501" s="6" t="str">
        <x:v>Dated article URL: 2026-07-13. Search publication metadata: 3 months ago. </x:v>
      </x:c>
    </x:row>
    <x:row r="502" ht="15" hidden="0" customHeight="1">
      <x:c r="A502" s="12" t="n">
        <x:v>48</x:v>
      </x:c>
      <x:c r="B502" s="6" t="str">
        <x:v>Regulated stablecoin payment rails</x:v>
      </x:c>
      <x:c r="C502" s="6" t="str">
        <x:v>Digital &amp; planetary systems</x:v>
      </x:c>
      <x:c r="D502" s="6" t="str">
        <x:v>Cointelegraph</x:v>
      </x:c>
      <x:c r="E502" s="6" t="str">
        <x:v>cointelegraph.com</x:v>
      </x:c>
      <x:c r="F502" s="6" t="str">
        <x:v>Specialist news</x:v>
      </x:c>
      <x:c r="G502" s="6" t="str">
        <x:v>Stablecoin payments developments; commercial deployments, policy and industry news.</x:v>
      </x:c>
      <x:c r="H502" s="6" t="str">
        <x:v>https://cointelegraph.com/news/kakao-circle-won-stablecoin-payment-infrastructure</x:v>
      </x:c>
      <x:c r="I502" s="16" t="d">
        <x:v>2026-07-23T12:00:00.000Z</x:v>
      </x:c>
      <x:c r="J502" s="6" t="str">
        <x:v>https://cointelegraph.com/news/kakao-circle-won-stablecoin-payment-infrastructure</x:v>
      </x:c>
      <x:c r="K502" s="6" t="str">
        <x:v>Dated item visible in retrieved page/index: 2026-07-23. Search publication metadata: 2 months ago. </x:v>
      </x:c>
    </x:row>
    <x:row r="503" ht="15" hidden="0" customHeight="1">
      <x:c r="A503" s="12" t="n">
        <x:v>48</x:v>
      </x:c>
      <x:c r="B503" s="6" t="str">
        <x:v>Regulated stablecoin payment rails</x:v>
      </x:c>
      <x:c r="C503" s="6" t="str">
        <x:v>Digital &amp; planetary systems</x:v>
      </x:c>
      <x:c r="D503" s="6" t="str">
        <x:v>Ledger Insights</x:v>
      </x:c>
      <x:c r="E503" s="6" t="str">
        <x:v>ledgerinsights.com</x:v>
      </x:c>
      <x:c r="F503" s="6" t="str">
        <x:v>Specialist news</x:v>
      </x:c>
      <x:c r="G503" s="6" t="str">
        <x:v>Stablecoin payments developments; commercial deployments, policy and industry news.</x:v>
      </x:c>
      <x:c r="H503" s="6" t="str">
        <x:v>https://www.ledgerinsights.com/cloudflare-unveils-stablecoin-solution-for-ai-agent-payments/</x:v>
      </x:c>
      <x:c r="I503" s="16" t="d">
        <x:v>2026-07-06T12:00:00.000Z</x:v>
      </x:c>
      <x:c r="J503" s="6" t="str">
        <x:v>https://www.ledgerinsights.com/cloudflare-unveils-stablecoin-solution-for-ai-agent-payments/</x:v>
      </x:c>
      <x:c r="K503" s="6" t="str">
        <x:v>Dated item visible in retrieved page/index: 2026-07-06. Search publication metadata: 3 months ago. </x:v>
      </x:c>
    </x:row>
    <x:row r="504" ht="24" hidden="0" customHeight="1">
      <x:c r="A504" s="12" t="n">
        <x:v>48</x:v>
      </x:c>
      <x:c r="B504" s="6" t="str">
        <x:v>Regulated stablecoin payment rails</x:v>
      </x:c>
      <x:c r="C504" s="6" t="str">
        <x:v>Digital &amp; planetary systems</x:v>
      </x:c>
      <x:c r="D504" s="6" t="str">
        <x:v>Finextra</x:v>
      </x:c>
      <x:c r="E504" s="6" t="str">
        <x:v>finextra.com</x:v>
      </x:c>
      <x:c r="F504" s="6" t="str">
        <x:v>Specialist news</x:v>
      </x:c>
      <x:c r="G504" s="6" t="str">
        <x:v>Stablecoin payments developments; commercial deployments, policy and industry news.</x:v>
      </x:c>
      <x:c r="H504" s="6" t="str">
        <x:v>https://www.finextra.com/pressarticle/110192/repay-completes-stablecoin-payments-proof-of-concept</x:v>
      </x:c>
      <x:c r="I504" s="16" t="d">
        <x:v>2026-06-19T12:00:00.000Z</x:v>
      </x:c>
      <x:c r="J504" s="6" t="str">
        <x:v>https://www.finextra.com/pressarticle/110192/repay-completes-stablecoin-payments-proof-of-concept</x:v>
      </x:c>
      <x:c r="K504" s="6" t="str">
        <x:v>Dated item visible in retrieved page/index: 2026-06-19. Search publication metadata: 4 months ago. Includes contributor commentary as well as editorial/news content.Evidence is a published press release, not independent reporting.</x:v>
      </x:c>
    </x:row>
    <x:row r="505" ht="15" hidden="0" customHeight="1">
      <x:c r="A505" s="12" t="n">
        <x:v>48</x:v>
      </x:c>
      <x:c r="B505" s="6" t="str">
        <x:v>Regulated stablecoin payment rails</x:v>
      </x:c>
      <x:c r="C505" s="6" t="str">
        <x:v>Digital &amp; planetary systems</x:v>
      </x:c>
      <x:c r="D505" s="6" t="str">
        <x:v>The Paypers</x:v>
      </x:c>
      <x:c r="E505" s="6" t="str">
        <x:v>thepaypers.com</x:v>
      </x:c>
      <x:c r="F505" s="6" t="str">
        <x:v>Specialist news</x:v>
      </x:c>
      <x:c r="G505" s="6" t="str">
        <x:v>Stablecoin payments developments; commercial deployments, policy and industry news.</x:v>
      </x:c>
      <x:c r="H505" s="6" t="str">
        <x:v>https://thepaypers.com/crypto-web3-and-cbdc/news/us-faster-payments-council-report-examines-stablecoins-for-cross-border-payments</x:v>
      </x:c>
      <x:c r="I505" s="16" t="d">
        <x:v>2026-07-24T12:00:00.000Z</x:v>
      </x:c>
      <x:c r="J505" s="6" t="str">
        <x:v>https://thepaypers.com/crypto-web3-and-cbdc/news/us-faster-payments-council-report-examines-stablecoins-for-cross-border-payments</x:v>
      </x:c>
      <x:c r="K505" s="6" t="str">
        <x:v>Dated item visible in retrieved page/index: 2026-07-24. Search publication metadata: 2 months ago. </x:v>
      </x:c>
    </x:row>
    <x:row r="506" ht="15" hidden="0" customHeight="1">
      <x:c r="A506" s="12" t="n">
        <x:v>48</x:v>
      </x:c>
      <x:c r="B506" s="6" t="str">
        <x:v>Regulated stablecoin payment rails</x:v>
      </x:c>
      <x:c r="C506" s="6" t="str">
        <x:v>Digital &amp; planetary systems</x:v>
      </x:c>
      <x:c r="D506" s="6" t="str">
        <x:v>PYMNTS</x:v>
      </x:c>
      <x:c r="E506" s="6" t="str">
        <x:v>pymnts.com</x:v>
      </x:c>
      <x:c r="F506" s="6" t="str">
        <x:v>Specialist news</x:v>
      </x:c>
      <x:c r="G506" s="6" t="str">
        <x:v>Stablecoin payments developments; commercial deployments, policy and industry news.</x:v>
      </x:c>
      <x:c r="H506" s="6" t="str">
        <x:v>https://www.pymnts.com/cryptocurrency/2026/stablecoin-settlement-is-here-but-seamless-off-chain-money-movement-is-not/</x:v>
      </x:c>
      <x:c r="I506" s="16" t="d">
        <x:v>2026-05-29T12:00:00.000Z</x:v>
      </x:c>
      <x:c r="J506" s="6" t="str">
        <x:v>https://www.pymnts.com/cryptocurrency/2026/stablecoin-settlement-is-here-but-seamless-off-chain-money-movement-is-not/</x:v>
      </x:c>
      <x:c r="K506" s="6" t="str">
        <x:v>Dated item visible in retrieved page/index: 2026-05-29. Search publication metadata: 4 months ago. </x:v>
      </x:c>
    </x:row>
    <x:row r="507" ht="15" hidden="0" customHeight="1">
      <x:c r="A507" s="12" t="n">
        <x:v>48</x:v>
      </x:c>
      <x:c r="B507" s="6" t="str">
        <x:v>Regulated stablecoin payment rails</x:v>
      </x:c>
      <x:c r="C507" s="6" t="str">
        <x:v>Digital &amp; planetary systems</x:v>
      </x:c>
      <x:c r="D507" s="6" t="str">
        <x:v>Payments Dive</x:v>
      </x:c>
      <x:c r="E507" s="6" t="str">
        <x:v>paymentsdive.com</x:v>
      </x:c>
      <x:c r="F507" s="6" t="str">
        <x:v>Specialist news</x:v>
      </x:c>
      <x:c r="G507" s="6" t="str">
        <x:v>Stablecoin payments developments; commercial deployments, policy and industry news.</x:v>
      </x:c>
      <x:c r="H507" s="6" t="str">
        <x:v>https://www.paymentsdive.com/news/stablecoins-roll-on-as-rules-evolve/816455/</x:v>
      </x:c>
      <x:c r="I507" s="16" t="d">
        <x:v>2026-04-02T12:00:00.000Z</x:v>
      </x:c>
      <x:c r="J507" s="6" t="str">
        <x:v>https://www.paymentsdive.com/news/stablecoins-roll-on-as-rules-evolve/816455/</x:v>
      </x:c>
      <x:c r="K507" s="6" t="str">
        <x:v>Dated item visible in retrieved page/index: 2026-04-02. Search publication metadata: 6 months ago. </x:v>
      </x:c>
    </x:row>
    <x:row r="508" ht="15" hidden="0" customHeight="1">
      <x:c r="A508" s="12" t="n">
        <x:v>48</x:v>
      </x:c>
      <x:c r="B508" s="6" t="str">
        <x:v>Regulated stablecoin payment rails</x:v>
      </x:c>
      <x:c r="C508" s="6" t="str">
        <x:v>Digital &amp; planetary systems</x:v>
      </x:c>
      <x:c r="D508" s="6" t="str">
        <x:v>CryptoSlate</x:v>
      </x:c>
      <x:c r="E508" s="6" t="str">
        <x:v>cryptoslate.com</x:v>
      </x:c>
      <x:c r="F508" s="6" t="str">
        <x:v>Specialist news</x:v>
      </x:c>
      <x:c r="G508" s="6" t="str">
        <x:v>Stablecoin payments developments; commercial deployments, policy and industry news.</x:v>
      </x:c>
      <x:c r="H508" s="6" t="str">
        <x:v>https://cryptoslate.com/stablecoin-payments-fx-local-currency-settlement/</x:v>
      </x:c>
      <x:c r="I508" s="16" t="d">
        <x:v>2026-08-06T12:00:00.000Z</x:v>
      </x:c>
      <x:c r="J508" s="6" t="str">
        <x:v>https://cryptoslate.com/stablecoin-payments-fx-local-currency-settlement/</x:v>
      </x:c>
      <x:c r="K508" s="6" t="str">
        <x:v>Dated item visible in retrieved page/index: 2026-08-06. Search publication metadata: 2 months ago. </x:v>
      </x:c>
    </x:row>
    <x:row r="509" ht="15" hidden="0" customHeight="1">
      <x:c r="A509" s="12" t="n">
        <x:v>48</x:v>
      </x:c>
      <x:c r="B509" s="6" t="str">
        <x:v>Regulated stablecoin payment rails</x:v>
      </x:c>
      <x:c r="C509" s="6" t="str">
        <x:v>Digital &amp; planetary systems</x:v>
      </x:c>
      <x:c r="D509" s="6" t="str">
        <x:v>Decrypt</x:v>
      </x:c>
      <x:c r="E509" s="6" t="str">
        <x:v>decrypt.co</x:v>
      </x:c>
      <x:c r="F509" s="6" t="str">
        <x:v>Specialist news</x:v>
      </x:c>
      <x:c r="G509" s="6" t="str">
        <x:v>Stablecoin payments developments; commercial deployments, policy and industry news.</x:v>
      </x:c>
      <x:c r="H509" s="6" t="str">
        <x:v>https://decrypt.co/377280</x:v>
      </x:c>
      <x:c r="I509" s="16" t="d">
        <x:v>2026-09-06T12:00:00.000Z</x:v>
      </x:c>
      <x:c r="J509" s="6" t="str">
        <x:v>https://decrypt.co/377280</x:v>
      </x:c>
      <x:c r="K509" s="6" t="str">
        <x:v>Dated item visible in retrieved page/index: 2026-09-06. Search publication metadata: last month. </x:v>
      </x:c>
    </x:row>
    <x:row r="510" ht="15" hidden="0" customHeight="1">
      <x:c r="A510" s="12" t="n">
        <x:v>49</x:v>
      </x:c>
      <x:c r="B510" s="6" t="str">
        <x:v>Earth-observation analytics</x:v>
      </x:c>
      <x:c r="C510" s="6" t="str">
        <x:v>Digital &amp; planetary systems</x:v>
      </x:c>
      <x:c r="D510" s="6" t="str">
        <x:v>EOmag / EARSC</x:v>
      </x:c>
      <x:c r="E510" s="6" t="str">
        <x:v>eomag.eu</x:v>
      </x:c>
      <x:c r="F510" s="6" t="str">
        <x:v>Specialist news</x:v>
      </x:c>
      <x:c r="G510" s="6" t="str">
        <x:v>Earth observation satellite analytics developments; commercial deployments, policy and industry news.</x:v>
      </x:c>
      <x:c r="H510" s="6" t="str">
        <x:v>https://eomag.eu/from-seeing-to-anticipating-the-data-behind-the-next-phase-of-earth-observation/</x:v>
      </x:c>
      <x:c r="I510" s="16" t="d">
        <x:v>2026-07-07T12:00:00.000Z</x:v>
      </x:c>
      <x:c r="J510" s="6" t="str">
        <x:v>https://eomag.eu/from-seeing-to-anticipating-the-data-behind-the-next-phase-of-earth-observation/</x:v>
      </x:c>
      <x:c r="K510" s="6" t="str">
        <x:v>Dated item visible in retrieved page/index: 2026-07-07. Search publication metadata: 3 months ago. </x:v>
      </x:c>
    </x:row>
    <x:row r="511" ht="15" hidden="0" customHeight="1">
      <x:c r="A511" s="12" t="n">
        <x:v>49</x:v>
      </x:c>
      <x:c r="B511" s="6" t="str">
        <x:v>Earth-observation analytics</x:v>
      </x:c>
      <x:c r="C511" s="6" t="str">
        <x:v>Digital &amp; planetary systems</x:v>
      </x:c>
      <x:c r="D511" s="6" t="str">
        <x:v>Geospatial World</x:v>
      </x:c>
      <x:c r="E511" s="6" t="str">
        <x:v>geospatialworld.net</x:v>
      </x:c>
      <x:c r="F511" s="6" t="str">
        <x:v>Specialist news</x:v>
      </x:c>
      <x:c r="G511" s="6" t="str">
        <x:v>Earth observation satellite analytics developments; commercial deployments, policy and industry news.</x:v>
      </x:c>
      <x:c r="H511" s="6" t="str">
        <x:v>https://geospatialworld.net/webinars/2026/space-and-geospatial-series/satellite-downstream.php</x:v>
      </x:c>
      <x:c r="I511" s="16" t="d">
        <x:v>2026-03-25T12:00:00.000Z</x:v>
      </x:c>
      <x:c r="J511" s="6" t="str">
        <x:v>https://geospatialworld.net/webinars/2026/space-and-geospatial-series/satellite-downstream.php</x:v>
      </x:c>
      <x:c r="K511" s="6" t="str">
        <x:v>Dated item visible in retrieved page/index: 2026-03-25. Search publication metadata: 6 months ago. </x:v>
      </x:c>
    </x:row>
    <x:row r="512" ht="15" hidden="0" customHeight="1">
      <x:c r="A512" s="12" t="n">
        <x:v>49</x:v>
      </x:c>
      <x:c r="B512" s="6" t="str">
        <x:v>Earth-observation analytics</x:v>
      </x:c>
      <x:c r="C512" s="6" t="str">
        <x:v>Digital &amp; planetary systems</x:v>
      </x:c>
      <x:c r="D512" s="6" t="str">
        <x:v>GIM International</x:v>
      </x:c>
      <x:c r="E512" s="6" t="str">
        <x:v>gim-international.com</x:v>
      </x:c>
      <x:c r="F512" s="6" t="str">
        <x:v>Specialist news</x:v>
      </x:c>
      <x:c r="G512" s="6" t="str">
        <x:v>Earth observation satellite analytics developments; commercial deployments, policy and industry news.</x:v>
      </x:c>
      <x:c r="H512" s="6" t="str">
        <x:v>https://www.gim-international.com/content/article/the-new-age-of-earth-observation</x:v>
      </x:c>
      <x:c r="I512" s="16" t="d">
        <x:v>2026-06-04T12:00:00.000Z</x:v>
      </x:c>
      <x:c r="J512" s="6" t="str">
        <x:v>https://www.gim-international.com/content/article/the-new-age-of-earth-observation</x:v>
      </x:c>
      <x:c r="K512" s="6" t="str">
        <x:v>Dated item visible in retrieved page/index: 2026-06-04. Search publication metadata: 4 months ago. </x:v>
      </x:c>
    </x:row>
    <x:row r="513" ht="15" hidden="0" customHeight="1">
      <x:c r="A513" s="12" t="n">
        <x:v>49</x:v>
      </x:c>
      <x:c r="B513" s="6" t="str">
        <x:v>Earth-observation analytics</x:v>
      </x:c>
      <x:c r="C513" s="6" t="str">
        <x:v>Digital &amp; planetary systems</x:v>
      </x:c>
      <x:c r="D513" s="6" t="str">
        <x:v>Group on Earth Observations</x:v>
      </x:c>
      <x:c r="E513" s="6" t="str">
        <x:v>earthobservations.org</x:v>
      </x:c>
      <x:c r="F513" s="6" t="str">
        <x:v>Research / association / public updates</x:v>
      </x:c>
      <x:c r="G513" s="6" t="str">
        <x:v>Earth observation satellite analytics developments; primary updates and research.</x:v>
      </x:c>
      <x:c r="H513" s="6" t="str">
        <x:v>https://gkhub.earthobservations.org/packages/1x4ve-vsy02</x:v>
      </x:c>
      <x:c r="I513" s="16" t="d">
        <x:v>2026-01-05T12:00:00.000Z</x:v>
      </x:c>
      <x:c r="J513" s="6" t="str">
        <x:v>https://gkhub.earthobservations.org/packages/1x4ve-vsy02</x:v>
      </x:c>
      <x:c r="K513" s="6" t="str">
        <x:v>Dated item visible in retrieved page/index: 2026-01-05. Search publication metadata: 9 months ago. </x:v>
      </x:c>
    </x:row>
    <x:row r="514" ht="15" hidden="0" customHeight="1">
      <x:c r="A514" s="12" t="n">
        <x:v>49</x:v>
      </x:c>
      <x:c r="B514" s="6" t="str">
        <x:v>Earth-observation analytics</x:v>
      </x:c>
      <x:c r="C514" s="6" t="str">
        <x:v>Digital &amp; planetary systems</x:v>
      </x:c>
      <x:c r="D514" s="6" t="str">
        <x:v>Payload</x:v>
      </x:c>
      <x:c r="E514" s="6" t="str">
        <x:v>payloadspace.com</x:v>
      </x:c>
      <x:c r="F514" s="6" t="str">
        <x:v>Specialist news</x:v>
      </x:c>
      <x:c r="G514" s="6" t="str">
        <x:v>Earth observation satellite analytics developments; commercial deployments, policy and industry news.</x:v>
      </x:c>
      <x:c r="H514" s="6" t="str">
        <x:v>https://payloadspace.com/exclusive-satellogic-expands-ai-apps-with-spaceknow-partnership/</x:v>
      </x:c>
      <x:c r="I514" s="16" t="d">
        <x:v>2026-06-30T12:00:00.000Z</x:v>
      </x:c>
      <x:c r="J514" s="6" t="str">
        <x:v>https://payloadspace.com/exclusive-satellogic-expands-ai-apps-with-spaceknow-partnership/</x:v>
      </x:c>
      <x:c r="K514" s="6" t="str">
        <x:v>Dated item visible in retrieved page/index: 2026-06-30. Search publication metadata: 3 months ago. </x:v>
      </x:c>
    </x:row>
    <x:row r="515" ht="15" hidden="0" customHeight="1">
      <x:c r="A515" s="12" t="n">
        <x:v>49</x:v>
      </x:c>
      <x:c r="B515" s="6" t="str">
        <x:v>Earth-observation analytics</x:v>
      </x:c>
      <x:c r="C515" s="6" t="str">
        <x:v>Digital &amp; planetary systems</x:v>
      </x:c>
      <x:c r="D515" s="6" t="str">
        <x:v>SpaceDaily</x:v>
      </x:c>
      <x:c r="E515" s="6" t="str">
        <x:v>spacedaily.com</x:v>
      </x:c>
      <x:c r="F515" s="6" t="str">
        <x:v>Specialist news</x:v>
      </x:c>
      <x:c r="G515" s="6" t="str">
        <x:v>Earth observation satellite analytics developments; commercial deployments, policy and industry news.</x:v>
      </x:c>
      <x:c r="H515" s="6" t="str">
        <x:v>https://spacedaily.com/the-silent-partner-how-machine-learning-quietly-powers-modern-space-operations-999/</x:v>
      </x:c>
      <x:c r="I515" s="16" t="d">
        <x:v>2026-01-12T12:00:00.000Z</x:v>
      </x:c>
      <x:c r="J515" s="6" t="str">
        <x:v>https://spacedaily.com/the-silent-partner-how-machine-learning-quietly-powers-modern-space-operations-999/</x:v>
      </x:c>
      <x:c r="K515" s="6" t="str">
        <x:v>Dated item visible in retrieved page/index: 2026-01-12. Search publication metadata: 9 months ago. </x:v>
      </x:c>
    </x:row>
    <x:row r="516" ht="15" hidden="0" customHeight="1">
      <x:c r="A516" s="12" t="n">
        <x:v>49</x:v>
      </x:c>
      <x:c r="B516" s="6" t="str">
        <x:v>Earth-observation analytics</x:v>
      </x:c>
      <x:c r="C516" s="6" t="str">
        <x:v>Digital &amp; planetary systems</x:v>
      </x:c>
      <x:c r="D516" s="6" t="str">
        <x:v>Via Satellite</x:v>
      </x:c>
      <x:c r="E516" s="6" t="str">
        <x:v>satellitetoday.com</x:v>
      </x:c>
      <x:c r="F516" s="6" t="str">
        <x:v>Specialist news</x:v>
      </x:c>
      <x:c r="G516" s="6" t="str">
        <x:v>Earth observation satellite analytics developments; commercial deployments, policy and industry news.</x:v>
      </x:c>
      <x:c r="H516" s="6" t="str">
        <x:v>https://www.satellitetoday.com/earth-observation/2026/07/09/mda-space-vertically-integrates-in-eo-analytics-with-deal-to-acquire-majority-of-cls/</x:v>
      </x:c>
      <x:c r="I516" s="16" t="d">
        <x:v>2026-07-09T12:00:00.000Z</x:v>
      </x:c>
      <x:c r="J516" s="6" t="str">
        <x:v>https://www.satellitetoday.com/earth-observation/2026/07/09/mda-space-vertically-integrates-in-eo-analytics-with-deal-to-acquire-majority-of-cls/</x:v>
      </x:c>
      <x:c r="K516" s="6" t="str">
        <x:v>Dated article URL: 2026-07-09. Search publication metadata: 3 months ago. </x:v>
      </x:c>
    </x:row>
    <x:row r="517" ht="15" hidden="0" customHeight="1">
      <x:c r="A517" s="12" t="n">
        <x:v>49</x:v>
      </x:c>
      <x:c r="B517" s="6" t="str">
        <x:v>Earth-observation analytics</x:v>
      </x:c>
      <x:c r="C517" s="6" t="str">
        <x:v>Digital &amp; planetary systems</x:v>
      </x:c>
      <x:c r="D517" s="6" t="str">
        <x:v>European Space Agency</x:v>
      </x:c>
      <x:c r="E517" s="6" t="str">
        <x:v>esa.int</x:v>
      </x:c>
      <x:c r="F517" s="6" t="str">
        <x:v>Research / association / public updates</x:v>
      </x:c>
      <x:c r="G517" s="6" t="str">
        <x:v>Earth observation satellite analytics developments; primary updates and research.</x:v>
      </x:c>
      <x:c r="H517" s="6" t="str">
        <x:v>https://business.esa.int/projects/theme</x:v>
      </x:c>
      <x:c r="I517" s="16" t="d">
        <x:v>2026-06-30T12:00:00.000Z</x:v>
      </x:c>
      <x:c r="J517" s="6" t="str">
        <x:v>https://business.esa.int/projects/theme</x:v>
      </x:c>
      <x:c r="K517" s="6" t="str">
        <x:v>Dated item visible in retrieved page/index: 2026-06-30. </x:v>
      </x:c>
    </x:row>
    <x:row r="518" ht="15" hidden="0" customHeight="1">
      <x:c r="A518" s="12" t="n">
        <x:v>49</x:v>
      </x:c>
      <x:c r="B518" s="6" t="str">
        <x:v>Earth-observation analytics</x:v>
      </x:c>
      <x:c r="C518" s="6" t="str">
        <x:v>Digital &amp; planetary systems</x:v>
      </x:c>
      <x:c r="D518" s="6" t="str">
        <x:v>NASA Earthdata</x:v>
      </x:c>
      <x:c r="E518" s="6" t="str">
        <x:v>earthdata.nasa.gov</x:v>
      </x:c>
      <x:c r="F518" s="6" t="str">
        <x:v>Research / association / public updates</x:v>
      </x:c>
      <x:c r="G518" s="6" t="str">
        <x:v>Earth observation satellite analytics developments; primary updates and research.</x:v>
      </x:c>
      <x:c r="H518" s="6" t="str">
        <x:v>https://forum.earthdata.nasa.gov/viewtopic.php?p=26105&amp;sid=183a02f433bf5cd7f11087552131402e&amp;t=7959</x:v>
      </x:c>
      <x:c r="I518" s="16" t="d">
        <x:v>2026-06-03T12:00:00.000Z</x:v>
      </x:c>
      <x:c r="J518" s="6" t="str">
        <x:v>https://forum.earthdata.nasa.gov/viewtopic.php?p=26105&amp;sid=183a02f433bf5cd7f11087552131402e&amp;t=7959</x:v>
      </x:c>
      <x:c r="K518" s="6" t="str">
        <x:v>Dated item visible in retrieved page/index: 2026-06-03. Search publication metadata: 4 months ago. </x:v>
      </x:c>
    </x:row>
    <x:row r="519" ht="15" hidden="0" customHeight="1">
      <x:c r="A519" s="12" t="n">
        <x:v>49</x:v>
      </x:c>
      <x:c r="B519" s="6" t="str">
        <x:v>Earth-observation analytics</x:v>
      </x:c>
      <x:c r="C519" s="6" t="str">
        <x:v>Digital &amp; planetary systems</x:v>
      </x:c>
      <x:c r="D519" s="6" t="str">
        <x:v>Geo Week News</x:v>
      </x:c>
      <x:c r="E519" s="6" t="str">
        <x:v>geoweeknews.com</x:v>
      </x:c>
      <x:c r="F519" s="6" t="str">
        <x:v>Specialist news</x:v>
      </x:c>
      <x:c r="G519" s="6" t="str">
        <x:v>Earth observation satellite analytics developments; commercial deployments, policy and industry news.</x:v>
      </x:c>
      <x:c r="H519" s="6" t="str">
        <x:v>https://www.geoweeknews.com/earth-observation/archive/2026</x:v>
      </x:c>
      <x:c r="I519" s="16" t="d">
        <x:v>2026-08-25T12:00:00.000Z</x:v>
      </x:c>
      <x:c r="J519" s="6" t="str">
        <x:v>https://www.geoweeknews.com/earth-observation/archive/2026</x:v>
      </x:c>
      <x:c r="K519" s="6" t="str">
        <x:v>Dated item visible in retrieved page/index: 2026-08-25. </x:v>
      </x:c>
    </x:row>
    <x:row r="520" ht="15" hidden="0" customHeight="1">
      <x:c r="A520" s="12" t="n">
        <x:v>50</x:v>
      </x:c>
      <x:c r="B520" s="6" t="str">
        <x:v>Advanced desalination and water reuse</x:v>
      </x:c>
      <x:c r="C520" s="6" t="str">
        <x:v>Digital &amp; planetary systems</x:v>
      </x:c>
      <x:c r="D520" s="6" t="str">
        <x:v>Global Water Intelligence</x:v>
      </x:c>
      <x:c r="E520" s="6" t="str">
        <x:v>globalwaterintel.com</x:v>
      </x:c>
      <x:c r="F520" s="6" t="str">
        <x:v>Specialist news</x:v>
      </x:c>
      <x:c r="G520" s="6" t="str">
        <x:v>Desalination water reuse developments; commercial deployments, policy and industry news.</x:v>
      </x:c>
      <x:c r="H520" s="6" t="str">
        <x:v>https://www.globalwaterintel.com/pages/desalandreuse</x:v>
      </x:c>
      <x:c r="I520" s="16" t="d">
        <x:v>2026-08-17T12:00:00.000Z</x:v>
      </x:c>
      <x:c r="J520" s="6" t="str">
        <x:v>https://www.globalwaterintel.com/pages/desalandreuse</x:v>
      </x:c>
      <x:c r="K520" s="6" t="str">
        <x:v>Dated item visible in retrieved page/index: 2026-08-17. </x:v>
      </x:c>
    </x:row>
    <x:row r="521" ht="15" hidden="0" customHeight="1">
      <x:c r="A521" s="12" t="n">
        <x:v>50</x:v>
      </x:c>
      <x:c r="B521" s="6" t="str">
        <x:v>Advanced desalination and water reuse</x:v>
      </x:c>
      <x:c r="C521" s="6" t="str">
        <x:v>Digital &amp; planetary systems</x:v>
      </x:c>
      <x:c r="D521" s="6" t="str">
        <x:v>WaterWorld</x:v>
      </x:c>
      <x:c r="E521" s="6" t="str">
        <x:v>waterworld.com</x:v>
      </x:c>
      <x:c r="F521" s="6" t="str">
        <x:v>Specialist news</x:v>
      </x:c>
      <x:c r="G521" s="6" t="str">
        <x:v>Desalination water reuse developments; commercial deployments, policy and industry news.</x:v>
      </x:c>
      <x:c r="H521" s="6" t="str">
        <x:v>https://www.waterworld.com/webinars/webinar/55405960/the-hidden-energy-cost-of-low-pressure-reverse-osmosis</x:v>
      </x:c>
      <x:c r="I521" s="16" t="d">
        <x:v>2026-09-02T12:00:00.000Z</x:v>
      </x:c>
      <x:c r="J521" s="6" t="str">
        <x:v>https://www.waterworld.com/webinars/webinar/55405960/the-hidden-energy-cost-of-low-pressure-reverse-osmosis</x:v>
      </x:c>
      <x:c r="K521" s="6" t="str">
        <x:v>Dated item visible in retrieved page/index: 2026-09-02. Search publication metadata: last month. </x:v>
      </x:c>
    </x:row>
    <x:row r="522" ht="15" hidden="0" customHeight="1">
      <x:c r="A522" s="12" t="n">
        <x:v>50</x:v>
      </x:c>
      <x:c r="B522" s="6" t="str">
        <x:v>Advanced desalination and water reuse</x:v>
      </x:c>
      <x:c r="C522" s="6" t="str">
        <x:v>Digital &amp; planetary systems</x:v>
      </x:c>
      <x:c r="D522" s="6" t="str">
        <x:v>Water Online</x:v>
      </x:c>
      <x:c r="E522" s="6" t="str">
        <x:v>wateronline.com</x:v>
      </x:c>
      <x:c r="F522" s="6" t="str">
        <x:v>Specialist news</x:v>
      </x:c>
      <x:c r="G522" s="6" t="str">
        <x:v>Desalination water reuse developments; commercial deployments, policy and industry news.</x:v>
      </x:c>
      <x:c r="H522" s="6" t="str">
        <x:v>https://www.wateronline.com/doc/idra-and-asia-pacific-desalination-and-reuse-association-sign-strategic-partnership-agreement-0001</x:v>
      </x:c>
      <x:c r="I522" s="16" t="d">
        <x:v>2026-09-28T12:00:00.000Z</x:v>
      </x:c>
      <x:c r="J522" s="6" t="str">
        <x:v>https://www.wateronline.com/doc/idra-and-asia-pacific-desalination-and-reuse-association-sign-strategic-partnership-agreement-0001</x:v>
      </x:c>
      <x:c r="K522" s="6" t="str">
        <x:v>Dated item visible in retrieved page/index: 2026-09-28. Search publication metadata: 2 weeks ago. </x:v>
      </x:c>
    </x:row>
    <x:row r="523" ht="15" hidden="0" customHeight="1">
      <x:c r="A523" s="12" t="n">
        <x:v>50</x:v>
      </x:c>
      <x:c r="B523" s="6" t="str">
        <x:v>Advanced desalination and water reuse</x:v>
      </x:c>
      <x:c r="C523" s="6" t="str">
        <x:v>Digital &amp; planetary systems</x:v>
      </x:c>
      <x:c r="D523" s="6" t="str">
        <x:v>Smart Water Magazine</x:v>
      </x:c>
      <x:c r="E523" s="6" t="str">
        <x:v>smartwatermagazine.com</x:v>
      </x:c>
      <x:c r="F523" s="6" t="str">
        <x:v>Specialist news</x:v>
      </x:c>
      <x:c r="G523" s="6" t="str">
        <x:v>Desalination water reuse developments; commercial deployments, policy and industry news.</x:v>
      </x:c>
      <x:c r="H523" s="6" t="str">
        <x:v>https://smartwatermagazine.com/blogs/phil-hart/what-is-next-in-desalination</x:v>
      </x:c>
      <x:c r="I523" s="16" t="d">
        <x:v>2026-09-11T12:00:00.000Z</x:v>
      </x:c>
      <x:c r="J523" s="6" t="str">
        <x:v>https://smartwatermagazine.com/blogs/phil-hart/what-is-next-in-desalination</x:v>
      </x:c>
      <x:c r="K523" s="6" t="str">
        <x:v>Dated item visible in retrieved page/index: 2026-09-11. Search publication metadata: last month. </x:v>
      </x:c>
    </x:row>
    <x:row r="524" ht="15" hidden="0" customHeight="1">
      <x:c r="A524" s="12" t="n">
        <x:v>50</x:v>
      </x:c>
      <x:c r="B524" s="6" t="str">
        <x:v>Advanced desalination and water reuse</x:v>
      </x:c>
      <x:c r="C524" s="6" t="str">
        <x:v>Digital &amp; planetary systems</x:v>
      </x:c>
      <x:c r="D524" s="6" t="str">
        <x:v>International Desalination and Reuse Association</x:v>
      </x:c>
      <x:c r="E524" s="6" t="str">
        <x:v>idrawater.org</x:v>
      </x:c>
      <x:c r="F524" s="6" t="str">
        <x:v>Research / association / public updates</x:v>
      </x:c>
      <x:c r="G524" s="6" t="str">
        <x:v>Desalination water reuse developments; primary updates and research.</x:v>
      </x:c>
      <x:c r="H524" s="6" t="str">
        <x:v>https://idrawater.org/news/idra-releases-global-fact-sheet-on-direct-potable-reuse-calling-dpr-a-strategic-imperative-for-water-security/</x:v>
      </x:c>
      <x:c r="I524" s="16" t="d">
        <x:v>2026-03-09T12:00:00.000Z</x:v>
      </x:c>
      <x:c r="J524" s="6" t="str">
        <x:v>https://idrawater.org/news/idra-releases-global-fact-sheet-on-direct-potable-reuse-calling-dpr-a-strategic-imperative-for-water-security/</x:v>
      </x:c>
      <x:c r="K524" s="6" t="str">
        <x:v>Dated item visible in retrieved page/index: 2026-03-09. Search publication metadata: 7 months ago. </x:v>
      </x:c>
    </x:row>
    <x:row r="525" ht="15" hidden="0" customHeight="1">
      <x:c r="A525" s="12" t="n">
        <x:v>50</x:v>
      </x:c>
      <x:c r="B525" s="6" t="str">
        <x:v>Advanced desalination and water reuse</x:v>
      </x:c>
      <x:c r="C525" s="6" t="str">
        <x:v>Digital &amp; planetary systems</x:v>
      </x:c>
      <x:c r="D525" s="6" t="str">
        <x:v>WateReuse Association</x:v>
      </x:c>
      <x:c r="E525" s="6" t="str">
        <x:v>watereuse.org</x:v>
      </x:c>
      <x:c r="F525" s="6" t="str">
        <x:v>Research / association / public updates</x:v>
      </x:c>
      <x:c r="G525" s="6" t="str">
        <x:v>Desalination water reuse developments; primary updates and research.</x:v>
      </x:c>
      <x:c r="H525" s="6" t="str">
        <x:v>https://watereuse.org/watereuse-association-launches-first-of-its-kind-water-reuse-regulatory-guide/</x:v>
      </x:c>
      <x:c r="I525" s="16" t="d">
        <x:v>2026-09-23T12:00:00.000Z</x:v>
      </x:c>
      <x:c r="J525" s="6" t="str">
        <x:v>https://watereuse.org/watereuse-association-launches-first-of-its-kind-water-reuse-regulatory-guide/</x:v>
      </x:c>
      <x:c r="K525" s="6" t="str">
        <x:v>Dated item visible in retrieved page/index: 2026-09-23. Search publication metadata: 3 weeks ago. </x:v>
      </x:c>
    </x:row>
    <x:row r="526" ht="15" hidden="0" customHeight="1">
      <x:c r="A526" s="12" t="n">
        <x:v>50</x:v>
      </x:c>
      <x:c r="B526" s="6" t="str">
        <x:v>Advanced desalination and water reuse</x:v>
      </x:c>
      <x:c r="C526" s="6" t="str">
        <x:v>Digital &amp; planetary systems</x:v>
      </x:c>
      <x:c r="D526" s="6" t="str">
        <x:v>International Water Association</x:v>
      </x:c>
      <x:c r="E526" s="6" t="str">
        <x:v>iwa-network.org</x:v>
      </x:c>
      <x:c r="F526" s="6" t="str">
        <x:v>Research / association / public updates</x:v>
      </x:c>
      <x:c r="G526" s="6" t="str">
        <x:v>Desalination water reuse developments; primary updates and research.</x:v>
      </x:c>
      <x:c r="H526" s="6" t="str">
        <x:v>https://www.iwa-network.org/publications/global-trends-and-challenges-in-water-science-research-and-management-4th-edition</x:v>
      </x:c>
      <x:c r="I526" s="16" t="d">
        <x:v>2026-10-06T12:00:00.000Z</x:v>
      </x:c>
      <x:c r="J526" s="6" t="str">
        <x:v>https://www.iwa-network.org/publications/global-trends-and-challenges-in-water-science-research-and-management-4th-edition</x:v>
      </x:c>
      <x:c r="K526" s="6" t="str">
        <x:v>Dated item visible in retrieved page/index: 2026-10-06. Search publication metadata: 2 weeks ago. </x:v>
      </x:c>
    </x:row>
    <x:row r="527" ht="24" hidden="0" customHeight="1">
      <x:c r="A527" s="12" t="n">
        <x:v>50</x:v>
      </x:c>
      <x:c r="B527" s="6" t="str">
        <x:v>Advanced desalination and water reuse</x:v>
      </x:c>
      <x:c r="C527" s="6" t="str">
        <x:v>Digital &amp; planetary systems</x:v>
      </x:c>
      <x:c r="D527" s="6" t="str">
        <x:v>WaterBriefing</x:v>
      </x:c>
      <x:c r="E527" s="6" t="str">
        <x:v>waterbriefing.org</x:v>
      </x:c>
      <x:c r="F527" s="6" t="str">
        <x:v>Specialist news</x:v>
      </x:c>
      <x:c r="G527" s="6" t="str">
        <x:v>Desalination water reuse developments; commercial deployments, policy and industry news.</x:v>
      </x:c>
      <x:c r="H527" s="6" t="str">
        <x:v>https://www.waterbriefing.org/home/contracts/item/26208-anglian-water-extends-tender-submission-deadline-for-c%C2%A335-million-amp8-grounds-investigation-framework</x:v>
      </x:c>
      <x:c r="I527" s="16" t="d">
        <x:v>2026-10-15T12:00:00.000Z</x:v>
      </x:c>
      <x:c r="J527" s="6" t="str">
        <x:v>https://www.waterbriefing.org/home/contracts/item/26208-anglian-water-extends-tender-submission-deadline-for-c%C2%A335-million-amp8-grounds-investigation-framework</x:v>
      </x:c>
      <x:c r="K527" s="6" t="str">
        <x:v>Dated item visible in retrieved page/index: 2026-10-15. Search publication metadata: 2 days ago. </x:v>
      </x:c>
    </x:row>
    <x:row r="528" ht="15" hidden="0" customHeight="1">
      <x:c r="A528" s="12" t="n">
        <x:v>50</x:v>
      </x:c>
      <x:c r="B528" s="6" t="str">
        <x:v>Advanced desalination and water reuse</x:v>
      </x:c>
      <x:c r="C528" s="6" t="str">
        <x:v>Digital &amp; planetary systems</x:v>
      </x:c>
      <x:c r="D528" s="6" t="str">
        <x:v>American Water Works Association</x:v>
      </x:c>
      <x:c r="E528" s="6" t="str">
        <x:v>awwa.org</x:v>
      </x:c>
      <x:c r="F528" s="6" t="str">
        <x:v>Research / association / public updates</x:v>
      </x:c>
      <x:c r="G528" s="6" t="str">
        <x:v>Desalination water reuse developments; primary updates and research.</x:v>
      </x:c>
      <x:c r="H528" s="6" t="str">
        <x:v>https://www.awwa.org/AWWA-Articles/reclaiming-water-in-the-desert/</x:v>
      </x:c>
      <x:c r="I528" s="16" t="d">
        <x:v>2026-02-19T12:00:00.000Z</x:v>
      </x:c>
      <x:c r="J528" s="6" t="str">
        <x:v>https://www.awwa.org/AWWA-Articles/reclaiming-water-in-the-desert/</x:v>
      </x:c>
      <x:c r="K528" s="6" t="str">
        <x:v>Dated item visible in retrieved page/index: 2026-02-19. Search publication metadata: 8 months ago. </x:v>
      </x:c>
    </x:row>
    <x:row r="529" ht="15" hidden="0" customHeight="1">
      <x:c r="A529" s="12" t="n">
        <x:v>50</x:v>
      </x:c>
      <x:c r="B529" s="6" t="str">
        <x:v>Advanced desalination and water reuse</x:v>
      </x:c>
      <x:c r="C529" s="6" t="str">
        <x:v>Digital &amp; planetary systems</x:v>
      </x:c>
      <x:c r="D529" s="6" t="str">
        <x:v>World Bank Water</x:v>
      </x:c>
      <x:c r="E529" s="6" t="str">
        <x:v>worldbank.org</x:v>
      </x:c>
      <x:c r="F529" s="6" t="str">
        <x:v>Research / association / public updates</x:v>
      </x:c>
      <x:c r="G529" s="6" t="str">
        <x:v>Desalination water reuse developments; primary updates and research.</x:v>
      </x:c>
      <x:c r="H529" s="6" t="str">
        <x:v>https://www.worldbank.org/en/news/press-release/2026/04/01/tunisia-major-push-to-strengthen-water-security-and-resilience</x:v>
      </x:c>
      <x:c r="I529" s="16" t="d">
        <x:v>2026-04-01T12:00:00.000Z</x:v>
      </x:c>
      <x:c r="J529" s="6" t="str">
        <x:v>https://www.worldbank.org/en/news/press-release/2026/04/01/tunisia-major-push-to-strengthen-water-security-and-resilience</x:v>
      </x:c>
      <x:c r="K529" s="6" t="str">
        <x:v>Dated article URL: 2026-04-01. Search publication metadata: 6 months ago. Evidence is a published press release, not independent reporting.</x:v>
      </x:c>
    </x:row>
  </x:sheetData>
  <x:pageMargins left="0.7" right="0.7" top="0.75" bottom="0.75" header="0.3" footer="0.3"/>
  <x:tableParts count="1">
    <x:tablePart xmlns:r="http://schemas.openxmlformats.org/officeDocument/2006/relationships" r:id="R227a4a3646084c9b"/>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3" hidden="0" customWidth="1"/>
    <x:col min="3" max="3" width="12" hidden="0" customWidth="1"/>
    <x:col min="4" max="4" width="120" hidden="0" customWidth="1"/>
    <x:col min="5" max="5" width="120" hidden="0" customWidth="1"/>
  </x:cols>
  <x:sheetData>
    <x:row r="1" ht="15" hidden="0" customHeight="1">
      <x:c r="A1" s="2"/>
      <x:c r="B1" s="2"/>
      <x:c r="C1" s="2"/>
      <x:c r="D1" s="2"/>
      <x:c r="E1" s="2"/>
    </x:row>
    <x:row r="2" ht="28" hidden="0" customHeight="1">
      <x:c r="A2" s="3" t="str">
        <x:v>2021–2026: what changed</x:v>
      </x:c>
      <x:c r="B2" s="2"/>
      <x:c r="C2" s="2"/>
      <x:c r="D2" s="2"/>
      <x:c r="E2" s="2"/>
    </x:row>
    <x:row r="3" ht="25" hidden="0" customHeight="1">
      <x:c r="A3" s="4" t="str">
        <x:v>2026 milestones cover the research cutoff, not the complete calendar year. Planned events and measurement gaps remain explicit.</x:v>
      </x:c>
      <x:c r="B3" s="2"/>
      <x:c r="C3" s="2"/>
      <x:c r="D3" s="2"/>
      <x:c r="E3" s="2"/>
    </x:row>
    <x:row r="4" ht="15" hidden="0" customHeight="1">
      <x:c r="A4" s="2"/>
      <x:c r="B4" s="2"/>
      <x:c r="C4" s="2"/>
      <x:c r="D4" s="2"/>
      <x:c r="E4" s="2"/>
    </x:row>
    <x:row r="5" ht="36" hidden="0" customHeight="1">
      <x:c r="A5" s="11" t="str">
        <x:v>ID</x:v>
      </x:c>
      <x:c r="B5" s="11" t="str">
        <x:v>Technology</x:v>
      </x:c>
      <x:c r="C5" s="11" t="str">
        <x:v>Year</x:v>
      </x:c>
      <x:c r="D5" s="11" t="str">
        <x:v>Milestone / measurement gap</x:v>
      </x:c>
      <x:c r="E5" s="11" t="str">
        <x:v>Evidence URLs</x:v>
      </x:c>
    </x:row>
    <x:row r="6" ht="15" hidden="0" customHeight="1">
      <x:c r="A6" s="12" t="n">
        <x:v>1</x:v>
      </x:c>
      <x:c r="B6" s="6" t="str">
        <x:v>AI agents and workflow automation</x:v>
      </x:c>
      <x:c r="C6" s="12" t="n">
        <x:v>2021</x:v>
      </x:c>
      <x:c r="D6" s="6" t="str">
        <x:v>No comparable agent-deployment measurement identified; earlier automation should not be relabeled as modern LLM agents.</x:v>
      </x:c>
      <x:c r="E6" s="6" t="str"/>
    </x:row>
    <x:row r="7" ht="15" hidden="0" customHeight="1">
      <x:c r="A7" s="12" t="n">
        <x:v>1</x:v>
      </x:c>
      <x:c r="B7" s="6" t="str">
        <x:v>AI agents and workflow automation</x:v>
      </x:c>
      <x:c r="C7" s="12" t="n">
        <x:v>2022</x:v>
      </x:c>
      <x:c r="D7" s="6" t="str">
        <x:v>No comparable measurement identified for enterprise agents; the maturity score is an analyst assessment.</x:v>
      </x:c>
      <x:c r="E7" s="6" t="str"/>
    </x:row>
    <x:row r="8" ht="15" hidden="0" customHeight="1">
      <x:c r="A8" s="12" t="n">
        <x:v>1</x:v>
      </x:c>
      <x:c r="B8" s="6" t="str">
        <x:v>AI agents and workflow automation</x:v>
      </x:c>
      <x:c r="C8" s="12" t="n">
        <x:v>2023</x:v>
      </x:c>
      <x:c r="D8" s="6" t="str">
        <x:v>No comparable global deployment count identified; evaluate bounded tool use separately from ordinary chatbots.</x:v>
      </x:c>
      <x:c r="E8" s="6" t="str"/>
    </x:row>
    <x:row r="9" ht="15" hidden="0" customHeight="1">
      <x:c r="A9" s="12" t="n">
        <x:v>1</x:v>
      </x:c>
      <x:c r="B9" s="6" t="str">
        <x:v>AI agents and workflow automation</x:v>
      </x:c>
      <x:c r="C9" s="12" t="n">
        <x:v>2024</x:v>
      </x:c>
      <x:c r="D9" s="6" t="str">
        <x:v>Gartner later estimated fewer than 1% of enterprise applications contained agentic AI.</x:v>
      </x:c>
      <x:c r="E9" s="6" t="str">
        <x:v>https://www.gartner.com/en/newsroom/press-releases/2025-06-25-gartner-predicts-over-40-percent-of-agentic-ai-projects-will-be-canceled-by-end-of-2027</x:v>
      </x:c>
    </x:row>
    <x:row r="10" ht="24" hidden="0" customHeight="1">
      <x:c r="A10" s="12" t="n">
        <x:v>1</x:v>
      </x:c>
      <x:c r="B10" s="6" t="str">
        <x:v>AI agents and workflow automation</x:v>
      </x:c>
      <x:c r="C10" s="12" t="n">
        <x:v>2025</x:v>
      </x:c>
      <x:c r="D10" s="6" t="str">
        <x:v>27% of surveyed large organizations were scaling agents; Microsoft reported over 230,000 organizations using Copilot Studio.</x:v>
      </x:c>
      <x:c r="E10" s="6" t="str">
        <x:v>https://www.mckinsey.com/capabilities/quantumblack/our-insights/the-state-of-ai
https://www.microsoft.com/investor/reports/ar25/</x:v>
      </x:c>
    </x:row>
    <x:row r="11" ht="15" hidden="0" customHeight="1">
      <x:c r="A11" s="12" t="n">
        <x:v>1</x:v>
      </x:c>
      <x:c r="B11" s="6" t="str">
        <x:v>AI agents and workflow automation</x:v>
      </x:c>
      <x:c r="C11" s="12" t="n">
        <x:v>2026</x:v>
      </x:c>
      <x:c r="D11" s="6" t="str">
        <x:v>Reported scaling reached 40% of large organizations; the survey still distinguishes scaling from enterprise-wide value.</x:v>
      </x:c>
      <x:c r="E11" s="6" t="str">
        <x:v>https://www.mckinsey.com/capabilities/quantumblack/our-insights/the-state-of-ai</x:v>
      </x:c>
    </x:row>
    <x:row r="12" ht="15" hidden="0" customHeight="1">
      <x:c r="A12" s="12" t="n">
        <x:v>2</x:v>
      </x:c>
      <x:c r="B12" s="6" t="str">
        <x:v>Multimodal AI copilots</x:v>
      </x:c>
      <x:c r="C12" s="12" t="n">
        <x:v>2021</x:v>
      </x:c>
      <x:c r="D12" s="6" t="str">
        <x:v>No comparable multimodal-copilot user measurement identified.</x:v>
      </x:c>
      <x:c r="E12" s="6" t="str"/>
    </x:row>
    <x:row r="13" ht="15" hidden="0" customHeight="1">
      <x:c r="A13" s="12" t="n">
        <x:v>2</x:v>
      </x:c>
      <x:c r="B13" s="6" t="str">
        <x:v>Multimodal AI copilots</x:v>
      </x:c>
      <x:c r="C13" s="12" t="n">
        <x:v>2022</x:v>
      </x:c>
      <x:c r="D13" s="6" t="str">
        <x:v>No comparable modality-specific adoption series identified; text-chat use is not the same measure.</x:v>
      </x:c>
      <x:c r="E13" s="6" t="str"/>
    </x:row>
    <x:row r="14" ht="15" hidden="0" customHeight="1">
      <x:c r="A14" s="12" t="n">
        <x:v>2</x:v>
      </x:c>
      <x:c r="B14" s="6" t="str">
        <x:v>Multimodal AI copilots</x:v>
      </x:c>
      <x:c r="C14" s="12" t="n">
        <x:v>2023</x:v>
      </x:c>
      <x:c r="D14" s="6" t="str">
        <x:v>No like-for-like annual multimodal usage count is supplied.</x:v>
      </x:c>
      <x:c r="E14" s="6" t="str"/>
    </x:row>
    <x:row r="15" ht="24" hidden="0" customHeight="1">
      <x:c r="A15" s="12" t="n">
        <x:v>2</x:v>
      </x:c>
      <x:c r="B15" s="6" t="str">
        <x:v>Multimodal AI copilots</x:v>
      </x:c>
      <x:c r="C15" s="12" t="n">
        <x:v>2024</x:v>
      </x:c>
      <x:c r="D15" s="6" t="str">
        <x:v>GPT-4o introduced a unified text, vision and audio interface; ChatGPT exceeded 200 million weekly users.</x:v>
      </x:c>
      <x:c r="E15" s="6" t="str">
        <x:v>https://openai.com/index/hello-gpt-4o/
https://openai.com/index/hearst/</x:v>
      </x:c>
    </x:row>
    <x:row r="16" ht="15" hidden="0" customHeight="1">
      <x:c r="A16" s="12" t="n">
        <x:v>2</x:v>
      </x:c>
      <x:c r="B16" s="6" t="str">
        <x:v>Multimodal AI copilots</x:v>
      </x:c>
      <x:c r="C16" s="12" t="n">
        <x:v>2025</x:v>
      </x:c>
      <x:c r="D16" s="6" t="str">
        <x:v>OpenAI’s enterprise report described more than 800 million weekly ChatGPT users across use cases.</x:v>
      </x:c>
      <x:c r="E16" s="6" t="str">
        <x:v>https://openai.com/index/the-state-of-enterprise-ai-2025-report/</x:v>
      </x:c>
    </x:row>
    <x:row r="17" ht="15" hidden="0" customHeight="1">
      <x:c r="A17" s="12" t="n">
        <x:v>2</x:v>
      </x:c>
      <x:c r="B17" s="6" t="str">
        <x:v>Multimodal AI copilots</x:v>
      </x:c>
      <x:c r="C17" s="12" t="n">
        <x:v>2026</x:v>
      </x:c>
      <x:c r="D17" s="6" t="str">
        <x:v>OpenAI reported over 900 million weekly users by May; this does not isolate multimodal activity.</x:v>
      </x:c>
      <x:c r="E17" s="6" t="str">
        <x:v>https://openai.com/index/the-next-phase-of-education-for-countries/</x:v>
      </x:c>
    </x:row>
    <x:row r="18" ht="15" hidden="0" customHeight="1">
      <x:c r="A18" s="12" t="n">
        <x:v>3</x:v>
      </x:c>
      <x:c r="B18" s="6" t="str">
        <x:v>Edge and on-device AI</x:v>
      </x:c>
      <x:c r="C18" s="12" t="n">
        <x:v>2021</x:v>
      </x:c>
      <x:c r="D18" s="6" t="str">
        <x:v>No comparable generative edge-AI adoption measure identified; earlier mobile neural processing had different workloads.</x:v>
      </x:c>
      <x:c r="E18" s="6" t="str"/>
    </x:row>
    <x:row r="19" ht="15" hidden="0" customHeight="1">
      <x:c r="A19" s="12" t="n">
        <x:v>3</x:v>
      </x:c>
      <x:c r="B19" s="6" t="str">
        <x:v>Edge and on-device AI</x:v>
      </x:c>
      <x:c r="C19" s="12" t="n">
        <x:v>2022</x:v>
      </x:c>
      <x:c r="D19" s="6" t="str">
        <x:v>No comparable local-generative-AI usage count identified.</x:v>
      </x:c>
      <x:c r="E19" s="6" t="str"/>
    </x:row>
    <x:row r="20" ht="15" hidden="0" customHeight="1">
      <x:c r="A20" s="12" t="n">
        <x:v>3</x:v>
      </x:c>
      <x:c r="B20" s="6" t="str">
        <x:v>Edge and on-device AI</x:v>
      </x:c>
      <x:c r="C20" s="12" t="n">
        <x:v>2023</x:v>
      </x:c>
      <x:c r="D20" s="6" t="str">
        <x:v>IDC identified the first next-generation AI smartphones in the second half of 2023.</x:v>
      </x:c>
      <x:c r="E20" s="6" t="str">
        <x:v>https://www.idc.com/resource-center/blog/the-future-of-next-gen-ai-smartphones/</x:v>
      </x:c>
    </x:row>
    <x:row r="21" ht="15" hidden="0" customHeight="1">
      <x:c r="A21" s="12" t="n">
        <x:v>3</x:v>
      </x:c>
      <x:c r="B21" s="6" t="str">
        <x:v>Edge and on-device AI</x:v>
      </x:c>
      <x:c r="C21" s="12" t="n">
        <x:v>2024</x:v>
      </x:c>
      <x:c r="D21" s="6" t="str">
        <x:v>Counterpoint’s year-end catalog contained 123 GenAI-capable smartphone models.</x:v>
      </x:c>
      <x:c r="E21" s="6" t="str">
        <x:v>https://counterpointresearch.com/de/reports/global-genai-capable-smartphone-report-q1-2025</x:v>
      </x:c>
    </x:row>
    <x:row r="22" ht="24" hidden="0" customHeight="1">
      <x:c r="A22" s="12" t="n">
        <x:v>3</x:v>
      </x:c>
      <x:c r="B22" s="6" t="str">
        <x:v>Edge and on-device AI</x:v>
      </x:c>
      <x:c r="C22" s="12" t="n">
        <x:v>2025</x:v>
      </x:c>
      <x:c r="D22" s="6" t="str">
        <x:v>The catalog reached 143 models in Q1; true edge accelerators remained rare across the broader IoT base.</x:v>
      </x:c>
      <x:c r="E22" s="6" t="str">
        <x:v>https://counterpointresearch.com/de/reports/global-genai-capable-smartphone-report-q1-2025
https://iot-analytics.com/state-of-enterprise-iot-from-iot-autonomous-connected-operations/</x:v>
      </x:c>
    </x:row>
    <x:row r="23" ht="24" hidden="0" customHeight="1">
      <x:c r="A23" s="12" t="n">
        <x:v>3</x:v>
      </x:c>
      <x:c r="B23" s="6" t="str">
        <x:v>Edge and on-device AI</x:v>
      </x:c>
      <x:c r="C23" s="12" t="n">
        <x:v>2026</x:v>
      </x:c>
      <x:c r="D23" s="6" t="str">
        <x:v>IDC highlighted memory-related PC and smartphone constraints; Microchip completed its acquisition of Hailo in September.</x:v>
      </x:c>
      <x:c r="E23" s="6" t="str">
        <x:v>https://www.idc.com/resource-center/blog/higher-asps-lower-unit-volumes-how-the-memory-crisis-is-reshaping-the-pc-and-smartphone-outlook/
https://ir.microchip.com/news-events/press-releases/detail/1415/microchip-technology-completes-acquisition-of-hailo</x:v>
      </x:c>
    </x:row>
    <x:row r="24" ht="15" hidden="0" customHeight="1">
      <x:c r="A24" s="12" t="n">
        <x:v>4</x:v>
      </x:c>
      <x:c r="B24" s="6" t="str">
        <x:v>AI-native software development</x:v>
      </x:c>
      <x:c r="C24" s="12" t="n">
        <x:v>2021</x:v>
      </x:c>
      <x:c r="D24" s="6" t="str">
        <x:v>GitHub introduced Copilot as an AI pair-programming technical preview.</x:v>
      </x:c>
      <x:c r="E24" s="6" t="str">
        <x:v>https://github.blog/news-insights/product-news/introducing-github-copilot-ai-pair-programmer/</x:v>
      </x:c>
    </x:row>
    <x:row r="25" ht="15" hidden="0" customHeight="1">
      <x:c r="A25" s="12" t="n">
        <x:v>4</x:v>
      </x:c>
      <x:c r="B25" s="6" t="str">
        <x:v>AI-native software development</x:v>
      </x:c>
      <x:c r="C25" s="12" t="n">
        <x:v>2022</x:v>
      </x:c>
      <x:c r="D25" s="6" t="str">
        <x:v>The paid-user time series is unavailable here; no interpolated adoption count is inserted.</x:v>
      </x:c>
      <x:c r="E25" s="6" t="str"/>
    </x:row>
    <x:row r="26" ht="15" hidden="0" customHeight="1">
      <x:c r="A26" s="12" t="n">
        <x:v>4</x:v>
      </x:c>
      <x:c r="B26" s="6" t="str">
        <x:v>AI-native software development</x:v>
      </x:c>
      <x:c r="C26" s="12" t="n">
        <x:v>2023</x:v>
      </x:c>
      <x:c r="D26" s="6" t="str">
        <x:v>Microsoft reported more than one million paid GitHub Copilot users in October.</x:v>
      </x:c>
      <x:c r="E26" s="6" t="str">
        <x:v>https://www.microsoft.com/en-us/Investor/events/FY-2024/earnings-fy-2024-q1.aspx</x:v>
      </x:c>
    </x:row>
    <x:row r="27" ht="15" hidden="0" customHeight="1">
      <x:c r="A27" s="12" t="n">
        <x:v>4</x:v>
      </x:c>
      <x:c r="B27" s="6" t="str">
        <x:v>AI-native software development</x:v>
      </x:c>
      <x:c r="C27" s="12" t="n">
        <x:v>2024</x:v>
      </x:c>
      <x:c r="D27" s="6" t="str">
        <x:v>The Microsoft annual report reported 1.8 million paid users.</x:v>
      </x:c>
      <x:c r="E27" s="6" t="str">
        <x:v>https://www.microsoft.com/investor/reports/ar24/index.html</x:v>
      </x:c>
    </x:row>
    <x:row r="28" ht="15" hidden="0" customHeight="1">
      <x:c r="A28" s="12" t="n">
        <x:v>4</x:v>
      </x:c>
      <x:c r="B28" s="6" t="str">
        <x:v>AI-native software development</x:v>
      </x:c>
      <x:c r="C28" s="12" t="n">
        <x:v>2025</x:v>
      </x:c>
      <x:c r="D28" s="6" t="str">
        <x:v>Microsoft reported 20 million total Copilot users, a definition break from paid subscribers.</x:v>
      </x:c>
      <x:c r="E28" s="6" t="str">
        <x:v>https://www.microsoft.com/investor/reports/ar25/</x:v>
      </x:c>
    </x:row>
    <x:row r="29" ht="24" hidden="0" customHeight="1">
      <x:c r="A29" s="12" t="n">
        <x:v>4</x:v>
      </x:c>
      <x:c r="B29" s="6" t="str">
        <x:v>AI-native software development</x:v>
      </x:c>
      <x:c r="C29" s="12" t="n">
        <x:v>2026</x:v>
      </x:c>
      <x:c r="D29" s="6" t="str">
        <x:v>McKinsey found growing large-company coding-agent deployment; Cursor became part of SpaceX in August.</x:v>
      </x:c>
      <x:c r="E29" s="6" t="str">
        <x:v>https://www.mckinsey.com/capabilities/quantumblack/our-insights/the-state-of-ai
https://cursor.com/blog/topic/company</x:v>
      </x:c>
    </x:row>
    <x:row r="30" ht="15" hidden="0" customHeight="1">
      <x:c r="A30" s="12" t="n">
        <x:v>5</x:v>
      </x:c>
      <x:c r="B30" s="6" t="str">
        <x:v>AI search and enterprise knowledge retrieval</x:v>
      </x:c>
      <x:c r="C30" s="12" t="n">
        <x:v>2021</x:v>
      </x:c>
      <x:c r="D30" s="6" t="str">
        <x:v>No comparable enterprise AI-search adoption metric identified for this year.</x:v>
      </x:c>
      <x:c r="E30" s="6" t="str"/>
    </x:row>
    <x:row r="31" ht="15" hidden="0" customHeight="1">
      <x:c r="A31" s="12" t="n">
        <x:v>5</x:v>
      </x:c>
      <x:c r="B31" s="6" t="str">
        <x:v>AI search and enterprise knowledge retrieval</x:v>
      </x:c>
      <x:c r="C31" s="12" t="n">
        <x:v>2022</x:v>
      </x:c>
      <x:c r="D31" s="6" t="str">
        <x:v>No consistent annual revenue or deployment measurement supplied.</x:v>
      </x:c>
      <x:c r="E31" s="6" t="str"/>
    </x:row>
    <x:row r="32" ht="15" hidden="0" customHeight="1">
      <x:c r="A32" s="12" t="n">
        <x:v>5</x:v>
      </x:c>
      <x:c r="B32" s="6" t="str">
        <x:v>AI search and enterprise knowledge retrieval</x:v>
      </x:c>
      <x:c r="C32" s="12" t="n">
        <x:v>2023</x:v>
      </x:c>
      <x:c r="D32" s="6" t="str">
        <x:v>No comparable whole-market retrieval adoption count identified.</x:v>
      </x:c>
      <x:c r="E32" s="6" t="str"/>
    </x:row>
    <x:row r="33" ht="15" hidden="0" customHeight="1">
      <x:c r="A33" s="12" t="n">
        <x:v>5</x:v>
      </x:c>
      <x:c r="B33" s="6" t="str">
        <x:v>AI search and enterprise knowledge retrieval</x:v>
      </x:c>
      <x:c r="C33" s="12" t="n">
        <x:v>2024</x:v>
      </x:c>
      <x:c r="D33" s="6" t="str">
        <x:v>OpenAI introduced ChatGPT search, a major distribution milestone for source-linked conversational search.</x:v>
      </x:c>
      <x:c r="E33" s="6" t="str">
        <x:v>https://openai.com/index/introducing-chatgpt-search/</x:v>
      </x:c>
    </x:row>
    <x:row r="34" ht="24" hidden="0" customHeight="1">
      <x:c r="A34" s="12" t="n">
        <x:v>5</x:v>
      </x:c>
      <x:c r="B34" s="6" t="str">
        <x:v>AI search and enterprise knowledge retrieval</x:v>
      </x:c>
      <x:c r="C34" s="12" t="n">
        <x:v>2025</x:v>
      </x:c>
      <x:c r="D34" s="6" t="str">
        <x:v>ChatGPT search expanded to users without signup; Glean passed US$200 million ARR in December.</x:v>
      </x:c>
      <x:c r="E34" s="6" t="str">
        <x:v>https://www.glean.com/press/glean-surpasses-200m-in-arr-for-enterprise-ai-doubling-revenue-in-nine-months
https://openai.com/index/introducing-chatgpt-search/</x:v>
      </x:c>
    </x:row>
    <x:row r="35" ht="15" hidden="0" customHeight="1">
      <x:c r="A35" s="12" t="n">
        <x:v>5</x:v>
      </x:c>
      <x:c r="B35" s="6" t="str">
        <x:v>AI search and enterprise knowledge retrieval</x:v>
      </x:c>
      <x:c r="C35" s="12" t="n">
        <x:v>2026</x:v>
      </x:c>
      <x:c r="D35" s="6" t="str">
        <x:v>Glean reported more than US$300 million ARR in May, including broader enterprise AI functionality.</x:v>
      </x:c>
      <x:c r="E35" s="6" t="str">
        <x:v>https://www.glean.com/press/glean-surpasses-300m-arr-unrivaled-enterprise-context-fuels-ai-adoption</x:v>
      </x:c>
    </x:row>
    <x:row r="36" ht="15" hidden="0" customHeight="1">
      <x:c r="A36" s="12" t="n">
        <x:v>6</x:v>
      </x:c>
      <x:c r="B36" s="6" t="str">
        <x:v>AI accelerators and heterogeneous computing</x:v>
      </x:c>
      <x:c r="C36" s="12" t="n">
        <x:v>2021</x:v>
      </x:c>
      <x:c r="D36" s="6" t="str">
        <x:v>No harmonized heterogeneous-compute adoption statistic supplied; GPU deployment alone predates this emerging scope.</x:v>
      </x:c>
      <x:c r="E36" s="6" t="str"/>
    </x:row>
    <x:row r="37" ht="15" hidden="0" customHeight="1">
      <x:c r="A37" s="12" t="n">
        <x:v>6</x:v>
      </x:c>
      <x:c r="B37" s="6" t="str">
        <x:v>AI accelerators and heterogeneous computing</x:v>
      </x:c>
      <x:c r="C37" s="12" t="n">
        <x:v>2022</x:v>
      </x:c>
      <x:c r="D37" s="6" t="str">
        <x:v>No comparable market-wide accelerator utilization measure identified.</x:v>
      </x:c>
      <x:c r="E37" s="6" t="str"/>
    </x:row>
    <x:row r="38" ht="15" hidden="0" customHeight="1">
      <x:c r="A38" s="12" t="n">
        <x:v>6</x:v>
      </x:c>
      <x:c r="B38" s="6" t="str">
        <x:v>AI accelerators and heterogeneous computing</x:v>
      </x:c>
      <x:c r="C38" s="12" t="n">
        <x:v>2023</x:v>
      </x:c>
      <x:c r="D38" s="6" t="str">
        <x:v>The comparable company series shown begins with the following fiscal-year disclosure, not an invented market total.</x:v>
      </x:c>
      <x:c r="E38" s="6" t="str"/>
    </x:row>
    <x:row r="39" ht="15" hidden="0" customHeight="1">
      <x:c r="A39" s="12" t="n">
        <x:v>6</x:v>
      </x:c>
      <x:c r="B39" s="6" t="str">
        <x:v>AI accelerators and heterogeneous computing</x:v>
      </x:c>
      <x:c r="C39" s="12" t="n">
        <x:v>2024</x:v>
      </x:c>
      <x:c r="D39" s="6" t="str">
        <x:v>NVIDIA Data Center revenue was US$47.525 billion in fiscal 2024.</x:v>
      </x:c>
      <x:c r="E39" s="6" t="str">
        <x:v>https://s201.q4cdn.com/141608511/files/doc_financials/2025/annual/NVIDIA-2025-Annual-Report.pdf</x:v>
      </x:c>
    </x:row>
    <x:row r="40" ht="15" hidden="0" customHeight="1">
      <x:c r="A40" s="12" t="n">
        <x:v>6</x:v>
      </x:c>
      <x:c r="B40" s="6" t="str">
        <x:v>AI accelerators and heterogeneous computing</x:v>
      </x:c>
      <x:c r="C40" s="12" t="n">
        <x:v>2025</x:v>
      </x:c>
      <x:c r="D40" s="6" t="str">
        <x:v>The same platform reported US$115.186 billion in fiscal 2025.</x:v>
      </x:c>
      <x:c r="E40" s="6" t="str">
        <x:v>https://s201.q4cdn.com/141608511/files/doc_financials/2025/annual/NVIDIA-2025-Annual-Report.pdf</x:v>
      </x:c>
    </x:row>
    <x:row r="41" ht="24" hidden="0" customHeight="1">
      <x:c r="A41" s="12" t="n">
        <x:v>6</x:v>
      </x:c>
      <x:c r="B41" s="6" t="str">
        <x:v>AI accelerators and heterogeneous computing</x:v>
      </x:c>
      <x:c r="C41" s="12" t="n">
        <x:v>2026</x:v>
      </x:c>
      <x:c r="D41" s="6" t="str">
        <x:v>Fiscal 2026 Data Center revenue reached about US$193.7 billion; Cerebras began Nasdaq trading in May.</x:v>
      </x:c>
      <x:c r="E41" s="6" t="str">
        <x:v>https://investor.nvidia.com/news/press-release-details/2026/NVIDIA-Announces-Financial-Results-for-Fourth-Quarter-and-Fiscal-2026/
https://www.cerebras.ai/press-release/cerebras-systems-announces-closing-of-initial-public-offering</x:v>
      </x:c>
    </x:row>
    <x:row r="42" ht="15" hidden="0" customHeight="1">
      <x:c r="A42" s="12" t="n">
        <x:v>7</x:v>
      </x:c>
      <x:c r="B42" s="6" t="str">
        <x:v>Chiplets and advanced semiconductor packaging</x:v>
      </x:c>
      <x:c r="C42" s="12" t="n">
        <x:v>2021</x:v>
      </x:c>
      <x:c r="D42" s="6" t="str">
        <x:v>No UCIe specification existed in the series; earlier proprietary multi-die designs are outside this KPI.</x:v>
      </x:c>
      <x:c r="E42" s="6" t="str">
        <x:v>https://www.uciexpress.org/press-releases</x:v>
      </x:c>
    </x:row>
    <x:row r="43" ht="15" hidden="0" customHeight="1">
      <x:c r="A43" s="12" t="n">
        <x:v>7</x:v>
      </x:c>
      <x:c r="B43" s="6" t="str">
        <x:v>Chiplets and advanced semiconductor packaging</x:v>
      </x:c>
      <x:c r="C43" s="12" t="n">
        <x:v>2022</x:v>
      </x:c>
      <x:c r="D43" s="6" t="str">
        <x:v>UCIe’s initial specification established a common die-to-die interface framework.</x:v>
      </x:c>
      <x:c r="E43" s="6" t="str">
        <x:v>https://www.uciexpress.org/press-releases</x:v>
      </x:c>
    </x:row>
    <x:row r="44" ht="24" hidden="0" customHeight="1">
      <x:c r="A44" s="12" t="n">
        <x:v>7</x:v>
      </x:c>
      <x:c r="B44" s="6" t="str">
        <x:v>Chiplets and advanced semiconductor packaging</x:v>
      </x:c>
      <x:c r="C44" s="12" t="n">
        <x:v>2023</x:v>
      </x:c>
      <x:c r="D44" s="6" t="str">
        <x:v>The consortium exceeded 100 members and released UCIe 1.1.</x:v>
      </x:c>
      <x:c r="E44" s="6" t="str">
        <x:v>https://www.uciexpress.org/press-releases
https://www.uciexpress.org/post/ucie-consortium-grows-to-more-than-100-members</x:v>
      </x:c>
    </x:row>
    <x:row r="45" ht="15" hidden="0" customHeight="1">
      <x:c r="A45" s="12" t="n">
        <x:v>7</x:v>
      </x:c>
      <x:c r="B45" s="6" t="str">
        <x:v>Chiplets and advanced semiconductor packaging</x:v>
      </x:c>
      <x:c r="C45" s="12" t="n">
        <x:v>2024</x:v>
      </x:c>
      <x:c r="D45" s="6" t="str">
        <x:v>UCIe 2.0 added provisions for 3D packaging and system manageability.</x:v>
      </x:c>
      <x:c r="E45" s="6" t="str">
        <x:v>https://www.uciexpress.org/press-releases</x:v>
      </x:c>
    </x:row>
    <x:row r="46" ht="15" hidden="0" customHeight="1">
      <x:c r="A46" s="12" t="n">
        <x:v>7</x:v>
      </x:c>
      <x:c r="B46" s="6" t="str">
        <x:v>Chiplets and advanced semiconductor packaging</x:v>
      </x:c>
      <x:c r="C46" s="12" t="n">
        <x:v>2025</x:v>
      </x:c>
      <x:c r="D46" s="6" t="str">
        <x:v>UCIe 3.0 raised supported transfer rates to 48 and 64 GT/s.</x:v>
      </x:c>
      <x:c r="E46" s="6" t="str">
        <x:v>https://www.uciexpress.org/post/ucie-consortium-s-2025-year-in-review</x:v>
      </x:c>
    </x:row>
    <x:row r="47" ht="24" hidden="0" customHeight="1">
      <x:c r="A47" s="12" t="n">
        <x:v>7</x:v>
      </x:c>
      <x:c r="B47" s="6" t="str">
        <x:v>Chiplets and advanced semiconductor packaging</x:v>
      </x:c>
      <x:c r="C47" s="12" t="n">
        <x:v>2026</x:v>
      </x:c>
      <x:c r="D47" s="6" t="str">
        <x:v>The consortium continued implementation and foundry updates; Eliyan announced a new private financing round.</x:v>
      </x:c>
      <x:c r="E47" s="6" t="str">
        <x:v>https://www.uciexpress.org/blog
https://eliyan.com/news/eliyan-achieves-unicorn-status-with-145-million-series-c/</x:v>
      </x:c>
    </x:row>
    <x:row r="48" ht="15" hidden="0" customHeight="1">
      <x:c r="A48" s="12" t="n">
        <x:v>8</x:v>
      </x:c>
      <x:c r="B48" s="6" t="str">
        <x:v>Silicon photonics and optical interconnects</x:v>
      </x:c>
      <x:c r="C48" s="12" t="n">
        <x:v>2021</x:v>
      </x:c>
      <x:c r="D48" s="6" t="str">
        <x:v>No comparable optical-I/O shipment count identified; conventional fiber links were already established.</x:v>
      </x:c>
      <x:c r="E48" s="6" t="str"/>
    </x:row>
    <x:row r="49" ht="15" hidden="0" customHeight="1">
      <x:c r="A49" s="12" t="n">
        <x:v>8</x:v>
      </x:c>
      <x:c r="B49" s="6" t="str">
        <x:v>Silicon photonics and optical interconnects</x:v>
      </x:c>
      <x:c r="C49" s="12" t="n">
        <x:v>2022</x:v>
      </x:c>
      <x:c r="D49" s="6" t="str">
        <x:v>No harmonized commercial co-packaged-optics adoption metric supplied.</x:v>
      </x:c>
      <x:c r="E49" s="6" t="str"/>
    </x:row>
    <x:row r="50" ht="15" hidden="0" customHeight="1">
      <x:c r="A50" s="12" t="n">
        <x:v>8</x:v>
      </x:c>
      <x:c r="B50" s="6" t="str">
        <x:v>Silicon photonics and optical interconnects</x:v>
      </x:c>
      <x:c r="C50" s="12" t="n">
        <x:v>2023</x:v>
      </x:c>
      <x:c r="D50" s="6" t="str">
        <x:v>No comparable market-wide annual deployment measurement identified.</x:v>
      </x:c>
      <x:c r="E50" s="6" t="str"/>
    </x:row>
    <x:row r="51" ht="15" hidden="0" customHeight="1">
      <x:c r="A51" s="12" t="n">
        <x:v>8</x:v>
      </x:c>
      <x:c r="B51" s="6" t="str">
        <x:v>Silicon photonics and optical interconnects</x:v>
      </x:c>
      <x:c r="C51" s="12" t="n">
        <x:v>2024</x:v>
      </x:c>
      <x:c r="D51" s="6" t="str">
        <x:v>Coherent’s comparable segment recorded US$2.63 billion revenue, an adjacent demand measure.</x:v>
      </x:c>
      <x:c r="E51" s="6" t="str">
        <x:v>https://ir.coherent.com/static-files/afd880a5-f5c9-46c2-b16a-1f2cbe90e28b</x:v>
      </x:c>
    </x:row>
    <x:row r="52" ht="24" hidden="0" customHeight="1">
      <x:c r="A52" s="12" t="n">
        <x:v>8</x:v>
      </x:c>
      <x:c r="B52" s="6" t="str">
        <x:v>Silicon photonics and optical interconnects</x:v>
      </x:c>
      <x:c r="C52" s="12" t="n">
        <x:v>2025</x:v>
      </x:c>
      <x:c r="D52" s="6" t="str">
        <x:v>Coherent reported initial 1.6T transceiver revenue shipments and US$3.76 billion segment revenue.</x:v>
      </x:c>
      <x:c r="E52" s="6" t="str">
        <x:v>https://ir.coherent.com/static-files/afd880a5-f5c9-46c2-b16a-1f2cbe90e28b
https://www.coherent.com/content/dam/coherent/site/en/documents/investors/financial-releases/2025/august-13/earnings-release-fy25-q4.pdf</x:v>
      </x:c>
    </x:row>
    <x:row r="53" ht="24" hidden="0" customHeight="1">
      <x:c r="A53" s="12" t="n">
        <x:v>8</x:v>
      </x:c>
      <x:c r="B53" s="6" t="str">
        <x:v>Silicon photonics and optical interconnects</x:v>
      </x:c>
      <x:c r="C53" s="12" t="n">
        <x:v>2026</x:v>
      </x:c>
      <x:c r="D53" s="6" t="str">
        <x:v>The segment reached US$5.27 billion; Ayar Labs expanded its announced 2026 funding to US$650 million.</x:v>
      </x:c>
      <x:c r="E53" s="6" t="str">
        <x:v>https://ir.coherent.com/static-files/afd880a5-f5c9-46c2-b16a-1f2cbe90e28b
https://ayarlabs.com/news/ayar-labs-expands-2026-funding-to-650-million/</x:v>
      </x:c>
    </x:row>
    <x:row r="54" ht="15" hidden="0" customHeight="1">
      <x:c r="A54" s="12" t="n">
        <x:v>9</x:v>
      </x:c>
      <x:c r="B54" s="6" t="str">
        <x:v>Post-quantum cryptography</x:v>
      </x:c>
      <x:c r="C54" s="12" t="n">
        <x:v>2021</x:v>
      </x:c>
      <x:c r="D54" s="6" t="str">
        <x:v>No comparable production-traffic statistic identified for the defined KPI.</x:v>
      </x:c>
      <x:c r="E54" s="6" t="str"/>
    </x:row>
    <x:row r="55" ht="15" hidden="0" customHeight="1">
      <x:c r="A55" s="12" t="n">
        <x:v>9</x:v>
      </x:c>
      <x:c r="B55" s="6" t="str">
        <x:v>Post-quantum cryptography</x:v>
      </x:c>
      <x:c r="C55" s="12" t="n">
        <x:v>2022</x:v>
      </x:c>
      <x:c r="D55" s="6" t="str">
        <x:v>NIST’s continuing selection process preceded final standards; no invented deployment share is supplied.</x:v>
      </x:c>
      <x:c r="E55" s="6" t="str">
        <x:v>https://csrc.nist.gov/Projects/Post-Quantum-Cryptography</x:v>
      </x:c>
    </x:row>
    <x:row r="56" ht="15" hidden="0" customHeight="1">
      <x:c r="A56" s="12" t="n">
        <x:v>9</x:v>
      </x:c>
      <x:c r="B56" s="6" t="str">
        <x:v>Post-quantum cryptography</x:v>
      </x:c>
      <x:c r="C56" s="12" t="n">
        <x:v>2023</x:v>
      </x:c>
      <x:c r="D56" s="6" t="str">
        <x:v>No same-denominator human-HTTPS measurement supplied for this year.</x:v>
      </x:c>
      <x:c r="E56" s="6" t="str"/>
    </x:row>
    <x:row r="57" ht="15" hidden="0" customHeight="1">
      <x:c r="A57" s="12" t="n">
        <x:v>9</x:v>
      </x:c>
      <x:c r="B57" s="6" t="str">
        <x:v>Post-quantum cryptography</x:v>
      </x:c>
      <x:c r="C57" s="12" t="n">
        <x:v>2024</x:v>
      </x:c>
      <x:c r="D57" s="6" t="str">
        <x:v>NIST released the first three finalized PQC standards in August.</x:v>
      </x:c>
      <x:c r="E57" s="6" t="str">
        <x:v>https://www.nist.gov/news-events/news/2024/08/nist-releases-first-3-finalized-post-quantum-encryption-standards</x:v>
      </x:c>
    </x:row>
    <x:row r="58" ht="15" hidden="0" customHeight="1">
      <x:c r="A58" s="12" t="n">
        <x:v>9</x:v>
      </x:c>
      <x:c r="B58" s="6" t="str">
        <x:v>Post-quantum cryptography</x:v>
      </x:c>
      <x:c r="C58" s="12" t="n">
        <x:v>2025</x:v>
      </x:c>
      <x:c r="D58" s="6" t="str">
        <x:v>Cloudflare reported post-quantum protection for more than half of human HTTPS traffic.</x:v>
      </x:c>
      <x:c r="E58" s="6" t="str">
        <x:v>https://blog.cloudflare.com/pq-2025/</x:v>
      </x:c>
    </x:row>
    <x:row r="59" ht="15" hidden="0" customHeight="1">
      <x:c r="A59" s="12" t="n">
        <x:v>9</x:v>
      </x:c>
      <x:c r="B59" s="6" t="str">
        <x:v>Post-quantum cryptography</x:v>
      </x:c>
      <x:c r="C59" s="12" t="n">
        <x:v>2026</x:v>
      </x:c>
      <x:c r="D59" s="6" t="str">
        <x:v>The reported threshold exceeded 65%; Cloudflare published a 2029 completion roadmap.</x:v>
      </x:c>
      <x:c r="E59" s="6" t="str">
        <x:v>https://blog.cloudflare.com/post-quantum-roadmap/</x:v>
      </x:c>
    </x:row>
    <x:row r="60" ht="15" hidden="0" customHeight="1">
      <x:c r="A60" s="12" t="n">
        <x:v>10</x:v>
      </x:c>
      <x:c r="B60" s="6" t="str">
        <x:v>Confidential computing and privacy-preserving AI</x:v>
      </x:c>
      <x:c r="C60" s="12" t="n">
        <x:v>2021</x:v>
      </x:c>
      <x:c r="D60" s="6" t="str">
        <x:v>The consortium’s 2021 review described expanding projects, membership and attestation work.</x:v>
      </x:c>
      <x:c r="E60" s="6" t="str">
        <x:v>https://confidentialcomputing.io/2021/10/06/the-confidential-computing-consortium-year-in-review-2021/</x:v>
      </x:c>
    </x:row>
    <x:row r="61" ht="15" hidden="0" customHeight="1">
      <x:c r="A61" s="12" t="n">
        <x:v>10</x:v>
      </x:c>
      <x:c r="B61" s="6" t="str">
        <x:v>Confidential computing and privacy-preserving AI</x:v>
      </x:c>
      <x:c r="C61" s="12" t="n">
        <x:v>2022</x:v>
      </x:c>
      <x:c r="D61" s="6" t="str">
        <x:v>A January update reported 36 corporate members, four nonprofit members and six projects after Q4 2021.</x:v>
      </x:c>
      <x:c r="E61" s="6" t="str">
        <x:v>https://confidentialcomputing.io/2022/01/25/the-ccc-welcomes-5-new-general-members-and-gramine-project-during-final-quarter-of-2021/</x:v>
      </x:c>
    </x:row>
    <x:row r="62" ht="15" hidden="0" customHeight="1">
      <x:c r="A62" s="12" t="n">
        <x:v>10</x:v>
      </x:c>
      <x:c r="B62" s="6" t="str">
        <x:v>Confidential computing and privacy-preserving AI</x:v>
      </x:c>
      <x:c r="C62" s="12" t="n">
        <x:v>2023</x:v>
      </x:c>
      <x:c r="D62" s="6" t="str">
        <x:v>No comparable annual production-adoption measurement identified.</x:v>
      </x:c>
      <x:c r="E62" s="6" t="str"/>
    </x:row>
    <x:row r="63" ht="15" hidden="0" customHeight="1">
      <x:c r="A63" s="12" t="n">
        <x:v>10</x:v>
      </x:c>
      <x:c r="B63" s="6" t="str">
        <x:v>Confidential computing and privacy-preserving AI</x:v>
      </x:c>
      <x:c r="C63" s="12" t="n">
        <x:v>2024</x:v>
      </x:c>
      <x:c r="D63" s="6" t="str">
        <x:v>Apple described Private Cloud Compute and its hardware/software privacy architecture.</x:v>
      </x:c>
      <x:c r="E63" s="6" t="str">
        <x:v>https://security.apple.com/blog/private-cloud-compute/</x:v>
      </x:c>
    </x:row>
    <x:row r="64" ht="15" hidden="0" customHeight="1">
      <x:c r="A64" s="12" t="n">
        <x:v>10</x:v>
      </x:c>
      <x:c r="B64" s="6" t="str">
        <x:v>Confidential computing and privacy-preserving AI</x:v>
      </x:c>
      <x:c r="C64" s="12" t="n">
        <x:v>2025</x:v>
      </x:c>
      <x:c r="D64" s="6" t="str">
        <x:v>IDC surveyed 600 IT leaders; 18% reported full production, with 57% at pilot stage.</x:v>
      </x:c>
      <x:c r="E64" s="6" t="str">
        <x:v>https://confidentialcomputing.io/2025/</x:v>
      </x:c>
    </x:row>
    <x:row r="65" ht="15" hidden="0" customHeight="1">
      <x:c r="A65" s="12" t="n">
        <x:v>10</x:v>
      </x:c>
      <x:c r="B65" s="6" t="str">
        <x:v>Confidential computing and privacy-preserving AI</x:v>
      </x:c>
      <x:c r="C65" s="12" t="n">
        <x:v>2026</x:v>
      </x:c>
      <x:c r="D65" s="6" t="str">
        <x:v>The consortium identified attestation, AI and practical deployment as priorities; no new comparable adoption percentage is inserted.</x:v>
      </x:c>
      <x:c r="E65" s="6" t="str">
        <x:v>https://confidentialcomputing.io/2026/01/06/ccc-outlook-for-2026-a-message-from-executive-director-mike-bursell/</x:v>
      </x:c>
    </x:row>
    <x:row r="66" ht="15" hidden="0" customHeight="1">
      <x:c r="A66" s="12" t="n">
        <x:v>11</x:v>
      </x:c>
      <x:c r="B66" s="6" t="str">
        <x:v>Private 5G and industrial wireless</x:v>
      </x:c>
      <x:c r="C66" s="12" t="n">
        <x:v>2021</x:v>
      </x:c>
      <x:c r="D66" s="6" t="str">
        <x:v>No comparable year-end measurement supplied; early private LTE should not be relabeled as 5G-only deployment.</x:v>
      </x:c>
      <x:c r="E66" s="6" t="str"/>
    </x:row>
    <x:row r="67" ht="15" hidden="0" customHeight="1">
      <x:c r="A67" s="12" t="n">
        <x:v>11</x:v>
      </x:c>
      <x:c r="B67" s="6" t="str">
        <x:v>Private 5G and industrial wireless</x:v>
      </x:c>
      <x:c r="C67" s="12" t="n">
        <x:v>2022</x:v>
      </x:c>
      <x:c r="D67" s="6" t="str">
        <x:v>GSA subsequently reported 1,077 customer organizations for the end of 2022.</x:v>
      </x:c>
      <x:c r="E67" s="6" t="str">
        <x:v>https://gsacom.com/press-release/over-1000-organisations-now-deploying-private-mobile-networks/</x:v>
      </x:c>
    </x:row>
    <x:row r="68" ht="15" hidden="0" customHeight="1">
      <x:c r="A68" s="12" t="n">
        <x:v>11</x:v>
      </x:c>
      <x:c r="B68" s="6" t="str">
        <x:v>Private 5G and industrial wireless</x:v>
      </x:c>
      <x:c r="C68" s="12" t="n">
        <x:v>2023</x:v>
      </x:c>
      <x:c r="D68" s="6" t="str">
        <x:v>The database reached 1,384 customer organizations at year end.</x:v>
      </x:c>
      <x:c r="E68" s="6" t="str">
        <x:v>https://gsacom.com/paper/private-mobile-networks-summary-february-2024/</x:v>
      </x:c>
    </x:row>
    <x:row r="69" ht="15" hidden="0" customHeight="1">
      <x:c r="A69" s="12" t="n">
        <x:v>11</x:v>
      </x:c>
      <x:c r="B69" s="6" t="str">
        <x:v>Private 5G and industrial wireless</x:v>
      </x:c>
      <x:c r="C69" s="12" t="n">
        <x:v>2024</x:v>
      </x:c>
      <x:c r="D69" s="6" t="str">
        <x:v>GSA reported 1,427 organizations at the end of Q1, not a full-year total.</x:v>
      </x:c>
      <x:c r="E69" s="6" t="str">
        <x:v>https://gsacom.com/paper/privatemobilenetworks-june-2024-summary/</x:v>
      </x:c>
    </x:row>
    <x:row r="70" ht="15" hidden="0" customHeight="1">
      <x:c r="A70" s="12" t="n">
        <x:v>11</x:v>
      </x:c>
      <x:c r="B70" s="6" t="str">
        <x:v>Private 5G and industrial wireless</x:v>
      </x:c>
      <x:c r="C70" s="12" t="n">
        <x:v>2025</x:v>
      </x:c>
      <x:c r="D70" s="6" t="str">
        <x:v>No clean year-end value is inserted here because catalog revisions complicate the annual bridge.</x:v>
      </x:c>
      <x:c r="E70" s="6" t="str"/>
    </x:row>
    <x:row r="71" ht="24" hidden="0" customHeight="1">
      <x:c r="A71" s="12" t="n">
        <x:v>11</x:v>
      </x:c>
      <x:c r="B71" s="6" t="str">
        <x:v>Private 5G and industrial wireless</x:v>
      </x:c>
      <x:c r="C71" s="12" t="n">
        <x:v>2026</x:v>
      </x:c>
      <x:c r="D71" s="6" t="str">
        <x:v>GSA reached 2,031 organizations in Q2; Nokia agreed to sell Enterprise Campus Edge, with closing planned for H1 2027.</x:v>
      </x:c>
      <x:c r="E71" s="6" t="str">
        <x:v>https://gsacom.com/paper/private-mobile-networks-september-2026-2/
https://www.nokia.com/newsroom/nokia-to-sell-enterprise-campus-edge-business-to-aurelius/</x:v>
      </x:c>
    </x:row>
    <x:row r="72" ht="15" hidden="0" customHeight="1">
      <x:c r="A72" s="12" t="n">
        <x:v>12</x:v>
      </x:c>
      <x:c r="B72" s="6" t="str">
        <x:v>Direct-to-device satellite connectivity</x:v>
      </x:c>
      <x:c r="C72" s="12" t="n">
        <x:v>2021</x:v>
      </x:c>
      <x:c r="D72" s="6" t="str">
        <x:v>No comparable consumer-service availability measurement supplied before the tracked launch.</x:v>
      </x:c>
      <x:c r="E72" s="6" t="str"/>
    </x:row>
    <x:row r="73" ht="24" hidden="0" customHeight="1">
      <x:c r="A73" s="12" t="n">
        <x:v>12</x:v>
      </x:c>
      <x:c r="B73" s="6" t="str">
        <x:v>Direct-to-device satellite connectivity</x:v>
      </x:c>
      <x:c r="C73" s="12" t="n">
        <x:v>2022</x:v>
      </x:c>
      <x:c r="D73" s="6" t="str">
        <x:v>Apple launched SOS satellite messaging in the U.S. and Canada, then added four European markets.</x:v>
      </x:c>
      <x:c r="E73" s="6" t="str">
        <x:v>https://www.apple.com/uk/newsroom/2022/12/emergency-sos-via-satellite-available-in-france-germany-ireland-and-the-uk/
https://www.apple.com/newsroom/2022/11/emergency-sos-via-satellite-available-today-on-iphone-14-lineup/</x:v>
      </x:c>
    </x:row>
    <x:row r="74" ht="15" hidden="0" customHeight="1">
      <x:c r="A74" s="12" t="n">
        <x:v>12</x:v>
      </x:c>
      <x:c r="B74" s="6" t="str">
        <x:v>Direct-to-device satellite connectivity</x:v>
      </x:c>
      <x:c r="C74" s="12" t="n">
        <x:v>2023</x:v>
      </x:c>
      <x:c r="D74" s="6" t="str">
        <x:v>Apple reported availability in 16 countries and regions.</x:v>
      </x:c>
      <x:c r="E74" s="6" t="str">
        <x:v>https://www.apple.com/newsroom/2023/11/apple-extends-emergency-sos-via-satellite-for-an-additional-free-year/</x:v>
      </x:c>
    </x:row>
    <x:row r="75" ht="15" hidden="0" customHeight="1">
      <x:c r="A75" s="12" t="n">
        <x:v>12</x:v>
      </x:c>
      <x:c r="B75" s="6" t="str">
        <x:v>Direct-to-device satellite connectivity</x:v>
      </x:c>
      <x:c r="C75" s="12" t="n">
        <x:v>2024</x:v>
      </x:c>
      <x:c r="D75" s="6" t="str">
        <x:v>Starlink reported its first direct-to-cell text messages in January.</x:v>
      </x:c>
      <x:c r="E75" s="6" t="str">
        <x:v>https://starlink.com/sb/updates</x:v>
      </x:c>
    </x:row>
    <x:row r="76" ht="15" hidden="0" customHeight="1">
      <x:c r="A76" s="12" t="n">
        <x:v>12</x:v>
      </x:c>
      <x:c r="B76" s="6" t="str">
        <x:v>Direct-to-device satellite connectivity</x:v>
      </x:c>
      <x:c r="C76" s="12" t="n">
        <x:v>2025</x:v>
      </x:c>
      <x:c r="D76" s="6" t="str">
        <x:v>No like-for-like Apple geographic snapshot is inserted for this year.</x:v>
      </x:c>
      <x:c r="E76" s="6" t="str"/>
    </x:row>
    <x:row r="77" ht="24" hidden="0" customHeight="1">
      <x:c r="A77" s="12" t="n">
        <x:v>12</x:v>
      </x:c>
      <x:c r="B77" s="6" t="str">
        <x:v>Direct-to-device satellite connectivity</x:v>
      </x:c>
      <x:c r="C77" s="12" t="n">
        <x:v>2026</x:v>
      </x:c>
      <x:c r="D77" s="6" t="str">
        <x:v>Apple’s October support list contained 21 countries/regions; T-Mobile marketed messaging and selected satellite-enabled data services.</x:v>
      </x:c>
      <x:c r="E77" s="6" t="str">
        <x:v>https://support.apple.com/en-us/101573
https://www.t-mobile.com/coverage/satellite-phone-service</x:v>
      </x:c>
    </x:row>
    <x:row r="78" ht="15" hidden="0" customHeight="1">
      <x:c r="A78" s="12" t="n">
        <x:v>13</x:v>
      </x:c>
      <x:c r="B78" s="6" t="str">
        <x:v>Industrial IoT and predictive maintenance</x:v>
      </x:c>
      <x:c r="C78" s="12" t="n">
        <x:v>2021</x:v>
      </x:c>
      <x:c r="D78" s="6" t="str">
        <x:v>No retrospectively harmonized annual device value is inserted; older estimates used different revisions.</x:v>
      </x:c>
      <x:c r="E78" s="6" t="str"/>
    </x:row>
    <x:row r="79" ht="15" hidden="0" customHeight="1">
      <x:c r="A79" s="12" t="n">
        <x:v>13</x:v>
      </x:c>
      <x:c r="B79" s="6" t="str">
        <x:v>Industrial IoT and predictive maintenance</x:v>
      </x:c>
      <x:c r="C79" s="12" t="n">
        <x:v>2022</x:v>
      </x:c>
      <x:c r="D79" s="6" t="str">
        <x:v>No comparable industrial predictive-maintenance adoption census identified.</x:v>
      </x:c>
      <x:c r="E79" s="6" t="str"/>
    </x:row>
    <x:row r="80" ht="15" hidden="0" customHeight="1">
      <x:c r="A80" s="12" t="n">
        <x:v>13</x:v>
      </x:c>
      <x:c r="B80" s="6" t="str">
        <x:v>Industrial IoT and predictive maintenance</x:v>
      </x:c>
      <x:c r="C80" s="12" t="n">
        <x:v>2023</x:v>
      </x:c>
      <x:c r="D80" s="6" t="str">
        <x:v>No stable industry-wide maintenance-analytics penetration figure supplied.</x:v>
      </x:c>
      <x:c r="E80" s="6" t="str"/>
    </x:row>
    <x:row r="81" ht="15" hidden="0" customHeight="1">
      <x:c r="A81" s="12" t="n">
        <x:v>13</x:v>
      </x:c>
      <x:c r="B81" s="6" t="str">
        <x:v>Industrial IoT and predictive maintenance</x:v>
      </x:c>
      <x:c r="C81" s="12" t="n">
        <x:v>2024</x:v>
      </x:c>
      <x:c r="D81" s="6" t="str">
        <x:v>IoT Analytics’ later revised estimate placed the connected IoT base at 18.5 billion.</x:v>
      </x:c>
      <x:c r="E81" s="6" t="str">
        <x:v>https://iot-analytics.com/number-connected-iot-devices/</x:v>
      </x:c>
    </x:row>
    <x:row r="82" ht="15" hidden="0" customHeight="1">
      <x:c r="A82" s="12" t="n">
        <x:v>13</x:v>
      </x:c>
      <x:c r="B82" s="6" t="str">
        <x:v>Industrial IoT and predictive maintenance</x:v>
      </x:c>
      <x:c r="C82" s="12" t="n">
        <x:v>2025</x:v>
      </x:c>
      <x:c r="D82" s="6" t="str">
        <x:v>The year-end IoT base was estimated at 21.1 billion; the broad enterprise ecosystem continued expanding.</x:v>
      </x:c>
      <x:c r="E82" s="6" t="str">
        <x:v>https://iot-analytics.com/state-of-enterprise-iot-from-iot-autonomous-connected-operations/</x:v>
      </x:c>
    </x:row>
    <x:row r="83" ht="24" hidden="0" customHeight="1">
      <x:c r="A83" s="12" t="n">
        <x:v>13</x:v>
      </x:c>
      <x:c r="B83" s="6" t="str">
        <x:v>Industrial IoT and predictive maintenance</x:v>
      </x:c>
      <x:c r="C83" s="12" t="n">
        <x:v>2026</x:v>
      </x:c>
      <x:c r="D83" s="6" t="str">
        <x:v>IoT Analytics described more autonomous connected operations; PTC completed the sale of ThingWorx and Kepware to TPG.</x:v>
      </x:c>
      <x:c r="E83" s="6" t="str">
        <x:v>https://iot-analytics.com/state-of-enterprise-iot-from-iot-autonomous-connected-operations/
https://www.ptc.com/en/news/2026/ptc-completes-divestiture-of-kepware-and-thingworx-businesses</x:v>
      </x:c>
    </x:row>
    <x:row r="84" ht="15" hidden="0" customHeight="1">
      <x:c r="A84" s="12" t="n">
        <x:v>14</x:v>
      </x:c>
      <x:c r="B84" s="6" t="str">
        <x:v>Industrial digital twins</x:v>
      </x:c>
      <x:c r="C84" s="12" t="n">
        <x:v>2021</x:v>
      </x:c>
      <x:c r="D84" s="6" t="str">
        <x:v>The Global Lighthouse Network reached 90 recognized advanced-manufacturing sites.</x:v>
      </x:c>
      <x:c r="E84" s="6" t="str">
        <x:v>https://www.weforum.org/stories/2021/10/lighthouses-sustainability-manufacturing-4ir-technologies/</x:v>
      </x:c>
    </x:row>
    <x:row r="85" ht="15" hidden="0" customHeight="1">
      <x:c r="A85" s="12" t="n">
        <x:v>14</x:v>
      </x:c>
      <x:c r="B85" s="6" t="str">
        <x:v>Industrial digital twins</x:v>
      </x:c>
      <x:c r="C85" s="12" t="n">
        <x:v>2022</x:v>
      </x:c>
      <x:c r="D85" s="6" t="str">
        <x:v>Siemens and NVIDIA announced a partnership linking industrial software and real-time simulation.</x:v>
      </x:c>
      <x:c r="E85" s="6" t="str">
        <x:v>https://nvidianews.nvidia.com/news/siemens-and-nvidia-to-enable-industrial-metaverse</x:v>
      </x:c>
    </x:row>
    <x:row r="86" ht="15" hidden="0" customHeight="1">
      <x:c r="A86" s="12" t="n">
        <x:v>14</x:v>
      </x:c>
      <x:c r="B86" s="6" t="str">
        <x:v>Industrial digital twins</x:v>
      </x:c>
      <x:c r="C86" s="12" t="n">
        <x:v>2023</x:v>
      </x:c>
      <x:c r="D86" s="6" t="str">
        <x:v>WEF’s 2022–2023 annual report described 132 lighthouses.</x:v>
      </x:c>
      <x:c r="E86" s="6" t="str">
        <x:v>https://www.weforum.org/publications/annual-report-2022-2023/in-full/our-centres/</x:v>
      </x:c>
    </x:row>
    <x:row r="87" ht="15" hidden="0" customHeight="1">
      <x:c r="A87" s="12" t="n">
        <x:v>14</x:v>
      </x:c>
      <x:c r="B87" s="6" t="str">
        <x:v>Industrial digital twins</x:v>
      </x:c>
      <x:c r="C87" s="12" t="n">
        <x:v>2024</x:v>
      </x:c>
      <x:c r="D87" s="6" t="str">
        <x:v>No comparable annual digital-twin deployment census identified; adjacent-site recognition is not substituted as adoption.</x:v>
      </x:c>
      <x:c r="E87" s="6" t="str"/>
    </x:row>
    <x:row r="88" ht="15" hidden="0" customHeight="1">
      <x:c r="A88" s="12" t="n">
        <x:v>14</x:v>
      </x:c>
      <x:c r="B88" s="6" t="str">
        <x:v>Industrial digital twins</x:v>
      </x:c>
      <x:c r="C88" s="12" t="n">
        <x:v>2025</x:v>
      </x:c>
      <x:c r="D88" s="6" t="str">
        <x:v>The lighthouse network reached 189 sites in January.</x:v>
      </x:c>
      <x:c r="E88" s="6" t="str">
        <x:v>https://www.weforum.org/media/global-lighthouse-network-2025-world-economic-forum-recognizes-companies-transforming-manufacturing-through-innovation/</x:v>
      </x:c>
    </x:row>
    <x:row r="89" ht="24" hidden="0" customHeight="1">
      <x:c r="A89" s="12" t="n">
        <x:v>14</x:v>
      </x:c>
      <x:c r="B89" s="6" t="str">
        <x:v>Industrial digital twins</x:v>
      </x:c>
      <x:c r="C89" s="12" t="n">
        <x:v>2026</x:v>
      </x:c>
      <x:c r="D89" s="6" t="str">
        <x:v>The network reached 223 sites; Schneider agreed to acquire PTC, with closing expected in Q3 2027.</x:v>
      </x:c>
      <x:c r="E89" s="6" t="str">
        <x:v>https://www.weforum.org/publications/global-lighthouse-network-rewiring-operations-for-resilience-and-impact-at-scale/
https://www.ptc.com/en/news/2026/schneider-electric-to-acquire-ptc</x:v>
      </x:c>
    </x:row>
    <x:row r="90" ht="15" hidden="0" customHeight="1">
      <x:c r="A90" s="12" t="n">
        <x:v>15</x:v>
      </x:c>
      <x:c r="B90" s="6" t="str">
        <x:v>Enterprise spatial computing</x:v>
      </x:c>
      <x:c r="C90" s="12" t="n">
        <x:v>2021</x:v>
      </x:c>
      <x:c r="D90" s="6" t="str">
        <x:v>No comparable enterprise spatial-computing adoption census identified.</x:v>
      </x:c>
      <x:c r="E90" s="6" t="str"/>
    </x:row>
    <x:row r="91" ht="15" hidden="0" customHeight="1">
      <x:c r="A91" s="12" t="n">
        <x:v>15</x:v>
      </x:c>
      <x:c r="B91" s="6" t="str">
        <x:v>Enterprise spatial computing</x:v>
      </x:c>
      <x:c r="C91" s="12" t="n">
        <x:v>2022</x:v>
      </x:c>
      <x:c r="D91" s="6" t="str">
        <x:v>No same-scope annual enterprise deployment measurement supplied.</x:v>
      </x:c>
      <x:c r="E91" s="6" t="str"/>
    </x:row>
    <x:row r="92" ht="15" hidden="0" customHeight="1">
      <x:c r="A92" s="12" t="n">
        <x:v>15</x:v>
      </x:c>
      <x:c r="B92" s="6" t="str">
        <x:v>Enterprise spatial computing</x:v>
      </x:c>
      <x:c r="C92" s="12" t="n">
        <x:v>2023</x:v>
      </x:c>
      <x:c r="D92" s="6" t="str">
        <x:v>Meta Reality Labs revenue was US$1.896 billion, an adjacent consumer-heavy market signal.</x:v>
      </x:c>
      <x:c r="E92" s="6" t="str">
        <x:v>https://www.sec.gov/Archives/edgar/data/1326801/000162828026003942/R11.htm</x:v>
      </x:c>
    </x:row>
    <x:row r="93" ht="24" hidden="0" customHeight="1">
      <x:c r="A93" s="12" t="n">
        <x:v>15</x:v>
      </x:c>
      <x:c r="B93" s="6" t="str">
        <x:v>Enterprise spatial computing</x:v>
      </x:c>
      <x:c r="C93" s="12" t="n">
        <x:v>2024</x:v>
      </x:c>
      <x:c r="D93" s="6" t="str">
        <x:v>Apple’s Vision Pro became available in the U.S.; Reality Labs revenue was US$2.146 billion.</x:v>
      </x:c>
      <x:c r="E93" s="6" t="str">
        <x:v>https://www.sec.gov/Archives/edgar/data/1326801/000162828026003942/R11.htm
https://www.apple.com/newsroom/2024/01/apple-vision-pro-available-in-the-us-on-february-2/</x:v>
      </x:c>
    </x:row>
    <x:row r="94" ht="24" hidden="0" customHeight="1">
      <x:c r="A94" s="12" t="n">
        <x:v>15</x:v>
      </x:c>
      <x:c r="B94" s="6" t="str">
        <x:v>Enterprise spatial computing</x:v>
      </x:c>
      <x:c r="C94" s="12" t="n">
        <x:v>2025</x:v>
      </x:c>
      <x:c r="D94" s="6" t="str">
        <x:v>Reality Labs revenue reached US$2.207 billion, with the product mix extending beyond VR headsets.</x:v>
      </x:c>
      <x:c r="E94" s="6" t="str">
        <x:v>https://www.sec.gov/Archives/edgar/data/1326801/000162828026003942/R11.htm
https://www.sec.gov/Archives/edgar/data/1326801/000162828026003942/meta-20251231.htm</x:v>
      </x:c>
    </x:row>
    <x:row r="95" ht="24" hidden="0" customHeight="1">
      <x:c r="A95" s="12" t="n">
        <x:v>15</x:v>
      </x:c>
      <x:c r="B95" s="6" t="str">
        <x:v>Enterprise spatial computing</x:v>
      </x:c>
      <x:c r="C95" s="12" t="n">
        <x:v>2026</x:v>
      </x:c>
      <x:c r="D95" s="6" t="str">
        <x:v>Meta’s filing emphasized a planned spending mix favoring wearables; specialist enterprise simulation and glasses vendors remained active.</x:v>
      </x:c>
      <x:c r="E95" s="6" t="str">
        <x:v>https://www.sec.gov/Archives/edgar/data/1326801/000162828026003942/meta-20251231.htm
https://varjo.com/</x:v>
      </x:c>
    </x:row>
    <x:row r="96" ht="15" hidden="0" customHeight="1">
      <x:c r="A96" s="12" t="n">
        <x:v>16</x:v>
      </x:c>
      <x:c r="B96" s="6" t="str">
        <x:v>Collaborative robots and autonomous mobile robots</x:v>
      </x:c>
      <x:c r="C96" s="12" t="n">
        <x:v>2021</x:v>
      </x:c>
      <x:c r="D96" s="6" t="str">
        <x:v>Amazon reported more than 350,000 robotic drive units in its operations.</x:v>
      </x:c>
      <x:c r="E96" s="6" t="str">
        <x:v>https://press.aboutamazon.com/uk/2021/5/amazon-operations-unveils-european-innovation-lab-developing-new-technologies-that-enhance-employee-safety-and-wellbeing</x:v>
      </x:c>
    </x:row>
    <x:row r="97" ht="15" hidden="0" customHeight="1">
      <x:c r="A97" s="12" t="n">
        <x:v>16</x:v>
      </x:c>
      <x:c r="B97" s="6" t="str">
        <x:v>Collaborative robots and autonomous mobile robots</x:v>
      </x:c>
      <x:c r="C97" s="12" t="n">
        <x:v>2022</x:v>
      </x:c>
      <x:c r="D97" s="6" t="str">
        <x:v>Amazon reported more than 520,000 drive units and introduced Proteus.</x:v>
      </x:c>
      <x:c r="E97" s="6" t="str">
        <x:v>https://www.aboutamazon.com/news/operations/10-years-of-amazon-robotics-how-robots-help-sort-packages-move-product-and-improve-safety</x:v>
      </x:c>
    </x:row>
    <x:row r="98" ht="15" hidden="0" customHeight="1">
      <x:c r="A98" s="12" t="n">
        <x:v>16</x:v>
      </x:c>
      <x:c r="B98" s="6" t="str">
        <x:v>Collaborative robots and autonomous mobile robots</x:v>
      </x:c>
      <x:c r="C98" s="12" t="n">
        <x:v>2023</x:v>
      </x:c>
      <x:c r="D98" s="6" t="str">
        <x:v>Amazon described a fleet of more than 750,000 mobile robots.</x:v>
      </x:c>
      <x:c r="E98" s="6" t="str">
        <x:v>https://www.aboutamazon.com/news/operations/amazon-hercules-robot</x:v>
      </x:c>
    </x:row>
    <x:row r="99" ht="15" hidden="0" customHeight="1">
      <x:c r="A99" s="12" t="n">
        <x:v>16</x:v>
      </x:c>
      <x:c r="B99" s="6" t="str">
        <x:v>Collaborative robots and autonomous mobile robots</x:v>
      </x:c>
      <x:c r="C99" s="12" t="n">
        <x:v>2024</x:v>
      </x:c>
      <x:c r="D99" s="6" t="str">
        <x:v>IFR reported that collaborative robots represented 10.5% of 2023 industrial installations; this is a lagged statistic.</x:v>
      </x:c>
      <x:c r="E99" s="6" t="str">
        <x:v>https://ifr.org/ifr-press-releases/news/how-robots-work-alongside-humans</x:v>
      </x:c>
    </x:row>
    <x:row r="100" ht="15" hidden="0" customHeight="1">
      <x:c r="A100" s="12" t="n">
        <x:v>16</x:v>
      </x:c>
      <x:c r="B100" s="6" t="str">
        <x:v>Collaborative robots and autonomous mobile robots</x:v>
      </x:c>
      <x:c r="C100" s="12" t="n">
        <x:v>2025</x:v>
      </x:c>
      <x:c r="D100" s="6" t="str">
        <x:v>Amazon deployed its millionth robot; the count now includes more than mobile drive units.</x:v>
      </x:c>
      <x:c r="E100" s="6" t="str">
        <x:v>https://www.aboutamazon.com/news/operations/amazon-million-robots-ai-foundation-model</x:v>
      </x:c>
    </x:row>
    <x:row r="101" ht="15" hidden="0" customHeight="1">
      <x:c r="A101" s="12" t="n">
        <x:v>16</x:v>
      </x:c>
      <x:c r="B101" s="6" t="str">
        <x:v>Collaborative robots and autonomous mobile robots</x:v>
      </x:c>
      <x:c r="C101" s="12" t="n">
        <x:v>2026</x:v>
      </x:c>
      <x:c r="D101" s="6" t="str">
        <x:v>A3 reported 2,774 collaborative robots ordered in North America in H1, separate from the global installed base.</x:v>
      </x:c>
      <x:c r="E101" s="6" t="str">
        <x:v>https://www.automate.org/robotics/news/robot-orders-increase-in-q2-as-automation-demand-broadens-across-industries</x:v>
      </x:c>
    </x:row>
    <x:row r="102" ht="15" hidden="0" customHeight="1">
      <x:c r="A102" s="12" t="n">
        <x:v>17</x:v>
      </x:c>
      <x:c r="B102" s="6" t="str">
        <x:v>Humanoid robots in structured industrial work</x:v>
      </x:c>
      <x:c r="C102" s="12" t="n">
        <x:v>2021</x:v>
      </x:c>
      <x:c r="D102" s="6" t="str">
        <x:v>Hyundai completed a controlling investment in Boston Dynamics, illustrating incumbent interest in advanced robotics.</x:v>
      </x:c>
      <x:c r="E102" s="6" t="str">
        <x:v>https://www.hyundai.com/worldwide/en/newsroom/detail/0000000516</x:v>
      </x:c>
    </x:row>
    <x:row r="103" ht="15" hidden="0" customHeight="1">
      <x:c r="A103" s="12" t="n">
        <x:v>17</x:v>
      </x:c>
      <x:c r="B103" s="6" t="str">
        <x:v>Humanoid robots in structured industrial work</x:v>
      </x:c>
      <x:c r="C103" s="12" t="n">
        <x:v>2022</x:v>
      </x:c>
      <x:c r="D103" s="6" t="str">
        <x:v>No defensible industry-wide commercial deployment count identified.</x:v>
      </x:c>
      <x:c r="E103" s="6" t="str"/>
    </x:row>
    <x:row r="104" ht="15" hidden="0" customHeight="1">
      <x:c r="A104" s="12" t="n">
        <x:v>17</x:v>
      </x:c>
      <x:c r="B104" s="6" t="str">
        <x:v>Humanoid robots in structured industrial work</x:v>
      </x:c>
      <x:c r="C104" s="12" t="n">
        <x:v>2023</x:v>
      </x:c>
      <x:c r="D104" s="6" t="str">
        <x:v>No consistent production-hour or revenue series for the whole humanoid industry identified.</x:v>
      </x:c>
      <x:c r="E104" s="6" t="str"/>
    </x:row>
    <x:row r="105" ht="15" hidden="0" customHeight="1">
      <x:c r="A105" s="12" t="n">
        <x:v>17</x:v>
      </x:c>
      <x:c r="B105" s="6" t="str">
        <x:v>Humanoid robots in structured industrial work</x:v>
      </x:c>
      <x:c r="C105" s="12" t="n">
        <x:v>2024</x:v>
      </x:c>
      <x:c r="D105" s="6" t="str">
        <x:v>UBTECH reported RMB35.6 million of full-size humanoid products and services revenue.</x:v>
      </x:c>
      <x:c r="E105" s="6" t="str">
        <x:v>https://www.hkexnews.hk/listedco/listconews/sehk/2026/0414/2026041401168.pdf</x:v>
      </x:c>
    </x:row>
    <x:row r="106" ht="24" hidden="0" customHeight="1">
      <x:c r="A106" s="12" t="n">
        <x:v>17</x:v>
      </x:c>
      <x:c r="B106" s="6" t="str">
        <x:v>Humanoid robots in structured industrial work</x:v>
      </x:c>
      <x:c r="C106" s="12" t="n">
        <x:v>2025</x:v>
      </x:c>
      <x:c r="D106" s="6" t="str">
        <x:v>UBTECH’s category revenue reached RMB820.6 million; BMW’s Figure pilot accumulated about 1,250 operating hours.</x:v>
      </x:c>
      <x:c r="E106" s="6" t="str">
        <x:v>https://www.hkexnews.hk/listedco/listconews/sehk/2026/0414/2026041401168.pdf
https://www.bmwgroup.com/en/news/general/2026/humanoid-robot-in-leipzig.html</x:v>
      </x:c>
    </x:row>
    <x:row r="107" ht="48" hidden="0" customHeight="1">
      <x:c r="A107" s="12" t="n">
        <x:v>17</x:v>
      </x:c>
      <x:c r="B107" s="6" t="str">
        <x:v>Humanoid robots in structured industrial work</x:v>
      </x:c>
      <x:c r="C107" s="12" t="n">
        <x:v>2026</x:v>
      </x:c>
      <x:c r="D107" s="6" t="str">
        <x:v>Agility unveiled Digit 5 and continued its proposed public transaction; BMW introduced another industrial humanoid trial in Leipzig.</x:v>
      </x:c>
      <x:c r="E107" s="6" t="str">
        <x:v>https://www.bmwgroup.com/en/news/general/2026/humanoid-robot-in-leipzig.html
https://www.agilityrobotics.com/content/agility-unveils-digit-5-humanoid-robot-built-for-cooperatively-safe-work-at-scale
https://www.agilityrobotics.com/content/agility-robotics-and-churchill-capital-corp-xi-s-4-registration-statement-declared-effective-by-sec-in-connection-with-proposed-business-combination</x:v>
      </x:c>
    </x:row>
    <x:row r="108" ht="15" hidden="0" customHeight="1">
      <x:c r="A108" s="12" t="n">
        <x:v>18</x:v>
      </x:c>
      <x:c r="B108" s="6" t="str">
        <x:v>Robotaxis and autonomous driving</x:v>
      </x:c>
      <x:c r="C108" s="12" t="n">
        <x:v>2021</x:v>
      </x:c>
      <x:c r="D108" s="6" t="str">
        <x:v>Commercial robotaxi operation existed, but no comparable 2021 weekly observation is included.</x:v>
      </x:c>
      <x:c r="E108" s="6" t="str"/>
    </x:row>
    <x:row r="109" ht="15" hidden="0" customHeight="1">
      <x:c r="A109" s="12" t="n">
        <x:v>18</x:v>
      </x:c>
      <x:c r="B109" s="6" t="str">
        <x:v>Robotaxis and autonomous driving</x:v>
      </x:c>
      <x:c r="C109" s="12" t="n">
        <x:v>2022</x:v>
      </x:c>
      <x:c r="D109" s="6" t="str">
        <x:v>No comparable 2022 weekly observation was established in this review; pilots and limited operating domains remain the historical context.</x:v>
      </x:c>
      <x:c r="E109" s="6" t="str"/>
    </x:row>
    <x:row r="110" ht="15" hidden="0" customHeight="1">
      <x:c r="A110" s="12" t="n">
        <x:v>18</x:v>
      </x:c>
      <x:c r="B110" s="6" t="str">
        <x:v>Robotaxis and autonomous driving</x:v>
      </x:c>
      <x:c r="C110" s="12" t="n">
        <x:v>2023</x:v>
      </x:c>
      <x:c r="D110" s="6" t="str">
        <x:v>Waymo reported more than 10,000 weekly public driverless rides across San Francisco and Phoenix.</x:v>
      </x:c>
      <x:c r="E110" s="6" t="str">
        <x:v>https://waymo-blog.blogspot.com/2023/08/waymos-next-chapter-in-san-francisco.html</x:v>
      </x:c>
    </x:row>
    <x:row r="111" ht="15" hidden="0" customHeight="1">
      <x:c r="A111" s="12" t="n">
        <x:v>18</x:v>
      </x:c>
      <x:c r="B111" s="6" t="str">
        <x:v>Robotaxis and autonomous driving</x:v>
      </x:c>
      <x:c r="C111" s="12" t="n">
        <x:v>2024</x:v>
      </x:c>
      <x:c r="D111" s="6" t="str">
        <x:v>Waymo reported 150,000-plus weekly trips in its December year review.</x:v>
      </x:c>
      <x:c r="E111" s="6" t="str">
        <x:v>https://waymo.com/blog/2024/12/year-in-review-2024/</x:v>
      </x:c>
    </x:row>
    <x:row r="112" ht="15" hidden="0" customHeight="1">
      <x:c r="A112" s="12" t="n">
        <x:v>18</x:v>
      </x:c>
      <x:c r="B112" s="6" t="str">
        <x:v>Robotaxis and autonomous driving</x:v>
      </x:c>
      <x:c r="C112" s="12" t="n">
        <x:v>2025</x:v>
      </x:c>
      <x:c r="D112" s="6" t="str">
        <x:v>Waymo reported more than 14 million trips during 2025 by its December review and set a goal of one million weekly trips by end-2026.</x:v>
      </x:c>
      <x:c r="E112" s="6" t="str">
        <x:v>https://waymo.com/blog/2025/12/2025-year-in-review/</x:v>
      </x:c>
    </x:row>
    <x:row r="113" ht="24" hidden="0" customHeight="1">
      <x:c r="A113" s="12" t="n">
        <x:v>18</x:v>
      </x:c>
      <x:c r="B113" s="6" t="str">
        <x:v>Robotaxis and autonomous driving</x:v>
      </x:c>
      <x:c r="C113" s="12" t="n">
        <x:v>2026</x:v>
      </x:c>
      <x:c r="D113" s="6" t="str">
        <x:v>The current company sustainability page reports 500,000-plus weekly fully autonomous EV trips. Toronto was announced for 2028, not operating in Canada at cutoff.</x:v>
      </x:c>
      <x:c r="E113" s="6" t="str">
        <x:v>https://blog.waymo.com/sustainability/
https://www.reuters.com/business/googles-waymo-plans-first-canada-robotaxi-service-toronto-2028-2026-10-16/</x:v>
      </x:c>
    </x:row>
    <x:row r="114" ht="15" hidden="0" customHeight="1">
      <x:c r="A114" s="12" t="n">
        <x:v>19</x:v>
      </x:c>
      <x:c r="B114" s="6" t="str">
        <x:v>Autonomous delivery drones</x:v>
      </x:c>
      <x:c r="C114" s="12" t="n">
        <x:v>2021</x:v>
      </x:c>
      <x:c r="D114" s="6" t="str">
        <x:v>Wing reached 100,000 deliveries in 2021.</x:v>
      </x:c>
      <x:c r="E114" s="6" t="str">
        <x:v>https://wing.com/news/recent-study-explores-what-drone</x:v>
      </x:c>
    </x:row>
    <x:row r="115" ht="15" hidden="0" customHeight="1">
      <x:c r="A115" s="12" t="n">
        <x:v>19</x:v>
      </x:c>
      <x:c r="B115" s="6" t="str">
        <x:v>Autonomous delivery drones</x:v>
      </x:c>
      <x:c r="C115" s="12" t="n">
        <x:v>2022</x:v>
      </x:c>
      <x:c r="D115" s="6" t="str">
        <x:v>Wing’s Australian supermarket announcement reported a 200,000-delivery milestone.</x:v>
      </x:c>
      <x:c r="E115" s="6" t="str">
        <x:v>https://wing.com/news/dispatches-from-australia-supermarket</x:v>
      </x:c>
    </x:row>
    <x:row r="116" ht="15" hidden="0" customHeight="1">
      <x:c r="A116" s="12" t="n">
        <x:v>19</x:v>
      </x:c>
      <x:c r="B116" s="6" t="str">
        <x:v>Autonomous delivery drones</x:v>
      </x:c>
      <x:c r="C116" s="12" t="n">
        <x:v>2023</x:v>
      </x:c>
      <x:c r="D116" s="6" t="str">
        <x:v>Wing introduced a network architecture intended to connect multiple delivery sites; no comparable annual global delivery total is included.</x:v>
      </x:c>
      <x:c r="E116" s="6" t="str">
        <x:v>https://wing.com/news/the-wing-delivery-network</x:v>
      </x:c>
    </x:row>
    <x:row r="117" ht="15" hidden="0" customHeight="1">
      <x:c r="A117" s="12" t="n">
        <x:v>19</x:v>
      </x:c>
      <x:c r="B117" s="6" t="str">
        <x:v>Autonomous delivery drones</x:v>
      </x:c>
      <x:c r="C117" s="12" t="n">
        <x:v>2024</x:v>
      </x:c>
      <x:c r="D117" s="6" t="str">
        <x:v>No comparable 2024 annual operator total is included; the chart leaves the gap visible.</x:v>
      </x:c>
      <x:c r="E117" s="6" t="str"/>
    </x:row>
    <x:row r="118" ht="15" hidden="0" customHeight="1">
      <x:c r="A118" s="12" t="n">
        <x:v>19</x:v>
      </x:c>
      <x:c r="B118" s="6" t="str">
        <x:v>Autonomous delivery drones</x:v>
      </x:c>
      <x:c r="C118" s="12" t="n">
        <x:v>2025</x:v>
      </x:c>
      <x:c r="D118" s="6" t="str">
        <x:v>Wing and Walmart announced expansion into five additional US metropolitan areas.</x:v>
      </x:c>
      <x:c r="E118" s="6" t="str">
        <x:v>https://wing.com/news/wing-and-walmart-announce-world-s-largest-drone-delivery-expansion-ever</x:v>
      </x:c>
    </x:row>
    <x:row r="119" ht="24" hidden="0" customHeight="1">
      <x:c r="A119" s="12" t="n">
        <x:v>19</x:v>
      </x:c>
      <x:c r="B119" s="6" t="str">
        <x:v>Autonomous delivery drones</x:v>
      </x:c>
      <x:c r="C119" s="12" t="n">
        <x:v>2026</x:v>
      </x:c>
      <x:c r="D119" s="6" t="str">
        <x:v>Wing reported well over one million cumulative commercial deliveries in June; in October it announced Denver and Seattle for 2027 within a planned network of more than 270 Walmart locations.</x:v>
      </x:c>
      <x:c r="E119" s="6" t="str">
        <x:v>https://wing.com/news/wing-and-walmart-seven-new-markets-drone-delivery
https://wing.com/news/wing-walmart-new-metros-nations-largest-drone-delivery-network</x:v>
      </x:c>
    </x:row>
    <x:row r="120" ht="15" hidden="0" customHeight="1">
      <x:c r="A120" s="12" t="n">
        <x:v>20</x:v>
      </x:c>
      <x:c r="B120" s="6" t="str">
        <x:v>Software-defined vehicles</x:v>
      </x:c>
      <x:c r="C120" s="12" t="n">
        <x:v>2021</x:v>
      </x:c>
      <x:c r="D120" s="6" t="str">
        <x:v>BlackBerry reported QNX embedded in more than 195 million vehicles.</x:v>
      </x:c>
      <x:c r="E120" s="6" t="str">
        <x:v>https://www.prnewswire.com/news-releases/blackberry-qnx-software-is-now-embedded-in-over-195-million-vehicles-301315834.html</x:v>
      </x:c>
    </x:row>
    <x:row r="121" ht="15" hidden="0" customHeight="1">
      <x:c r="A121" s="12" t="n">
        <x:v>20</x:v>
      </x:c>
      <x:c r="B121" s="6" t="str">
        <x:v>Software-defined vehicles</x:v>
      </x:c>
      <x:c r="C121" s="12" t="n">
        <x:v>2022</x:v>
      </x:c>
      <x:c r="D121" s="6" t="str">
        <x:v>No comparable 2022 installed-base observation is included in this review.</x:v>
      </x:c>
      <x:c r="E121" s="6" t="str"/>
    </x:row>
    <x:row r="122" ht="15" hidden="0" customHeight="1">
      <x:c r="A122" s="12" t="n">
        <x:v>20</x:v>
      </x:c>
      <x:c r="B122" s="6" t="str">
        <x:v>Software-defined vehicles</x:v>
      </x:c>
      <x:c r="C122" s="12" t="n">
        <x:v>2023</x:v>
      </x:c>
      <x:c r="D122" s="6" t="str">
        <x:v>No comparable 2023 installed-base observation is included; the historical maturity score is an analyst assessment.</x:v>
      </x:c>
      <x:c r="E122" s="6" t="str"/>
    </x:row>
    <x:row r="123" ht="15" hidden="0" customHeight="1">
      <x:c r="A123" s="12" t="n">
        <x:v>20</x:v>
      </x:c>
      <x:c r="B123" s="6" t="str">
        <x:v>Software-defined vehicles</x:v>
      </x:c>
      <x:c r="C123" s="12" t="n">
        <x:v>2024</x:v>
      </x:c>
      <x:c r="D123" s="6" t="str">
        <x:v>No comparable 2024 measurement is included; supplier adoption is not equivalent to complete vehicle architecture conversion.</x:v>
      </x:c>
      <x:c r="E123" s="6" t="str"/>
    </x:row>
    <x:row r="124" ht="15" hidden="0" customHeight="1">
      <x:c r="A124" s="12" t="n">
        <x:v>20</x:v>
      </x:c>
      <x:c r="B124" s="6" t="str">
        <x:v>Software-defined vehicles</x:v>
      </x:c>
      <x:c r="C124" s="12" t="n">
        <x:v>2025</x:v>
      </x:c>
      <x:c r="D124" s="6" t="str">
        <x:v>BlackBerry reported a 275-million-vehicle QNX installed base in its December release.</x:v>
      </x:c>
      <x:c r="E124" s="6" t="str">
        <x:v>https://www.sec.gov/Archives/edgar/data/1070235/000107023525000196/q3fy26ex-991.htm</x:v>
      </x:c>
    </x:row>
    <x:row r="125" ht="24" hidden="0" customHeight="1">
      <x:c r="A125" s="12" t="n">
        <x:v>20</x:v>
      </x:c>
      <x:c r="B125" s="6" t="str">
        <x:v>Software-defined vehicles</x:v>
      </x:c>
      <x:c r="C125" s="12" t="n">
        <x:v>2026</x:v>
      </x:c>
      <x:c r="D125" s="6" t="str">
        <x:v>QNX announced that BMW’s next-generation vehicle platforms would use its technology; current filings still reference 275 million vehicles.</x:v>
      </x:c>
      <x:c r="E125" s="6" t="str">
        <x:v>https://qnx.software/en/press-release/2026/qnx-technology-to-help-drive-bmw-group-s-next-generation-of-software-defined-vehicles
https://www.sec.gov/Archives/edgar/data/1070235/000107023526000115/bbry-20260831.htm</x:v>
      </x:c>
    </x:row>
    <x:row r="126" ht="15" hidden="0" customHeight="1">
      <x:c r="A126" s="12" t="n">
        <x:v>21</x:v>
      </x:c>
      <x:c r="B126" s="6" t="str">
        <x:v>AI diagnostics and clinical copilots</x:v>
      </x:c>
      <x:c r="C126" s="12" t="n">
        <x:v>2021</x:v>
      </x:c>
      <x:c r="D126" s="6" t="str">
        <x:v>No comparable 2021 AMA AI-use survey point is included.</x:v>
      </x:c>
      <x:c r="E126" s="6" t="str"/>
    </x:row>
    <x:row r="127" ht="15" hidden="0" customHeight="1">
      <x:c r="A127" s="12" t="n">
        <x:v>21</x:v>
      </x:c>
      <x:c r="B127" s="6" t="str">
        <x:v>AI diagnostics and clinical copilots</x:v>
      </x:c>
      <x:c r="C127" s="12" t="n">
        <x:v>2022</x:v>
      </x:c>
      <x:c r="D127" s="6" t="str">
        <x:v>No comparable 2022 AMA AI-use survey point is included.</x:v>
      </x:c>
      <x:c r="E127" s="6" t="str"/>
    </x:row>
    <x:row r="128" ht="15" hidden="0" customHeight="1">
      <x:c r="A128" s="12" t="n">
        <x:v>21</x:v>
      </x:c>
      <x:c r="B128" s="6" t="str">
        <x:v>AI diagnostics and clinical copilots</x:v>
      </x:c>
      <x:c r="C128" s="12" t="n">
        <x:v>2023</x:v>
      </x:c>
      <x:c r="D128" s="6" t="str">
        <x:v>The first AMA comparison wave found 38% professional AI use.</x:v>
      </x:c>
      <x:c r="E128" s="6" t="str">
        <x:v>https://www.ama-assn.org/press-center/ama-press-releases/ama-ai-usage-among-doctors-doubles-confidence-technology-grows</x:v>
      </x:c>
    </x:row>
    <x:row r="129" ht="15" hidden="0" customHeight="1">
      <x:c r="A129" s="12" t="n">
        <x:v>21</x:v>
      </x:c>
      <x:c r="B129" s="6" t="str">
        <x:v>AI diagnostics and clinical copilots</x:v>
      </x:c>
      <x:c r="C129" s="12" t="n">
        <x:v>2024</x:v>
      </x:c>
      <x:c r="D129" s="6" t="str">
        <x:v>The next survey found 66% professional AI use; this includes administrative and informational tasks.</x:v>
      </x:c>
      <x:c r="E129" s="6" t="str">
        <x:v>https://www.ama-assn.org/press-center/ama-press-releases/ama-physician-enthusiasm-grows-health-care-ai</x:v>
      </x:c>
    </x:row>
    <x:row r="130" ht="15" hidden="0" customHeight="1">
      <x:c r="A130" s="12" t="n">
        <x:v>21</x:v>
      </x:c>
      <x:c r="B130" s="6" t="str">
        <x:v>AI diagnostics and clinical copilots</x:v>
      </x:c>
      <x:c r="C130" s="12" t="n">
        <x:v>2025</x:v>
      </x:c>
      <x:c r="D130" s="6" t="str">
        <x:v>AMA published the 2024 survey results, documenting growing physician use and interest.</x:v>
      </x:c>
      <x:c r="E130" s="6" t="str">
        <x:v>https://www.ama-assn.org/press-center/ama-press-releases/ama-physician-enthusiasm-grows-health-care-ai</x:v>
      </x:c>
    </x:row>
    <x:row r="131" ht="24" hidden="0" customHeight="1">
      <x:c r="A131" s="12" t="n">
        <x:v>21</x:v>
      </x:c>
      <x:c r="B131" s="6" t="str">
        <x:v>AI diagnostics and clinical copilots</x:v>
      </x:c>
      <x:c r="C131" s="12" t="n">
        <x:v>2026</x:v>
      </x:c>
      <x:c r="D131" s="6" t="str">
        <x:v>AMA reported 81% use in its March 2026 release; FDA’s AI-enabled-device list continued to be updated.</x:v>
      </x:c>
      <x:c r="E131" s="6" t="str">
        <x:v>https://www.ama-assn.org/press-center/ama-press-releases/ama-ai-usage-among-doctors-doubles-confidence-technology-grows
https://www.fda.gov/medical-devices/artificial-intelligence-enabled-medical-devices/list-artificial-intelligence-enabled-medical-devices</x:v>
      </x:c>
    </x:row>
    <x:row r="132" ht="15" hidden="0" customHeight="1">
      <x:c r="A132" s="12" t="n">
        <x:v>22</x:v>
      </x:c>
      <x:c r="B132" s="6" t="str">
        <x:v>Precision oncology and liquid biopsies</x:v>
      </x:c>
      <x:c r="C132" s="12" t="n">
        <x:v>2021</x:v>
      </x:c>
      <x:c r="D132" s="6" t="str">
        <x:v>Guardant reported 87,600 clinical tests during 2021.</x:v>
      </x:c>
      <x:c r="E132" s="6" t="str">
        <x:v>https://www.sec.gov/Archives/edgar/data/1576280/000157628022000012/gh-12312021xexhibit991.htm</x:v>
      </x:c>
    </x:row>
    <x:row r="133" ht="15" hidden="0" customHeight="1">
      <x:c r="A133" s="12" t="n">
        <x:v>22</x:v>
      </x:c>
      <x:c r="B133" s="6" t="str">
        <x:v>Precision oncology and liquid biopsies</x:v>
      </x:c>
      <x:c r="C133" s="12" t="n">
        <x:v>2022</x:v>
      </x:c>
      <x:c r="D133" s="6" t="str">
        <x:v>Clinical test volume reached 124,800 at the same operator.</x:v>
      </x:c>
      <x:c r="E133" s="6" t="str">
        <x:v>https://investors.guardanthealth.com/files/doc_financials/2022/ar/ARS-Filing-2022-Annual-Report.pdf</x:v>
      </x:c>
    </x:row>
    <x:row r="134" ht="15" hidden="0" customHeight="1">
      <x:c r="A134" s="12" t="n">
        <x:v>22</x:v>
      </x:c>
      <x:c r="B134" s="6" t="str">
        <x:v>Precision oncology and liquid biopsies</x:v>
      </x:c>
      <x:c r="C134" s="12" t="n">
        <x:v>2023</x:v>
      </x:c>
      <x:c r="D134" s="6" t="str">
        <x:v>No comparable 2023 numerical observation is included in this chart.</x:v>
      </x:c>
      <x:c r="E134" s="6" t="str"/>
    </x:row>
    <x:row r="135" ht="24" hidden="0" customHeight="1">
      <x:c r="A135" s="12" t="n">
        <x:v>22</x:v>
      </x:c>
      <x:c r="B135" s="6" t="str">
        <x:v>Precision oncology and liquid biopsies</x:v>
      </x:c>
      <x:c r="C135" s="12" t="n">
        <x:v>2024</x:v>
      </x:c>
      <x:c r="D135" s="6" t="str">
        <x:v>Guardant reported 206,700 oncology clinical tests for the year.</x:v>
      </x:c>
      <x:c r="E135" s="6" t="str">
        <x:v>https://investors.guardanthealth.com/press-releases/press-releases/2025/Guardant-Health-Reports-Fourth-Quarter-and-Full-Year-2024-Financial-Results-and-Provides-2025-Outlook/default.aspx</x:v>
      </x:c>
    </x:row>
    <x:row r="136" ht="24" hidden="0" customHeight="1">
      <x:c r="A136" s="12" t="n">
        <x:v>22</x:v>
      </x:c>
      <x:c r="B136" s="6" t="str">
        <x:v>Precision oncology and liquid biopsies</x:v>
      </x:c>
      <x:c r="C136" s="12" t="n">
        <x:v>2025</x:v>
      </x:c>
      <x:c r="D136" s="6" t="str">
        <x:v>The same volume series reached approximately 276,000 tests.</x:v>
      </x:c>
      <x:c r="E136" s="6" t="str">
        <x:v>https://investors.guardanthealth.com/press-releases/press-releases/2026/Guardant-Health-Reports-Fourth-Quarter-and-Full-Year-2025-Financial-Results-and-Provides-2026-Outlook/default.aspx</x:v>
      </x:c>
    </x:row>
    <x:row r="137" ht="36" hidden="0" customHeight="1">
      <x:c r="A137" s="12" t="n">
        <x:v>22</x:v>
      </x:c>
      <x:c r="B137" s="6" t="str">
        <x:v>Precision oncology and liquid biopsies</x:v>
      </x:c>
      <x:c r="C137" s="12" t="n">
        <x:v>2026</x:v>
      </x:c>
      <x:c r="D137" s="6" t="str">
        <x:v>The February 2026 results establish the latest full-year observation; Freenome completed its public listing in July.</x:v>
      </x:c>
      <x:c r="E137" s="6" t="str">
        <x:v>https://investors.guardanthealth.com/press-releases/press-releases/2026/Guardant-Health-Reports-Fourth-Quarter-and-Full-Year-2025-Financial-Results-and-Provides-2026-Outlook/default.aspx
https://investors.freenome.com/shareholder-services/investor-faqs</x:v>
      </x:c>
    </x:row>
    <x:row r="138" ht="15" hidden="0" customHeight="1">
      <x:c r="A138" s="12" t="n">
        <x:v>23</x:v>
      </x:c>
      <x:c r="B138" s="6" t="str">
        <x:v>Gene-editing therapies</x:v>
      </x:c>
      <x:c r="C138" s="12" t="n">
        <x:v>2021</x:v>
      </x:c>
      <x:c r="D138" s="6" t="str">
        <x:v>No approved US CRISPR therapy existed in the historical baseline; no revenue measure is assigned.</x:v>
      </x:c>
      <x:c r="E138" s="6" t="str">
        <x:v>https://www.fda.gov/news-events/press-announcements/fda-approves-first-gene-therapies-treat-patients-sickle-cell-disease</x:v>
      </x:c>
    </x:row>
    <x:row r="139" ht="15" hidden="0" customHeight="1">
      <x:c r="A139" s="12" t="n">
        <x:v>23</x:v>
      </x:c>
      <x:c r="B139" s="6" t="str">
        <x:v>Gene-editing therapies</x:v>
      </x:c>
      <x:c r="C139" s="12" t="n">
        <x:v>2022</x:v>
      </x:c>
      <x:c r="D139" s="6" t="str">
        <x:v>No comparable commercial revenue observation is included for 2022.</x:v>
      </x:c>
      <x:c r="E139" s="6" t="str"/>
    </x:row>
    <x:row r="140" ht="15" hidden="0" customHeight="1">
      <x:c r="A140" s="12" t="n">
        <x:v>23</x:v>
      </x:c>
      <x:c r="B140" s="6" t="str">
        <x:v>Gene-editing therapies</x:v>
      </x:c>
      <x:c r="C140" s="12" t="n">
        <x:v>2023</x:v>
      </x:c>
      <x:c r="D140" s="6" t="str">
        <x:v>FDA approved Casgevy for sickle cell disease in December, the first FDA-approved CRISPR/Cas9 treatment.</x:v>
      </x:c>
      <x:c r="E140" s="6" t="str">
        <x:v>https://www.fda.gov/news-events/press-announcements/fda-approves-first-gene-therapies-treat-patients-sickle-cell-disease</x:v>
      </x:c>
    </x:row>
    <x:row r="141" ht="24" hidden="0" customHeight="1">
      <x:c r="A141" s="12" t="n">
        <x:v>23</x:v>
      </x:c>
      <x:c r="B141" s="6" t="str">
        <x:v>Gene-editing therapies</x:v>
      </x:c>
      <x:c r="C141" s="12" t="n">
        <x:v>2024</x:v>
      </x:c>
      <x:c r="D141" s="6" t="str">
        <x:v>FDA added transfusion-dependent beta thalassemia in January; Casgevy generated $10 million during its first full launch year.</x:v>
      </x:c>
      <x:c r="E141" s="6" t="str">
        <x:v>https://news.vrtx.com/news-releases/news-release-details/vertex-reports-fourth-quarter-and-full-year-2024-financial
https://www.fda.gov/news-events/press-announcements/fda-roundup-january-16-2024</x:v>
      </x:c>
    </x:row>
    <x:row r="142" ht="15" hidden="0" customHeight="1">
      <x:c r="A142" s="12" t="n">
        <x:v>23</x:v>
      </x:c>
      <x:c r="B142" s="6" t="str">
        <x:v>Gene-editing therapies</x:v>
      </x:c>
      <x:c r="C142" s="12" t="n">
        <x:v>2025</x:v>
      </x:c>
      <x:c r="D142" s="6" t="str">
        <x:v>Casgevy net product revenue reached $115.8 million.</x:v>
      </x:c>
      <x:c r="E142" s="6" t="str">
        <x:v>https://www.sec.gov/Archives/edgar/data/875320/000087532026000056/vrtx-20251231.htm</x:v>
      </x:c>
    </x:row>
    <x:row r="143" ht="24" hidden="0" customHeight="1">
      <x:c r="A143" s="12" t="n">
        <x:v>23</x:v>
      </x:c>
      <x:c r="B143" s="6" t="str">
        <x:v>Gene-editing therapies</x:v>
      </x:c>
      <x:c r="C143" s="12" t="n">
        <x:v>2026</x:v>
      </x:c>
      <x:c r="D143" s="6" t="str">
        <x:v>Vertex announced expanded US approval of Casgevy in July for specified indications in patients ages two and older. Long-term safety follow-up remains necessary.</x:v>
      </x:c>
      <x:c r="E143" s="6" t="str">
        <x:v>https://news.vrtx.com/news-releases/news-release-details/vertex-announces-us-fda-approval-expanded-use-casgevyr-treatment
https://www.fda.gov/vaccines-blood-biologics/casgevy</x:v>
      </x:c>
    </x:row>
    <x:row r="144" ht="15" hidden="0" customHeight="1">
      <x:c r="A144" s="12" t="n">
        <x:v>24</x:v>
      </x:c>
      <x:c r="B144" s="6" t="str">
        <x:v>RNA therapeutics and next-generation vaccines</x:v>
      </x:c>
      <x:c r="C144" s="12" t="n">
        <x:v>2021</x:v>
      </x:c>
      <x:c r="D144" s="6" t="str">
        <x:v>Alnylam reported $662.1 million in net product revenue for 2021.</x:v>
      </x:c>
      <x:c r="E144" s="6" t="str">
        <x:v>https://investors.alnylam.com/press-release?id=26471</x:v>
      </x:c>
    </x:row>
    <x:row r="145" ht="15" hidden="0" customHeight="1">
      <x:c r="A145" s="12" t="n">
        <x:v>24</x:v>
      </x:c>
      <x:c r="B145" s="6" t="str">
        <x:v>RNA therapeutics and next-generation vaccines</x:v>
      </x:c>
      <x:c r="C145" s="12" t="n">
        <x:v>2022</x:v>
      </x:c>
      <x:c r="D145" s="6" t="str">
        <x:v>No comparable 2022 revenue point is included in this extract.</x:v>
      </x:c>
      <x:c r="E145" s="6" t="str"/>
    </x:row>
    <x:row r="146" ht="15" hidden="0" customHeight="1">
      <x:c r="A146" s="12" t="n">
        <x:v>24</x:v>
      </x:c>
      <x:c r="B146" s="6" t="str">
        <x:v>RNA therapeutics and next-generation vaccines</x:v>
      </x:c>
      <x:c r="C146" s="12" t="n">
        <x:v>2023</x:v>
      </x:c>
      <x:c r="D146" s="6" t="str">
        <x:v>The annual filing reports $1.241 billion in product revenue for 2023.</x:v>
      </x:c>
      <x:c r="E146" s="6" t="str">
        <x:v>https://www.sec.gov/Archives/edgar/data/1178670/000162828026007497/alny-20251231.htm</x:v>
      </x:c>
    </x:row>
    <x:row r="147" ht="15" hidden="0" customHeight="1">
      <x:c r="A147" s="12" t="n">
        <x:v>24</x:v>
      </x:c>
      <x:c r="B147" s="6" t="str">
        <x:v>RNA therapeutics and next-generation vaccines</x:v>
      </x:c>
      <x:c r="C147" s="12" t="n">
        <x:v>2024</x:v>
      </x:c>
      <x:c r="D147" s="6" t="str">
        <x:v>The same measure reached $1.646 billion in 2024.</x:v>
      </x:c>
      <x:c r="E147" s="6" t="str">
        <x:v>https://www.sec.gov/Archives/edgar/data/1178670/000162828026007497/alny-20251231.htm</x:v>
      </x:c>
    </x:row>
    <x:row r="148" ht="24" hidden="0" customHeight="1">
      <x:c r="A148" s="12" t="n">
        <x:v>24</x:v>
      </x:c>
      <x:c r="B148" s="6" t="str">
        <x:v>RNA therapeutics and next-generation vaccines</x:v>
      </x:c>
      <x:c r="C148" s="12" t="n">
        <x:v>2025</x:v>
      </x:c>
      <x:c r="D148" s="6" t="str">
        <x:v>Product revenue reached $2.987 billion as the commercial RNAi portfolio expanded.</x:v>
      </x:c>
      <x:c r="E148" s="6" t="str">
        <x:v>https://www.sec.gov/Archives/edgar/data/1178670/000162828026007497/alny-20251231.htm
https://investors.alnylam.com/press-release?id=cda5bd48-ed15-4c48-ab80-1afb628fc6f9</x:v>
      </x:c>
    </x:row>
    <x:row r="149" ht="15" hidden="0" customHeight="1">
      <x:c r="A149" s="12" t="n">
        <x:v>24</x:v>
      </x:c>
      <x:c r="B149" s="6" t="str">
        <x:v>RNA therapeutics and next-generation vaccines</x:v>
      </x:c>
      <x:c r="C149" s="12" t="n">
        <x:v>2026</x:v>
      </x:c>
      <x:c r="D149" s="6" t="str">
        <x:v>February 2026 results document the 2025 full year; this is not a 2026 annual revenue forecast.</x:v>
      </x:c>
      <x:c r="E149" s="6" t="str">
        <x:v>https://investors.alnylam.com/press-release?id=cda5bd48-ed15-4c48-ab80-1afb628fc6f9</x:v>
      </x:c>
    </x:row>
    <x:row r="150" ht="15" hidden="0" customHeight="1">
      <x:c r="A150" s="12" t="n">
        <x:v>25</x:v>
      </x:c>
      <x:c r="B150" s="6" t="str">
        <x:v>Remote patient monitoring and medical wearables</x:v>
      </x:c>
      <x:c r="C150" s="12" t="n">
        <x:v>2021</x:v>
      </x:c>
      <x:c r="D150" s="6" t="str">
        <x:v>Dexcom revenue was $2.448 billion in 2021.</x:v>
      </x:c>
      <x:c r="E150" s="6" t="str">
        <x:v>https://www.sec.gov/Archives/edgar/data/1093557/000109355726000063/dxcm2025_ars.pdf</x:v>
      </x:c>
    </x:row>
    <x:row r="151" ht="15" hidden="0" customHeight="1">
      <x:c r="A151" s="12" t="n">
        <x:v>25</x:v>
      </x:c>
      <x:c r="B151" s="6" t="str">
        <x:v>Remote patient monitoring and medical wearables</x:v>
      </x:c>
      <x:c r="C151" s="12" t="n">
        <x:v>2022</x:v>
      </x:c>
      <x:c r="D151" s="6" t="str">
        <x:v>Revenue increased to $2.910 billion.</x:v>
      </x:c>
      <x:c r="E151" s="6" t="str">
        <x:v>https://www.sec.gov/Archives/edgar/data/1093557/000109355726000063/dxcm2025_ars.pdf</x:v>
      </x:c>
    </x:row>
    <x:row r="152" ht="15" hidden="0" customHeight="1">
      <x:c r="A152" s="12" t="n">
        <x:v>25</x:v>
      </x:c>
      <x:c r="B152" s="6" t="str">
        <x:v>Remote patient monitoring and medical wearables</x:v>
      </x:c>
      <x:c r="C152" s="12" t="n">
        <x:v>2023</x:v>
      </x:c>
      <x:c r="D152" s="6" t="str">
        <x:v>Revenue reached approximately $3.622 billion.</x:v>
      </x:c>
      <x:c r="E152" s="6" t="str">
        <x:v>https://www.sec.gov/Archives/edgar/data/1093557/000109355726000063/dxcm2025_ars.pdf</x:v>
      </x:c>
    </x:row>
    <x:row r="153" ht="15" hidden="0" customHeight="1">
      <x:c r="A153" s="12" t="n">
        <x:v>25</x:v>
      </x:c>
      <x:c r="B153" s="6" t="str">
        <x:v>Remote patient monitoring and medical wearables</x:v>
      </x:c>
      <x:c r="C153" s="12" t="n">
        <x:v>2024</x:v>
      </x:c>
      <x:c r="D153" s="6" t="str">
        <x:v>Revenue reached $4.033 billion.</x:v>
      </x:c>
      <x:c r="E153" s="6" t="str">
        <x:v>https://www.sec.gov/Archives/edgar/data/1093557/000109355726000063/dxcm2025_ars.pdf</x:v>
      </x:c>
    </x:row>
    <x:row r="154" ht="24" hidden="0" customHeight="1">
      <x:c r="A154" s="12" t="n">
        <x:v>25</x:v>
      </x:c>
      <x:c r="B154" s="6" t="str">
        <x:v>Remote patient monitoring and medical wearables</x:v>
      </x:c>
      <x:c r="C154" s="12" t="n">
        <x:v>2025</x:v>
      </x:c>
      <x:c r="D154" s="6" t="str">
        <x:v>Revenue reached $4.662 billion; CMS issued guidance on correct use and billing of remote monitoring.</x:v>
      </x:c>
      <x:c r="E154" s="6" t="str">
        <x:v>https://www.sec.gov/Archives/edgar/data/1093557/000109355726000063/dxcm2025_ars.pdf
https://www.cms.gov/outreach-and-education/medicare-learning-network-mln/mlnproducts/fast-facts/remote-patient-monitoring-use-bill-correctly</x:v>
      </x:c>
    </x:row>
    <x:row r="155" ht="24" hidden="0" customHeight="1">
      <x:c r="A155" s="12" t="n">
        <x:v>25</x:v>
      </x:c>
      <x:c r="B155" s="6" t="str">
        <x:v>Remote patient monitoring and medical wearables</x:v>
      </x:c>
      <x:c r="C155" s="12" t="n">
        <x:v>2026</x:v>
      </x:c>
      <x:c r="D155" s="6" t="str">
        <x:v>The February 2026 release reports the completed 2025 year. Current CMS guidance distinguishes connected monitoring from unsupported data collection.</x:v>
      </x:c>
      <x:c r="E155" s="6" t="str">
        <x:v>https://investors.dexcom.com/news/news-details/2026/Dexcom-Reports-Fourth-Quarter-and-Fiscal-Year-2025-Financial-Results/default.aspx
https://www.cms.gov/medicare/coverage/telehealth/remote-patient-monitoring</x:v>
      </x:c>
    </x:row>
    <x:row r="156" ht="15" hidden="0" customHeight="1">
      <x:c r="A156" s="12" t="n">
        <x:v>26</x:v>
      </x:c>
      <x:c r="B156" s="6" t="str">
        <x:v>AI-enabled drug discovery</x:v>
      </x:c>
      <x:c r="C156" s="12" t="n">
        <x:v>2021</x:v>
      </x:c>
      <x:c r="D156" s="6" t="str">
        <x:v>The company dates its series of preclinical candidate nominations from 2021.</x:v>
      </x:c>
      <x:c r="E156" s="6" t="str">
        <x:v>https://insilico.com/news/tnik-ipf-phase2a</x:v>
      </x:c>
    </x:row>
    <x:row r="157" ht="15" hidden="0" customHeight="1">
      <x:c r="A157" s="12" t="n">
        <x:v>26</x:v>
      </x:c>
      <x:c r="B157" s="6" t="str">
        <x:v>AI-enabled drug discovery</x:v>
      </x:c>
      <x:c r="C157" s="12" t="n">
        <x:v>2022</x:v>
      </x:c>
      <x:c r="D157" s="6" t="str">
        <x:v>Insilico announced a phase 1 programme for its AI-discovered fibrosis candidate.</x:v>
      </x:c>
      <x:c r="E157" s="6" t="str">
        <x:v>https://insilico.com/phase1</x:v>
      </x:c>
    </x:row>
    <x:row r="158" ht="15" hidden="0" customHeight="1">
      <x:c r="A158" s="12" t="n">
        <x:v>26</x:v>
      </x:c>
      <x:c r="B158" s="6" t="str">
        <x:v>AI-enabled drug discovery</x:v>
      </x:c>
      <x:c r="C158" s="12" t="n">
        <x:v>2023</x:v>
      </x:c>
      <x:c r="D158" s="6" t="str">
        <x:v>No comparable annual candidate count is included for 2023.</x:v>
      </x:c>
      <x:c r="E158" s="6" t="str"/>
    </x:row>
    <x:row r="159" ht="15" hidden="0" customHeight="1">
      <x:c r="A159" s="12" t="n">
        <x:v>26</x:v>
      </x:c>
      <x:c r="B159" s="6" t="str">
        <x:v>AI-enabled drug discovery</x:v>
      </x:c>
      <x:c r="C159" s="12" t="n">
        <x:v>2024</x:v>
      </x:c>
      <x:c r="D159" s="6" t="str">
        <x:v>Insilico reported 20 nominated preclinical candidates by November.</x:v>
      </x:c>
      <x:c r="E159" s="6" t="str">
        <x:v>https://insilico.com/news/tnik-ipf-phase2a</x:v>
      </x:c>
    </x:row>
    <x:row r="160" ht="24" hidden="0" customHeight="1">
      <x:c r="A160" s="12" t="n">
        <x:v>26</x:v>
      </x:c>
      <x:c r="B160" s="6" t="str">
        <x:v>AI-enabled drug discovery</x:v>
      </x:c>
      <x:c r="C160" s="12" t="n">
        <x:v>2025</x:v>
      </x:c>
      <x:c r="D160" s="6" t="str">
        <x:v>A randomized phase 2a report for rentosertib was published; Insilico later listed publicly in Hong Kong.</x:v>
      </x:c>
      <x:c r="E160" s="6" t="str">
        <x:v>https://www.nature.com/articles/s41591-025-03743-2
https://insilico.com/news/ohz9ozx0t1-insilico-medicine-announces-2025-annual</x:v>
      </x:c>
    </x:row>
    <x:row r="161" ht="15" hidden="0" customHeight="1">
      <x:c r="A161" s="12" t="n">
        <x:v>26</x:v>
      </x:c>
      <x:c r="B161" s="6" t="str">
        <x:v>AI-enabled drug discovery</x:v>
      </x:c>
      <x:c r="C161" s="12" t="n">
        <x:v>2026</x:v>
      </x:c>
      <x:c r="D161" s="6" t="str">
        <x:v>An April company release described its thirtieth preclinical candidate. This is pipeline output, not an approved-drug count.</x:v>
      </x:c>
      <x:c r="E161" s="6" t="str">
        <x:v>https://www.prnewswire.com/news-releases/generative-ai-leap-insilico-medicine-nominates-first-preclinical-candidate-in-the-uae-302752898.html</x:v>
      </x:c>
    </x:row>
    <x:row r="162" ht="15" hidden="0" customHeight="1">
      <x:c r="A162" s="12" t="n">
        <x:v>27</x:v>
      </x:c>
      <x:c r="B162" s="6" t="str">
        <x:v>Synthetic biology and biomanufacturing</x:v>
      </x:c>
      <x:c r="C162" s="12" t="n">
        <x:v>2021</x:v>
      </x:c>
      <x:c r="D162" s="6" t="str">
        <x:v>Twist shipped approximately 372,000 genes in fiscal 2021.</x:v>
      </x:c>
      <x:c r="E162" s="6" t="str">
        <x:v>https://investors.twistbioscience.com/news-releases/news-release-details/twist-bioscience-reports-fourth-quarter-and-full-year-fiscal-1/</x:v>
      </x:c>
    </x:row>
    <x:row r="163" ht="15" hidden="0" customHeight="1">
      <x:c r="A163" s="12" t="n">
        <x:v>27</x:v>
      </x:c>
      <x:c r="B163" s="6" t="str">
        <x:v>Synthetic biology and biomanufacturing</x:v>
      </x:c>
      <x:c r="C163" s="12" t="n">
        <x:v>2022</x:v>
      </x:c>
      <x:c r="D163" s="6" t="str">
        <x:v>No comparable annual shipment point is included for fiscal 2022.</x:v>
      </x:c>
      <x:c r="E163" s="6" t="str"/>
    </x:row>
    <x:row r="164" ht="15" hidden="0" customHeight="1">
      <x:c r="A164" s="12" t="n">
        <x:v>27</x:v>
      </x:c>
      <x:c r="B164" s="6" t="str">
        <x:v>Synthetic biology and biomanufacturing</x:v>
      </x:c>
      <x:c r="C164" s="12" t="n">
        <x:v>2023</x:v>
      </x:c>
      <x:c r="D164" s="6" t="str">
        <x:v>No comparable annual shipment point is included for fiscal 2023.</x:v>
      </x:c>
      <x:c r="E164" s="6" t="str"/>
    </x:row>
    <x:row r="165" ht="15" hidden="0" customHeight="1">
      <x:c r="A165" s="12" t="n">
        <x:v>27</x:v>
      </x:c>
      <x:c r="B165" s="6" t="str">
        <x:v>Synthetic biology and biomanufacturing</x:v>
      </x:c>
      <x:c r="C165" s="12" t="n">
        <x:v>2024</x:v>
      </x:c>
      <x:c r="D165" s="6" t="str">
        <x:v>Twist reported approximately 772,000 genes shipped in fiscal 2024.</x:v>
      </x:c>
      <x:c r="E165" s="6" t="str">
        <x:v>https://www.sec.gov/Archives/edgar/data/1581280/000158128025000020/twst-20250930xex991.htm</x:v>
      </x:c>
    </x:row>
    <x:row r="166" ht="15" hidden="0" customHeight="1">
      <x:c r="A166" s="12" t="n">
        <x:v>27</x:v>
      </x:c>
      <x:c r="B166" s="6" t="str">
        <x:v>Synthetic biology and biomanufacturing</x:v>
      </x:c>
      <x:c r="C166" s="12" t="n">
        <x:v>2025</x:v>
      </x:c>
      <x:c r="D166" s="6" t="str">
        <x:v>Shipments reached approximately 938,000 genes in fiscal 2025.</x:v>
      </x:c>
      <x:c r="E166" s="6" t="str">
        <x:v>https://www.sec.gov/Archives/edgar/data/1581280/000158128025000020/twst-20250930xex991.htm</x:v>
      </x:c>
    </x:row>
    <x:row r="167" ht="24" hidden="0" customHeight="1">
      <x:c r="A167" s="12" t="n">
        <x:v>27</x:v>
      </x:c>
      <x:c r="B167" s="6" t="str">
        <x:v>Synthetic biology and biomanufacturing</x:v>
      </x:c>
      <x:c r="C167" s="12" t="n">
        <x:v>2026</x:v>
      </x:c>
      <x:c r="D167" s="6" t="str">
        <x:v>Asimov introduced a new engineered genome-integration tool for biotherapeutic production. The latest completed fiscal-year shipment measure retained here is 2025.</x:v>
      </x:c>
      <x:c r="E167" s="6" t="str">
        <x:v>https://www.asimov.com/news/asimov-launches-chrysalis-transposase-a-wholly-owned-genome-integration-tool-for-biotherapeutics-production
https://www.sec.gov/Archives/edgar/data/1581280/000158128025000020/twst-20250930xex991.htm</x:v>
      </x:c>
    </x:row>
    <x:row r="168" ht="15" hidden="0" customHeight="1">
      <x:c r="A168" s="12" t="n">
        <x:v>28</x:v>
      </x:c>
      <x:c r="B168" s="6" t="str">
        <x:v>Precision fermentation for food</x:v>
      </x:c>
      <x:c r="C168" s="12" t="n">
        <x:v>2021</x:v>
      </x:c>
      <x:c r="D168" s="6" t="str">
        <x:v>Earlier GFI reporting documented strong fermentation investment, but it is not joined to the later series because methods and category coverage must be reconciled.</x:v>
      </x:c>
      <x:c r="E168" s="6" t="str">
        <x:v>https://gfi.org/press/record-5-billion-invested-in-alt-proteins-in-2021/</x:v>
      </x:c>
    </x:row>
    <x:row r="169" ht="15" hidden="0" customHeight="1">
      <x:c r="A169" s="12" t="n">
        <x:v>28</x:v>
      </x:c>
      <x:c r="B169" s="6" t="str">
        <x:v>Precision fermentation for food</x:v>
      </x:c>
      <x:c r="C169" s="12" t="n">
        <x:v>2022</x:v>
      </x:c>
      <x:c r="D169" s="6" t="str">
        <x:v>No comparable production-tonnage measurement is included for 2022.</x:v>
      </x:c>
      <x:c r="E169" s="6" t="str"/>
    </x:row>
    <x:row r="170" ht="15" hidden="0" customHeight="1">
      <x:c r="A170" s="12" t="n">
        <x:v>28</x:v>
      </x:c>
      <x:c r="B170" s="6" t="str">
        <x:v>Precision fermentation for food</x:v>
      </x:c>
      <x:c r="C170" s="12" t="n">
        <x:v>2023</x:v>
      </x:c>
      <x:c r="D170" s="6" t="str">
        <x:v>No comparable production-tonnage measurement is included for 2023.</x:v>
      </x:c>
      <x:c r="E170" s="6" t="str"/>
    </x:row>
    <x:row r="171" ht="15" hidden="0" customHeight="1">
      <x:c r="A171" s="12" t="n">
        <x:v>28</x:v>
      </x:c>
      <x:c r="B171" s="6" t="str">
        <x:v>Precision fermentation for food</x:v>
      </x:c>
      <x:c r="C171" s="12" t="n">
        <x:v>2024</x:v>
      </x:c>
      <x:c r="D171" s="6" t="str">
        <x:v>The current GFI comparison records $632 million of fermentation alternative-protein investment in 2024.</x:v>
      </x:c>
      <x:c r="E171" s="6" t="str">
        <x:v>https://gfi.org/resource/fermentation-meat-seafood-eggs-dairy-and-ingredients-state-of-the-industry/</x:v>
      </x:c>
    </x:row>
    <x:row r="172" ht="15" hidden="0" customHeight="1">
      <x:c r="A172" s="12" t="n">
        <x:v>28</x:v>
      </x:c>
      <x:c r="B172" s="6" t="str">
        <x:v>Precision fermentation for food</x:v>
      </x:c>
      <x:c r="C172" s="12" t="n">
        <x:v>2025</x:v>
      </x:c>
      <x:c r="D172" s="6" t="str">
        <x:v>Investment fell to $357 million; company and product progress coexisted with funding constraints.</x:v>
      </x:c>
      <x:c r="E172" s="6" t="str">
        <x:v>https://gfi.org/resource/fermentation-meat-seafood-eggs-dairy-and-ingredients-state-of-the-industry/</x:v>
      </x:c>
    </x:row>
    <x:row r="173" ht="15" hidden="0" customHeight="1">
      <x:c r="A173" s="12" t="n">
        <x:v>28</x:v>
      </x:c>
      <x:c r="B173" s="6" t="str">
        <x:v>Precision fermentation for food</x:v>
      </x:c>
      <x:c r="C173" s="12" t="n">
        <x:v>2026</x:v>
      </x:c>
      <x:c r="D173" s="6" t="str">
        <x:v>The 2025 industry report published in 2026 is the latest completed-year evidence; no full-year 2026 funding estimate is invented.</x:v>
      </x:c>
      <x:c r="E173" s="6" t="str">
        <x:v>https://gfi.org/resource/fermentation-meat-seafood-eggs-dairy-and-ingredients-state-of-the-industry/</x:v>
      </x:c>
    </x:row>
    <x:row r="174" ht="15" hidden="0" customHeight="1">
      <x:c r="A174" s="12" t="n">
        <x:v>29</x:v>
      </x:c>
      <x:c r="B174" s="6" t="str">
        <x:v>Organoids and organ-on-chip testing</x:v>
      </x:c>
      <x:c r="C174" s="12" t="n">
        <x:v>2021</x:v>
      </x:c>
      <x:c r="D174" s="6" t="str">
        <x:v>Emulate launched Zoë-CM2 in November, supporting up to 12 Organ-Chips per instrument.</x:v>
      </x:c>
      <x:c r="E174" s="6" t="str">
        <x:v>https://emulatebio.com/press/emulate-introduce-new-zoe-culture-module/</x:v>
      </x:c>
    </x:row>
    <x:row r="175" ht="15" hidden="0" customHeight="1">
      <x:c r="A175" s="12" t="n">
        <x:v>29</x:v>
      </x:c>
      <x:c r="B175" s="6" t="str">
        <x:v>Organoids and organ-on-chip testing</x:v>
      </x:c>
      <x:c r="C175" s="12" t="n">
        <x:v>2022</x:v>
      </x:c>
      <x:c r="D175" s="6" t="str">
        <x:v>No comparable 2022 installed-base figure is included; model validation remained a key development task.</x:v>
      </x:c>
      <x:c r="E175" s="6" t="str"/>
    </x:row>
    <x:row r="176" ht="15" hidden="0" customHeight="1">
      <x:c r="A176" s="12" t="n">
        <x:v>29</x:v>
      </x:c>
      <x:c r="B176" s="6" t="str">
        <x:v>Organoids and organ-on-chip testing</x:v>
      </x:c>
      <x:c r="C176" s="12" t="n">
        <x:v>2023</x:v>
      </x:c>
      <x:c r="D176" s="6" t="str">
        <x:v>A December award announcement described more than 430 Emulate instruments placed globally; this is a separate installed-base indicator.</x:v>
      </x:c>
      <x:c r="E176" s="6" t="str">
        <x:v>https://emulatebio.com/press/emulate-earns-frost-sullivans-2023-technology-innovation-leadership-award/</x:v>
      </x:c>
    </x:row>
    <x:row r="177" ht="15" hidden="0" customHeight="1">
      <x:c r="A177" s="12" t="n">
        <x:v>29</x:v>
      </x:c>
      <x:c r="B177" s="6" t="str">
        <x:v>Organoids and organ-on-chip testing</x:v>
      </x:c>
      <x:c r="C177" s="12" t="n">
        <x:v>2024</x:v>
      </x:c>
      <x:c r="D177" s="6" t="str">
        <x:v>No comparable 2024 instrument-capacity or installed-base measurement is included; the gap remains visible.</x:v>
      </x:c>
      <x:c r="E177" s="6" t="str"/>
    </x:row>
    <x:row r="178" ht="24" hidden="0" customHeight="1">
      <x:c r="A178" s="12" t="n">
        <x:v>29</x:v>
      </x:c>
      <x:c r="B178" s="6" t="str">
        <x:v>Organoids and organ-on-chip testing</x:v>
      </x:c>
      <x:c r="C178" s="12" t="n">
        <x:v>2025</x:v>
      </x:c>
      <x:c r="D178" s="6" t="str">
        <x:v>Emulate launched AVA with capacity for up to 96 independent samples per run. FDA announced a roadmap to advance validated alternatives to animal testing.</x:v>
      </x:c>
      <x:c r="E178" s="6" t="str">
        <x:v>https://emulatebio.com/press/emulate-launches-ava-emulation-system-to-accelerate-drug-development-with-first-of-its-kind-high-throughput-organ-chip-platform/
https://www.fda.gov/news-events/press-announcements/fda-announces-plan-phase-out-animal-testing-requirement-monoclonal-antibodies-and-other-drugs</x:v>
      </x:c>
    </x:row>
    <x:row r="179" ht="15" hidden="0" customHeight="1">
      <x:c r="A179" s="12" t="n">
        <x:v>29</x:v>
      </x:c>
      <x:c r="B179" s="6" t="str">
        <x:v>Organoids and organ-on-chip testing</x:v>
      </x:c>
      <x:c r="C179" s="12" t="n">
        <x:v>2026</x:v>
      </x:c>
      <x:c r="D179" s="6" t="str">
        <x:v>FDA released draft guidance on validating alternatives in drug development in March; draft guidance is not blanket acceptance of every model.</x:v>
      </x:c>
      <x:c r="E179" s="6" t="str">
        <x:v>https://www.fda.gov/news-events/press-announcements/fda-releases-draft-guidance-alternatives-animal-testing-drug-development</x:v>
      </x:c>
    </x:row>
    <x:row r="180" ht="15" hidden="0" customHeight="1">
      <x:c r="A180" s="12" t="n">
        <x:v>30</x:v>
      </x:c>
      <x:c r="B180" s="6" t="str">
        <x:v>Autonomous agriculture and precision farming</x:v>
      </x:c>
      <x:c r="C180" s="12" t="n">
        <x:v>2021</x:v>
      </x:c>
      <x:c r="D180" s="6" t="str">
        <x:v>No comparable 2021 treated-acre measure is included.</x:v>
      </x:c>
      <x:c r="E180" s="6" t="str"/>
    </x:row>
    <x:row r="181" ht="15" hidden="0" customHeight="1">
      <x:c r="A181" s="12" t="n">
        <x:v>30</x:v>
      </x:c>
      <x:c r="B181" s="6" t="str">
        <x:v>Autonomous agriculture and precision farming</x:v>
      </x:c>
      <x:c r="C181" s="12" t="n">
        <x:v>2022</x:v>
      </x:c>
      <x:c r="D181" s="6" t="str">
        <x:v>No comparable 2022 treated-acre measure is included.</x:v>
      </x:c>
      <x:c r="E181" s="6" t="str"/>
    </x:row>
    <x:row r="182" ht="15" hidden="0" customHeight="1">
      <x:c r="A182" s="12" t="n">
        <x:v>30</x:v>
      </x:c>
      <x:c r="B182" s="6" t="str">
        <x:v>Autonomous agriculture and precision farming</x:v>
      </x:c>
      <x:c r="C182" s="12" t="n">
        <x:v>2023</x:v>
      </x:c>
      <x:c r="D182" s="6" t="str">
        <x:v>No comparable 2023 treated-acre measure is included.</x:v>
      </x:c>
      <x:c r="E182" s="6" t="str"/>
    </x:row>
    <x:row r="183" ht="15" hidden="0" customHeight="1">
      <x:c r="A183" s="12" t="n">
        <x:v>30</x:v>
      </x:c>
      <x:c r="B183" s="6" t="str">
        <x:v>Autonomous agriculture and precision farming</x:v>
      </x:c>
      <x:c r="C183" s="12" t="n">
        <x:v>2024</x:v>
      </x:c>
      <x:c r="D183" s="6" t="str">
        <x:v>John Deere reported See &amp; Spray use across more than one million acres.</x:v>
      </x:c>
      <x:c r="E183" s="6" t="str">
        <x:v>https://www.deere.ca/en/news/all-news/see-spray-herbicide-savings/</x:v>
      </x:c>
    </x:row>
    <x:row r="184" ht="15" hidden="0" customHeight="1">
      <x:c r="A184" s="12" t="n">
        <x:v>30</x:v>
      </x:c>
      <x:c r="B184" s="6" t="str">
        <x:v>Autonomous agriculture and precision farming</x:v>
      </x:c>
      <x:c r="C184" s="12" t="n">
        <x:v>2025</x:v>
      </x:c>
      <x:c r="D184" s="6" t="str">
        <x:v>The company reported more than five million acres treated across the US and Canada.</x:v>
      </x:c>
      <x:c r="E184" s="6" t="str">
        <x:v>https://www.deere.ca/en/news/all-news/see-spray-technology-across-5-million-acres/</x:v>
      </x:c>
    </x:row>
    <x:row r="185" ht="15" hidden="0" customHeight="1">
      <x:c r="A185" s="12" t="n">
        <x:v>30</x:v>
      </x:c>
      <x:c r="B185" s="6" t="str">
        <x:v>Autonomous agriculture and precision farming</x:v>
      </x:c>
      <x:c r="C185" s="12" t="n">
        <x:v>2026</x:v>
      </x:c>
      <x:c r="D185" s="6" t="str">
        <x:v>Current product material describes See &amp; Spray Gen 2 on new model-year 2027 machines; this is an announced product configuration, not 2026 installed acreage.</x:v>
      </x:c>
      <x:c r="E185" s="6" t="str">
        <x:v>https://www.deere.ca/en/sprayers/see-spray-gen-2/</x:v>
      </x:c>
    </x:row>
    <x:row r="186" ht="15" hidden="0" customHeight="1">
      <x:c r="A186" s="12" t="n">
        <x:v>31</x:v>
      </x:c>
      <x:c r="B186" s="6" t="str">
        <x:v>Perovskite-silicon tandem solar</x:v>
      </x:c>
      <x:c r="C186" s="12" t="n">
        <x:v>2021</x:v>
      </x:c>
      <x:c r="D186" s="6" t="str">
        <x:v>HZB announced a certified 29.80% tandem-cell efficiency record.</x:v>
      </x:c>
      <x:c r="E186" s="6" t="str">
        <x:v>https://www.helmholtz-berlin.de/pubbin/news_seite?nid=23248&amp;sprache=en</x:v>
      </x:c>
    </x:row>
    <x:row r="187" ht="15" hidden="0" customHeight="1">
      <x:c r="A187" s="12" t="n">
        <x:v>31</x:v>
      </x:c>
      <x:c r="B187" s="6" t="str">
        <x:v>Perovskite-silicon tandem solar</x:v>
      </x:c>
      <x:c r="C187" s="12" t="n">
        <x:v>2022</x:v>
      </x:c>
      <x:c r="D187" s="6" t="str">
        <x:v>No comparable 2022 observation is included in this selected-record series.</x:v>
      </x:c>
      <x:c r="E187" s="6" t="str"/>
    </x:row>
    <x:row r="188" ht="15" hidden="0" customHeight="1">
      <x:c r="A188" s="12" t="n">
        <x:v>31</x:v>
      </x:c>
      <x:c r="B188" s="6" t="str">
        <x:v>Perovskite-silicon tandem solar</x:v>
      </x:c>
      <x:c r="C188" s="12" t="n">
        <x:v>2023</x:v>
      </x:c>
      <x:c r="D188" s="6" t="str">
        <x:v>LONGi’s retrospective record history identifies 33.9% in November 2023.</x:v>
      </x:c>
      <x:c r="E188" s="6" t="str">
        <x:v>https://www.longi.com/en/news/crystalline-silicon-perovskite-tandem-solar-cell-new-world-efficiency-2026/</x:v>
      </x:c>
    </x:row>
    <x:row r="189" ht="24" hidden="0" customHeight="1">
      <x:c r="A189" s="12" t="n">
        <x:v>31</x:v>
      </x:c>
      <x:c r="B189" s="6" t="str">
        <x:v>Perovskite-silicon tandem solar</x:v>
      </x:c>
      <x:c r="C189" s="12" t="n">
        <x:v>2024</x:v>
      </x:c>
      <x:c r="D189" s="6" t="str">
        <x:v>LONGi reached 34.6%; Oxford PV announced its first commercial shipment in September.</x:v>
      </x:c>
      <x:c r="E189" s="6" t="str">
        <x:v>https://www.longi.com/en/news/crystalline-silicon-perovskite-tandem-solar-cell-new-world-efficiency-2026/
https://www.oxfordpv.com/press-releases/oxford-pv-solar-technology-patent</x:v>
      </x:c>
    </x:row>
    <x:row r="190" ht="15" hidden="0" customHeight="1">
      <x:c r="A190" s="12" t="n">
        <x:v>31</x:v>
      </x:c>
      <x:c r="B190" s="6" t="str">
        <x:v>Perovskite-silicon tandem solar</x:v>
      </x:c>
      <x:c r="C190" s="12" t="n">
        <x:v>2025</x:v>
      </x:c>
      <x:c r="D190" s="6" t="str">
        <x:v>LONGi announced a 34.85% certified research-cell result in April.</x:v>
      </x:c>
      <x:c r="E190" s="6" t="str">
        <x:v>https://www.longi.com/au/news/silicon-perovskite-tandem-solar-cells-new-world-efficiency/</x:v>
      </x:c>
    </x:row>
    <x:row r="191" ht="24" hidden="0" customHeight="1">
      <x:c r="A191" s="12" t="n">
        <x:v>31</x:v>
      </x:c>
      <x:c r="B191" s="6" t="str">
        <x:v>Perovskite-silicon tandem solar</x:v>
      </x:c>
      <x:c r="C191" s="12" t="n">
        <x:v>2026</x:v>
      </x:c>
      <x:c r="D191" s="6" t="str">
        <x:v>LONGi reported 35.5% certification in July. Oxford PV’s volume-manufacturing expectations remain a forward company plan.</x:v>
      </x:c>
      <x:c r="E191" s="6" t="str">
        <x:v>https://www.longi.com/en/news/crystalline-silicon-perovskite-tandem-solar-cell-new-world-efficiency-2026/
https://www.oxfordpv.com/mainstream</x:v>
      </x:c>
    </x:row>
    <x:row r="192" ht="15" hidden="0" customHeight="1">
      <x:c r="A192" s="12" t="n">
        <x:v>32</x:v>
      </x:c>
      <x:c r="B192" s="6" t="str">
        <x:v>Long-duration energy storage</x:v>
      </x:c>
      <x:c r="C192" s="12" t="n">
        <x:v>2021</x:v>
      </x:c>
      <x:c r="D192" s="6" t="str">
        <x:v>US Department of Energy launched its Storage Shot cost-reduction goal for long-duration storage; a goal is not an achieved cost reduction.</x:v>
      </x:c>
      <x:c r="E192" s="6" t="str">
        <x:v>https://www.energy.gov/articles/secretary-granholm-announces-new-goal-cut-costs-long-duration-energy-storage-90-percent</x:v>
      </x:c>
    </x:row>
    <x:row r="193" ht="15" hidden="0" customHeight="1">
      <x:c r="A193" s="12" t="n">
        <x:v>32</x:v>
      </x:c>
      <x:c r="B193" s="6" t="str">
        <x:v>Long-duration energy storage</x:v>
      </x:c>
      <x:c r="C193" s="12" t="n">
        <x:v>2022</x:v>
      </x:c>
      <x:c r="D193" s="6" t="str">
        <x:v>No comparable 2022 deployment point is included.</x:v>
      </x:c>
      <x:c r="E193" s="6" t="str"/>
    </x:row>
    <x:row r="194" ht="15" hidden="0" customHeight="1">
      <x:c r="A194" s="12" t="n">
        <x:v>32</x:v>
      </x:c>
      <x:c r="B194" s="6" t="str">
        <x:v>Long-duration energy storage</x:v>
      </x:c>
      <x:c r="C194" s="12" t="n">
        <x:v>2023</x:v>
      </x:c>
      <x:c r="D194" s="6" t="str">
        <x:v>No comparable 2023 deployment point is included.</x:v>
      </x:c>
      <x:c r="E194" s="6" t="str"/>
    </x:row>
    <x:row r="195" ht="15" hidden="0" customHeight="1">
      <x:c r="A195" s="12" t="n">
        <x:v>32</x:v>
      </x:c>
      <x:c r="B195" s="6" t="str">
        <x:v>Long-duration energy storage</x:v>
      </x:c>
      <x:c r="C195" s="12" t="n">
        <x:v>2024</x:v>
      </x:c>
      <x:c r="D195" s="6" t="str">
        <x:v>The approximate 2024 baseline is back-calculated from the subsequently reported growth rate; it should not be presented as exact measured GWh.</x:v>
      </x:c>
      <x:c r="E195" s="6" t="str">
        <x:v>https://www.woodmac.com/press-releases/ldes-2025-outlook/</x:v>
      </x:c>
    </x:row>
    <x:row r="196" ht="15" hidden="0" customHeight="1">
      <x:c r="A196" s="12" t="n">
        <x:v>32</x:v>
      </x:c>
      <x:c r="B196" s="6" t="str">
        <x:v>Long-duration energy storage</x:v>
      </x:c>
      <x:c r="C196" s="12" t="n">
        <x:v>2025</x:v>
      </x:c>
      <x:c r="D196" s="6" t="str">
        <x:v>Wood Mackenzie reports more than 15 GWh of installations across the relevant technology families, up 49%.</x:v>
      </x:c>
      <x:c r="E196" s="6" t="str">
        <x:v>https://www.woodmac.com/press-releases/ldes-2025-outlook/</x:v>
      </x:c>
    </x:row>
    <x:row r="197" ht="24" hidden="0" customHeight="1">
      <x:c r="A197" s="12" t="n">
        <x:v>32</x:v>
      </x:c>
      <x:c r="B197" s="6" t="str">
        <x:v>Long-duration energy storage</x:v>
      </x:c>
      <x:c r="C197" s="12" t="n">
        <x:v>2026</x:v>
      </x:c>
      <x:c r="D197" s="6" t="str">
        <x:v>The March 2026 report also describes funding constraints; this is a completed-2025 deployment figure, not a 2026 annual estimate.</x:v>
      </x:c>
      <x:c r="E197" s="6" t="str">
        <x:v>https://www.woodmac.com/press-releases/ldes-2025-outlook/
https://www.energy.ca.gov/programs-and-topics/programs/long-duration-energy-storage-program</x:v>
      </x:c>
    </x:row>
    <x:row r="198" ht="15" hidden="0" customHeight="1">
      <x:c r="A198" s="12" t="n">
        <x:v>33</x:v>
      </x:c>
      <x:c r="B198" s="6" t="str">
        <x:v>Sodium-ion batteries</x:v>
      </x:c>
      <x:c r="C198" s="12" t="n">
        <x:v>2021</x:v>
      </x:c>
      <x:c r="D198" s="6" t="str">
        <x:v>CATL’s first-generation sodium-ion announcement reported up to 160 Wh/kg.</x:v>
      </x:c>
      <x:c r="E198" s="6" t="str">
        <x:v>https://www.catl.com/es/uploads/1/file/public/202304/20230423150316_scwl3op487.pdf</x:v>
      </x:c>
    </x:row>
    <x:row r="199" ht="15" hidden="0" customHeight="1">
      <x:c r="A199" s="12" t="n">
        <x:v>33</x:v>
      </x:c>
      <x:c r="B199" s="6" t="str">
        <x:v>Sodium-ion batteries</x:v>
      </x:c>
      <x:c r="C199" s="12" t="n">
        <x:v>2022</x:v>
      </x:c>
      <x:c r="D199" s="6" t="str">
        <x:v>No comparable commercial shipment measurement is included for 2022.</x:v>
      </x:c>
      <x:c r="E199" s="6" t="str"/>
    </x:row>
    <x:row r="200" ht="15" hidden="0" customHeight="1">
      <x:c r="A200" s="12" t="n">
        <x:v>33</x:v>
      </x:c>
      <x:c r="B200" s="6" t="str">
        <x:v>Sodium-ion batteries</x:v>
      </x:c>
      <x:c r="C200" s="12" t="n">
        <x:v>2023</x:v>
      </x:c>
      <x:c r="D200" s="6" t="str">
        <x:v>No comparable annual shipment measurement is included for 2023.</x:v>
      </x:c>
      <x:c r="E200" s="6" t="str"/>
    </x:row>
    <x:row r="201" ht="15" hidden="0" customHeight="1">
      <x:c r="A201" s="12" t="n">
        <x:v>33</x:v>
      </x:c>
      <x:c r="B201" s="6" t="str">
        <x:v>Sodium-ion batteries</x:v>
      </x:c>
      <x:c r="C201" s="12" t="n">
        <x:v>2024</x:v>
      </x:c>
      <x:c r="D201" s="6" t="str">
        <x:v>No comparable annual shipment measurement is included for 2024; no production total is inferred from product demonstrations.</x:v>
      </x:c>
      <x:c r="E201" s="6" t="str"/>
    </x:row>
    <x:row r="202" ht="15" hidden="0" customHeight="1">
      <x:c r="A202" s="12" t="n">
        <x:v>33</x:v>
      </x:c>
      <x:c r="B202" s="6" t="str">
        <x:v>Sodium-ion batteries</x:v>
      </x:c>
      <x:c r="C202" s="12" t="n">
        <x:v>2025</x:v>
      </x:c>
      <x:c r="D202" s="6" t="str">
        <x:v>CATL launched Naxtra with a stated 175 Wh/kg cell specification.</x:v>
      </x:c>
      <x:c r="E202" s="6" t="str">
        <x:v>https://www.catl.com/en/news/6401.html</x:v>
      </x:c>
    </x:row>
    <x:row r="203" ht="36" hidden="0" customHeight="1">
      <x:c r="A203" s="12" t="n">
        <x:v>33</x:v>
      </x:c>
      <x:c r="B203" s="6" t="str">
        <x:v>Sodium-ion batteries</x:v>
      </x:c>
      <x:c r="C203" s="12" t="n">
        <x:v>2026</x:v>
      </x:c>
      <x:c r="D203" s="6" t="str">
        <x:v>CATL and Changan unveiled a sodium-ion passenger vehicle in February. CATL later announced a 60 GWh three-year storage supply agreement and a 1 GWh end-2026 shipment target; neither is an observed annual shipment total.</x:v>
      </x:c>
      <x:c r="E203" s="6" t="str">
        <x:v>https://www.catl.com/en/news/6720.html
https://www.catl.com/en/news/6812.html
https://www.catl.com/en/news/6861.html</x:v>
      </x:c>
    </x:row>
    <x:row r="204" ht="15" hidden="0" customHeight="1">
      <x:c r="A204" s="12" t="n">
        <x:v>34</x:v>
      </x:c>
      <x:c r="B204" s="6" t="str">
        <x:v>Advanced geothermal</x:v>
      </x:c>
      <x:c r="C204" s="12" t="n">
        <x:v>2021</x:v>
      </x:c>
      <x:c r="D204" s="6" t="str">
        <x:v>No comparable annual next-generation deployment measurement was identified; early development predates the commercial milestones below.</x:v>
      </x:c>
      <x:c r="E204" s="6" t="str"/>
    </x:row>
    <x:row r="205" ht="15" hidden="0" customHeight="1">
      <x:c r="A205" s="12" t="n">
        <x:v>34</x:v>
      </x:c>
      <x:c r="B205" s="6" t="str">
        <x:v>Advanced geothermal</x:v>
      </x:c>
      <x:c r="C205" s="12" t="n">
        <x:v>2022</x:v>
      </x:c>
      <x:c r="D205" s="6" t="str">
        <x:v>Fervo drilled the first Project Red horizontal well; it is the baseline for its later drilling-time comparison.</x:v>
      </x:c>
      <x:c r="E205" s="6" t="str">
        <x:v>https://fervoenergy.com/fervo-energy-drilling-results-show-rapid-advancement-of-geothermal-performance/</x:v>
      </x:c>
    </x:row>
    <x:row r="206" ht="15" hidden="0" customHeight="1">
      <x:c r="A206" s="12" t="n">
        <x:v>34</x:v>
      </x:c>
      <x:c r="B206" s="6" t="str">
        <x:v>Advanced geothermal</x:v>
      </x:c>
      <x:c r="C206" s="12" t="n">
        <x:v>2023</x:v>
      </x:c>
      <x:c r="D206" s="6" t="str">
        <x:v>Project Red provided the development platform for the subsequent Cape Station well design; a harmonised global deployment series remains unavailable.</x:v>
      </x:c>
      <x:c r="E206" s="6" t="str">
        <x:v>https://fervoenergy.com/fervo-energy-drilling-results-show-rapid-advancement-of-geothermal-performance/</x:v>
      </x:c>
    </x:row>
    <x:row r="207" ht="15" hidden="0" customHeight="1">
      <x:c r="A207" s="12" t="n">
        <x:v>34</x:v>
      </x:c>
      <x:c r="B207" s="6" t="str">
        <x:v>Advanced geothermal</x:v>
      </x:c>
      <x:c r="C207" s="12" t="n">
        <x:v>2024</x:v>
      </x:c>
      <x:c r="D207" s="6" t="str">
        <x:v>Fervo reported its fastest Cape Station well at 21 days, 70% below the 2022 Project Red drilling benchmark.</x:v>
      </x:c>
      <x:c r="E207" s="6" t="str">
        <x:v>https://fervoenergy.com/fervo-energy-drilling-results-show-rapid-advancement-of-geothermal-performance/</x:v>
      </x:c>
    </x:row>
    <x:row r="208" ht="15" hidden="0" customHeight="1">
      <x:c r="A208" s="12" t="n">
        <x:v>34</x:v>
      </x:c>
      <x:c r="B208" s="6" t="str">
        <x:v>Advanced geothermal</x:v>
      </x:c>
      <x:c r="C208" s="12" t="n">
        <x:v>2025</x:v>
      </x:c>
      <x:c r="D208" s="6" t="str">
        <x:v>Eavor reported first electricity to the German grid from its Geretsried closed-loop project on 4 December.</x:v>
      </x:c>
      <x:c r="E208" s="6" t="str">
        <x:v>https://eavor.com/press-releases/eavor-technologies-achieves-first-electricity-production-at-geretsried-site/</x:v>
      </x:c>
    </x:row>
    <x:row r="209" ht="15" hidden="0" customHeight="1">
      <x:c r="A209" s="12" t="n">
        <x:v>34</x:v>
      </x:c>
      <x:c r="B209" s="6" t="str">
        <x:v>Advanced geothermal</x:v>
      </x:c>
      <x:c r="C209" s="12" t="n">
        <x:v>2026</x:v>
      </x:c>
      <x:c r="D209" s="6" t="str">
        <x:v>Fervo reported 33 MW net output and contractual commercial operation for Cape Station’s first GeoBlock on 1 October; the other two initial blocks were still commissioning.</x:v>
      </x:c>
      <x:c r="E209" s="6" t="str">
        <x:v>https://ir.fervoenergy.com/news-releases/news-release-details/fervo-energy-declares-commercial-operation-cape-station-ahead</x:v>
      </x:c>
    </x:row>
    <x:row r="210" ht="15" hidden="0" customHeight="1">
      <x:c r="A210" s="12" t="n">
        <x:v>35</x:v>
      </x:c>
      <x:c r="B210" s="6" t="str">
        <x:v>Small modular nuclear reactors</x:v>
      </x:c>
      <x:c r="C210" s="12" t="n">
        <x:v>2021</x:v>
      </x:c>
      <x:c r="D210" s="6" t="str">
        <x:v>No harmonised annual SMR deployment series was identified in the selected dashboard sources; design development was pre-serial-commercialisation.</x:v>
      </x:c>
      <x:c r="E210" s="6" t="str"/>
    </x:row>
    <x:row r="211" ht="15" hidden="0" customHeight="1">
      <x:c r="A211" s="12" t="n">
        <x:v>35</x:v>
      </x:c>
      <x:c r="B211" s="6" t="str">
        <x:v>Small modular nuclear reactors</x:v>
      </x:c>
      <x:c r="C211" s="12" t="n">
        <x:v>2022</x:v>
      </x:c>
      <x:c r="D211" s="6" t="str">
        <x:v>Early technology and licensing work cannot be equated with routine factory production; no comparable annual deployment value retained.</x:v>
      </x:c>
      <x:c r="E211" s="6" t="str"/>
    </x:row>
    <x:row r="212" ht="15" hidden="0" customHeight="1">
      <x:c r="A212" s="12" t="n">
        <x:v>35</x:v>
      </x:c>
      <x:c r="B212" s="6" t="str">
        <x:v>Small modular nuclear reactors</x:v>
      </x:c>
      <x:c r="C212" s="12" t="n">
        <x:v>2023</x:v>
      </x:c>
      <x:c r="D212" s="6" t="str">
        <x:v>The first two NEA dashboard volumes assessed 42 designs against technology and commercial-readiness dimensions.</x:v>
      </x:c>
      <x:c r="E212" s="6" t="str">
        <x:v>https://www.oecd-nea.org/jcms/pl_73678/nea-small-modular-reactor-smr-dashboard</x:v>
      </x:c>
    </x:row>
    <x:row r="213" ht="15" hidden="0" customHeight="1">
      <x:c r="A213" s="12" t="n">
        <x:v>35</x:v>
      </x:c>
      <x:c r="B213" s="6" t="str">
        <x:v>Small modular nuclear reactors</x:v>
      </x:c>
      <x:c r="C213" s="12" t="n">
        <x:v>2024</x:v>
      </x:c>
      <x:c r="D213" s="6" t="str">
        <x:v>The second edition expanded to 56 assessed designs.</x:v>
      </x:c>
      <x:c r="E213" s="6" t="str">
        <x:v>https://www.oecd-nea.org/jcms/pl_73678/nea-small-modular-reactor-smr-dashboard</x:v>
      </x:c>
    </x:row>
    <x:row r="214" ht="24" hidden="0" customHeight="1">
      <x:c r="A214" s="12" t="n">
        <x:v>35</x:v>
      </x:c>
      <x:c r="B214" s="6" t="str">
        <x:v>Small modular nuclear reactors</x:v>
      </x:c>
      <x:c r="C214" s="12" t="n">
        <x:v>2025</x:v>
      </x:c>
      <x:c r="D214" s="6" t="str">
        <x:v>The third edition assessed 74 designs; seven were operating or under construction, a combined category.</x:v>
      </x:c>
      <x:c r="E214" s="6" t="str">
        <x:v>https://www.oecd-nea.org/jcms/pl_73678/nea-small-modular-reactor-smr-dashboard
https://cms.oecd-nea.org/jcms/pl_108268/new-nea-small-modular-reactor-dashboard-edition-reveals-global-expansion-of-smr-deployment</x:v>
      </x:c>
    </x:row>
    <x:row r="215" ht="24" hidden="0" customHeight="1">
      <x:c r="A215" s="12" t="n">
        <x:v>35</x:v>
      </x:c>
      <x:c r="B215" s="6" t="str">
        <x:v>Small modular nuclear reactors</x:v>
      </x:c>
      <x:c r="C215" s="12" t="n">
        <x:v>2026</x:v>
      </x:c>
      <x:c r="D215" s="6" t="str">
        <x:v>NEA launched digital dashboard edition 4.0 on 28 September; the digital platform reported 79 assessed designs. This is a readiness update, not 79 operating reactors.</x:v>
      </x:c>
      <x:c r="E215" s="6" t="str">
        <x:v>https://oecd-nea.org/jcms/pl_122015/release-of-the-nea-small-modular-reactor-digital-dashboard-fourth-edition
https://cms.oecd-nea.org/jcms/pl_107879/nea-small-modular-reactor-digital-dashboard</x:v>
      </x:c>
    </x:row>
    <x:row r="216" ht="15" hidden="0" customHeight="1">
      <x:c r="A216" s="12" t="n">
        <x:v>36</x:v>
      </x:c>
      <x:c r="B216" s="6" t="str">
        <x:v>High-temperature and industrial heat pumps</x:v>
      </x:c>
      <x:c r="C216" s="12" t="n">
        <x:v>2021</x:v>
      </x:c>
      <x:c r="D216" s="6" t="str">
        <x:v>The IEA HPT Annex 58 programme began its 2021–2023 high-temperature heat-pump work; deployment statistics remained fragmented.</x:v>
      </x:c>
      <x:c r="E216" s="6" t="str">
        <x:v>https://heatpumpingtechnologies.org/project58/</x:v>
      </x:c>
    </x:row>
    <x:row r="217" ht="15" hidden="0" customHeight="1">
      <x:c r="A217" s="12" t="n">
        <x:v>36</x:v>
      </x:c>
      <x:c r="B217" s="6" t="str">
        <x:v>High-temperature and industrial heat pumps</x:v>
      </x:c>
      <x:c r="C217" s="12" t="n">
        <x:v>2022</x:v>
      </x:c>
      <x:c r="D217" s="6" t="str">
        <x:v>IEA HPT’s synthesis describes demonstration of equipment reaching around 120°C during this period.</x:v>
      </x:c>
      <x:c r="E217" s="6" t="str">
        <x:v>https://heatpumpingtechnologies.org/articles/heat-pumps-step-up-what-the-ieas-heat-pump-monitor-2026-means-for-heating-industry-and-energy-security/</x:v>
      </x:c>
    </x:row>
    <x:row r="218" ht="15" hidden="0" customHeight="1">
      <x:c r="A218" s="12" t="n">
        <x:v>36</x:v>
      </x:c>
      <x:c r="B218" s="6" t="str">
        <x:v>High-temperature and industrial heat pumps</x:v>
      </x:c>
      <x:c r="C218" s="12" t="n">
        <x:v>2023</x:v>
      </x:c>
      <x:c r="D218" s="6" t="str">
        <x:v>Annex 58 published its technology review in September, consolidating available products and development work.</x:v>
      </x:c>
      <x:c r="E218" s="6" t="str">
        <x:v>https://heatpumpingtechnologies.org/project58/</x:v>
      </x:c>
    </x:row>
    <x:row r="219" ht="15" hidden="0" customHeight="1">
      <x:c r="A219" s="12" t="n">
        <x:v>36</x:v>
      </x:c>
      <x:c r="B219" s="6" t="str">
        <x:v>High-temperature and industrial heat pumps</x:v>
      </x:c>
      <x:c r="C219" s="12" t="n">
        <x:v>2024</x:v>
      </x:c>
      <x:c r="D219" s="6" t="str">
        <x:v>Japan’s industrial heat-pump capacity reached nearly 650 MW, still about 1% of light-industry heat demand.</x:v>
      </x:c>
      <x:c r="E219" s="6" t="str">
        <x:v>https://www.iea.org/reports/heat-pump-monitor-2026/key-findings</x:v>
      </x:c>
    </x:row>
    <x:row r="220" ht="15" hidden="0" customHeight="1">
      <x:c r="A220" s="12" t="n">
        <x:v>36</x:v>
      </x:c>
      <x:c r="B220" s="6" t="str">
        <x:v>High-temperature and industrial heat pumps</x:v>
      </x:c>
      <x:c r="C220" s="12" t="n">
        <x:v>2025</x:v>
      </x:c>
      <x:c r="D220" s="6" t="str">
        <x:v>EHPA’s industrial programme highlighted operating use in food, paper, chemicals and other industries; this is sector evidence, not a global installation census.</x:v>
      </x:c>
      <x:c r="E220" s="6" t="str">
        <x:v>https://ehpa.org/news-and-resources/publications/annual-report-2025-the-industrial-sleeping-giant/</x:v>
      </x:c>
    </x:row>
    <x:row r="221" ht="15" hidden="0" customHeight="1">
      <x:c r="A221" s="12" t="n">
        <x:v>36</x:v>
      </x:c>
      <x:c r="B221" s="6" t="str">
        <x:v>High-temperature and industrial heat pumps</x:v>
      </x:c>
      <x:c r="C221" s="12" t="n">
        <x:v>2026</x:v>
      </x:c>
      <x:c r="D221" s="6" t="str">
        <x:v>IEA’s first Heat Pump Monitor identified early commercial operation below 160°C and major policy-dependent differences in the 2035 outlook.</x:v>
      </x:c>
      <x:c r="E221" s="6" t="str">
        <x:v>https://www.iea.org/reports/heat-pump-monitor-2026/key-findings</x:v>
      </x:c>
    </x:row>
    <x:row r="222" ht="15" hidden="0" customHeight="1">
      <x:c r="A222" s="12" t="n">
        <x:v>37</x:v>
      </x:c>
      <x:c r="B222" s="6" t="str">
        <x:v>Virtual power plants and demand flexibility</x:v>
      </x:c>
      <x:c r="C222" s="12" t="n">
        <x:v>2021</x:v>
      </x:c>
      <x:c r="D222" s="6" t="str">
        <x:v>Commercial demand response pre-dates this window; no consistent whole-market annual VPP value was retained for 2021.</x:v>
      </x:c>
      <x:c r="E222" s="6" t="str">
        <x:v>https://www.energy.gov/edf/virtual-power-plants-projects</x:v>
      </x:c>
    </x:row>
    <x:row r="223" ht="15" hidden="0" customHeight="1">
      <x:c r="A223" s="12" t="n">
        <x:v>37</x:v>
      </x:c>
      <x:c r="B223" s="6" t="str">
        <x:v>Virtual power plants and demand flexibility</x:v>
      </x:c>
      <x:c r="C223" s="12" t="n">
        <x:v>2022</x:v>
      </x:c>
      <x:c r="D223" s="6" t="str">
        <x:v>DER aggregation continued through existing programmes; no comparable annual measurement is available in the selected study series.</x:v>
      </x:c>
      <x:c r="E223" s="6" t="str"/>
    </x:row>
    <x:row r="224" ht="15" hidden="0" customHeight="1">
      <x:c r="A224" s="12" t="n">
        <x:v>37</x:v>
      </x:c>
      <x:c r="B224" s="6" t="str">
        <x:v>Virtual power plants and demand flexibility</x:v>
      </x:c>
      <x:c r="C224" s="12" t="n">
        <x:v>2023</x:v>
      </x:c>
      <x:c r="D224" s="6" t="str">
        <x:v>DOE’s VPP liftoff work described an existing 30–60 GW US base and a possible 80–160 GW 2030 pathway, using a broader definition than Wood Mackenzie.</x:v>
      </x:c>
      <x:c r="E224" s="6" t="str">
        <x:v>https://www.energy.gov/edf/virtual-power-plants-projects</x:v>
      </x:c>
    </x:row>
    <x:row r="225" ht="15" hidden="0" customHeight="1">
      <x:c r="A225" s="12" t="n">
        <x:v>37</x:v>
      </x:c>
      <x:c r="B225" s="6" t="str">
        <x:v>Virtual power plants and demand flexibility</x:v>
      </x:c>
      <x:c r="C225" s="12" t="n">
        <x:v>2024</x:v>
      </x:c>
      <x:c r="D225" s="6" t="str">
        <x:v>Residential devices supplied 8.8% of the wholesale-market VPP capacity in Wood Mackenzie’s comparison.</x:v>
      </x:c>
      <x:c r="E225" s="6" t="str">
        <x:v>https://www.woodmac.com/press-releases/virtual-power-plant-capacity-expands-13.7-year-over-year-to-reach-37.5-gw</x:v>
      </x:c>
    </x:row>
    <x:row r="226" ht="15" hidden="0" customHeight="1">
      <x:c r="A226" s="12" t="n">
        <x:v>37</x:v>
      </x:c>
      <x:c r="B226" s="6" t="str">
        <x:v>Virtual power plants and demand flexibility</x:v>
      </x:c>
      <x:c r="C226" s="12" t="n">
        <x:v>2025</x:v>
      </x:c>
      <x:c r="D226" s="6" t="str">
        <x:v>Wood Mackenzie reported 37.5 GW flexible capacity, 13.7% growth, and a residential wholesale share of 10.2%.</x:v>
      </x:c>
      <x:c r="E226" s="6" t="str">
        <x:v>https://www.woodmac.com/press-releases/virtual-power-plant-capacity-expands-13.7-year-over-year-to-reach-37.5-gw</x:v>
      </x:c>
    </x:row>
    <x:row r="227" ht="24" hidden="0" customHeight="1">
      <x:c r="A227" s="12" t="n">
        <x:v>37</x:v>
      </x:c>
      <x:c r="B227" s="6" t="str">
        <x:v>Virtual power plants and demand flexibility</x:v>
      </x:c>
      <x:c r="C227" s="12" t="n">
        <x:v>2026</x:v>
      </x:c>
      <x:c r="D227" s="6" t="str">
        <x:v>Voltus and Octopus announced a February partnership for aggregated devices; Renew Home rebranded to Everyday Electric in October. These are commercial ecosystem changes, not full-year capacity observations.</x:v>
      </x:c>
      <x:c r="E227" s="6" t="str">
        <x:v>https://www.voltus.co/press/voltus-octopus-energy-launch-partnership
https://www.everydayelectric.com/news/renew-home-is-now-everyday-electric</x:v>
      </x:c>
    </x:row>
    <x:row r="228" ht="15" hidden="0" customHeight="1">
      <x:c r="A228" s="12" t="n">
        <x:v>38</x:v>
      </x:c>
      <x:c r="B228" s="6" t="str">
        <x:v>Advanced transmission and grid-enhancing technologies</x:v>
      </x:c>
      <x:c r="C228" s="12" t="n">
        <x:v>2021</x:v>
      </x:c>
      <x:c r="D228" s="6" t="str">
        <x:v>Commercial reconductoring predates this period; a harmonised annual global grid-enhancement deployment series was not identified.</x:v>
      </x:c>
      <x:c r="E228" s="6" t="str"/>
    </x:row>
    <x:row r="229" ht="15" hidden="0" customHeight="1">
      <x:c r="A229" s="12" t="n">
        <x:v>38</x:v>
      </x:c>
      <x:c r="B229" s="6" t="str">
        <x:v>Advanced transmission and grid-enhancing technologies</x:v>
      </x:c>
      <x:c r="C229" s="12" t="n">
        <x:v>2022</x:v>
      </x:c>
      <x:c r="D229" s="6" t="str">
        <x:v>No comparable annual deployment count retained for the combined conductor, sensor and power-flow-control market.</x:v>
      </x:c>
      <x:c r="E229" s="6" t="str"/>
    </x:row>
    <x:row r="230" ht="15" hidden="0" customHeight="1">
      <x:c r="A230" s="12" t="n">
        <x:v>38</x:v>
      </x:c>
      <x:c r="B230" s="6" t="str">
        <x:v>Advanced transmission and grid-enhancing technologies</x:v>
      </x:c>
      <x:c r="C230" s="12" t="n">
        <x:v>2023</x:v>
      </x:c>
      <x:c r="D230" s="6" t="str">
        <x:v>The next year’s CTC report describes a broad existing installed base; this record does not interpolate a 2023 value.</x:v>
      </x:c>
      <x:c r="E230" s="6" t="str">
        <x:v>https://campaignlp.constantcontact.com/em/1110237241357/8029ecbb-5c34-4563-85c9-5e3fe119ff91</x:v>
      </x:c>
    </x:row>
    <x:row r="231" ht="24" hidden="0" customHeight="1">
      <x:c r="A231" s="12" t="n">
        <x:v>38</x:v>
      </x:c>
      <x:c r="B231" s="6" t="str">
        <x:v>Advanced transmission and grid-enhancing technologies</x:v>
      </x:c>
      <x:c r="C231" s="12" t="n">
        <x:v>2024</x:v>
      </x:c>
      <x:c r="D231" s="6" t="str">
        <x:v>CTC’s newsletter reported more than 175,000 km installed and its February article reported selection for more than 1,250 projects in 66 countries.</x:v>
      </x:c>
      <x:c r="E231" s="6" t="str">
        <x:v>https://campaignlp.constantcontact.com/em/1110237241357/8029ecbb-5c34-4563-85c9-5e3fe119ff91
https://ctcglobal.com/why-the-accc-conductor-has-been-selected-for-more-than-1250-projects-in-66-countries/</x:v>
      </x:c>
    </x:row>
    <x:row r="232" ht="15" hidden="0" customHeight="1">
      <x:c r="A232" s="12" t="n">
        <x:v>38</x:v>
      </x:c>
      <x:c r="B232" s="6" t="str">
        <x:v>Advanced transmission and grid-enhancing technologies</x:v>
      </x:c>
      <x:c r="C232" s="12" t="n">
        <x:v>2025</x:v>
      </x:c>
      <x:c r="D232" s="6" t="str">
        <x:v>CTC reported more than 185,000 km of ACCC conductor deployed in its July discussion of data-centre and industrial load growth.</x:v>
      </x:c>
      <x:c r="E232" s="6" t="str">
        <x:v>https://ctcglobal.com/meeting-the-moment-how-ctc-globals-accc-conductor-helps-address-surging-power-demand-from-data-centers-electrification-and-industrial-growth/</x:v>
      </x:c>
    </x:row>
    <x:row r="233" ht="24" hidden="0" customHeight="1">
      <x:c r="A233" s="12" t="n">
        <x:v>38</x:v>
      </x:c>
      <x:c r="B233" s="6" t="str">
        <x:v>Advanced transmission and grid-enhancing technologies</x:v>
      </x:c>
      <x:c r="C233" s="12" t="n">
        <x:v>2026</x:v>
      </x:c>
      <x:c r="D233" s="6" t="str">
        <x:v>DOE continued publishing implementation guidance on grid-enhancing technologies in June, while current trade reporting tracks utility purchases and deployments. No full-year installation census is claimed.</x:v>
      </x:c>
      <x:c r="E233" s="6" t="str">
        <x:v>https://www.energy.gov/oe/grid-enhancing-technologies-improve-existing-power-lines</x:v>
      </x:c>
    </x:row>
    <x:row r="234" ht="15" hidden="0" customHeight="1">
      <x:c r="A234" s="12" t="n">
        <x:v>39</x:v>
      </x:c>
      <x:c r="B234" s="6" t="str">
        <x:v>Smart and bidirectional EV charging</x:v>
      </x:c>
      <x:c r="C234" s="12" t="n">
        <x:v>2021</x:v>
      </x:c>
      <x:c r="D234" s="6" t="str">
        <x:v>Vehicle-to-grid demonstrations predate the window; no harmonised global annual installed-base measure was retained.</x:v>
      </x:c>
      <x:c r="E234" s="6" t="str"/>
    </x:row>
    <x:row r="235" ht="15" hidden="0" customHeight="1">
      <x:c r="A235" s="12" t="n">
        <x:v>39</x:v>
      </x:c>
      <x:c r="B235" s="6" t="str">
        <x:v>Smart and bidirectional EV charging</x:v>
      </x:c>
      <x:c r="C235" s="12" t="n">
        <x:v>2022</x:v>
      </x:c>
      <x:c r="D235" s="6" t="str">
        <x:v>Charging expansion and demonstration projects do not provide a comparable measure of active bidirectional customers; no annual value is interpolated.</x:v>
      </x:c>
      <x:c r="E235" s="6" t="str"/>
    </x:row>
    <x:row r="236" ht="15" hidden="0" customHeight="1">
      <x:c r="A236" s="12" t="n">
        <x:v>39</x:v>
      </x:c>
      <x:c r="B236" s="6" t="str">
        <x:v>Smart and bidirectional EV charging</x:v>
      </x:c>
      <x:c r="C236" s="12" t="n">
        <x:v>2023</x:v>
      </x:c>
      <x:c r="D236" s="6" t="str">
        <x:v>No consistent global V2G deployment observation was found in the selected evidence; maturity is an analyst assessment, not a measured percentage.</x:v>
      </x:c>
      <x:c r="E236" s="6" t="str"/>
    </x:row>
    <x:row r="237" ht="15" hidden="0" customHeight="1">
      <x:c r="A237" s="12" t="n">
        <x:v>39</x:v>
      </x:c>
      <x:c r="B237" s="6" t="str">
        <x:v>Smart and bidirectional EV charging</x:v>
      </x:c>
      <x:c r="C237" s="12" t="n">
        <x:v>2024</x:v>
      </x:c>
      <x:c r="D237" s="6" t="str">
        <x:v>China had nearly 3.4 million public charging points by year-end; these are all public points, not bidirectional installations.</x:v>
      </x:c>
      <x:c r="E237" s="6" t="str">
        <x:v>https://www.iea.org/reports/global-ev-outlook-2026/electric-vehicle-charging-chap-6-and-10</x:v>
      </x:c>
    </x:row>
    <x:row r="238" ht="15" hidden="0" customHeight="1">
      <x:c r="A238" s="12" t="n">
        <x:v>39</x:v>
      </x:c>
      <x:c r="B238" s="6" t="str">
        <x:v>Smart and bidirectional EV charging</x:v>
      </x:c>
      <x:c r="C238" s="12" t="n">
        <x:v>2025</x:v>
      </x:c>
      <x:c r="D238" s="6" t="str">
        <x:v>China’s public stock exceeded 4.7 million points; global public stock exceeded 7 million. The charger base is growing faster than proven V2G participation.</x:v>
      </x:c>
      <x:c r="E238" s="6" t="str">
        <x:v>https://www.iea.org/reports/global-ev-outlook-2026/electric-vehicle-charging-chap-6-and-10</x:v>
      </x:c>
    </x:row>
    <x:row r="239" ht="24" hidden="0" customHeight="1">
      <x:c r="A239" s="12" t="n">
        <x:v>39</x:v>
      </x:c>
      <x:c r="B239" s="6" t="str">
        <x:v>Smart and bidirectional EV charging</x:v>
      </x:c>
      <x:c r="C239" s="12" t="n">
        <x:v>2026</x:v>
      </x:c>
      <x:c r="D239" s="6" t="str">
        <x:v>The Mobility House announced sale of its Solutions unit to Edenred while focusing on its energy business; commercial charging and energy-service activities must be distinguished.</x:v>
      </x:c>
      <x:c r="E239" s="6" t="str">
        <x:v>https://www.mobilityhouse.com/int_en/our-company/newsroom/article/the-mobility-house-ubergibt-business-unit-solutions-an-edenred-und-fokussiert-sich-starker-auf-das-energiegeschaft-der-zukunft</x:v>
      </x:c>
    </x:row>
    <x:row r="240" ht="15" hidden="0" customHeight="1">
      <x:c r="A240" s="12" t="n">
        <x:v>40</x:v>
      </x:c>
      <x:c r="B240" s="6" t="str">
        <x:v>Battery recycling and materials recovery</x:v>
      </x:c>
      <x:c r="C240" s="12" t="n">
        <x:v>2021</x:v>
      </x:c>
      <x:c r="D240" s="6" t="str">
        <x:v>The selected sources do not provide a comparable annual global throughput measurement; existing industrial recycling predates this assessment.</x:v>
      </x:c>
      <x:c r="E240" s="6" t="str"/>
    </x:row>
    <x:row r="241" ht="15" hidden="0" customHeight="1">
      <x:c r="A241" s="12" t="n">
        <x:v>40</x:v>
      </x:c>
      <x:c r="B241" s="6" t="str">
        <x:v>Battery recycling and materials recovery</x:v>
      </x:c>
      <x:c r="C241" s="12" t="n">
        <x:v>2022</x:v>
      </x:c>
      <x:c r="D241" s="6" t="str">
        <x:v>Reference year for the index; 100 is a normalisation, not a claim of 100 plants or tonnes.</x:v>
      </x:c>
      <x:c r="E241" s="6" t="str">
        <x:v>https://www.iea.org/news/policy-momentum-behind-critical-minerals-recycling-gathering-pace-but-greater-uptake-required</x:v>
      </x:c>
    </x:row>
    <x:row r="242" ht="15" hidden="0" customHeight="1">
      <x:c r="A242" s="12" t="n">
        <x:v>40</x:v>
      </x:c>
      <x:c r="B242" s="6" t="str">
        <x:v>Battery recycling and materials recovery</x:v>
      </x:c>
      <x:c r="C242" s="12" t="n">
        <x:v>2023</x:v>
      </x:c>
      <x:c r="D242" s="6" t="str">
        <x:v>IEA reported a 50% increase in lithium-ion battery recycling capacity.</x:v>
      </x:c>
      <x:c r="E242" s="6" t="str">
        <x:v>https://www.iea.org/news/policy-momentum-behind-critical-minerals-recycling-gathering-pace-but-greater-uptake-required</x:v>
      </x:c>
    </x:row>
    <x:row r="243" ht="24" hidden="0" customHeight="1">
      <x:c r="A243" s="12" t="n">
        <x:v>40</x:v>
      </x:c>
      <x:c r="B243" s="6" t="str">
        <x:v>Battery recycling and materials recovery</x:v>
      </x:c>
      <x:c r="C243" s="12" t="n">
        <x:v>2024</x:v>
      </x:c>
      <x:c r="D243" s="6" t="str">
        <x:v>IEA’s recycling review highlighted policy momentum and a possible mismatch between announced capacity and available battery scrap.</x:v>
      </x:c>
      <x:c r="E243" s="6" t="str">
        <x:v>https://www.iea.org/news/policy-momentum-behind-critical-minerals-recycling-gathering-pace-but-greater-uptake-required
https://www.iea.org/reports/recycling-of-critical-minerals/executive-summary</x:v>
      </x:c>
    </x:row>
    <x:row r="244" ht="15" hidden="0" customHeight="1">
      <x:c r="A244" s="12" t="n">
        <x:v>40</x:v>
      </x:c>
      <x:c r="B244" s="6" t="str">
        <x:v>Battery recycling and materials recovery</x:v>
      </x:c>
      <x:c r="C244" s="12" t="n">
        <x:v>2025</x:v>
      </x:c>
      <x:c r="D244" s="6" t="str">
        <x:v>cylib announced support for expanding European recycling, illustrating continued regional investment rather than measured global throughput.</x:v>
      </x:c>
      <x:c r="E244" s="6" t="str">
        <x:v>https://www.cylib.de/</x:v>
      </x:c>
    </x:row>
    <x:row r="245" ht="15" hidden="0" customHeight="1">
      <x:c r="A245" s="12" t="n">
        <x:v>40</x:v>
      </x:c>
      <x:c r="B245" s="6" t="str">
        <x:v>Battery recycling and materials recovery</x:v>
      </x:c>
      <x:c r="C245" s="12" t="n">
        <x:v>2026</x:v>
      </x:c>
      <x:c r="D245" s="6" t="str">
        <x:v>Altilium announced follow-on investment from SQM and Marubeni on 6 October to support battery-materials scale-up; this is financing, not commissioned output.</x:v>
      </x:c>
      <x:c r="E245" s="6" t="str">
        <x:v>https://altilium.tech/2026/10/06/strategic-investors-sqm-and-marubeni-reaffirm-commitment-to-altilium-with-follow-on-investment-for-battery-materials-scale-up/</x:v>
      </x:c>
    </x:row>
    <x:row r="246" ht="15" hidden="0" customHeight="1">
      <x:c r="A246" s="12" t="n">
        <x:v>41</x:v>
      </x:c>
      <x:c r="B246" s="6" t="str">
        <x:v>Low-emissions hydrogen and electrolyzers</x:v>
      </x:c>
      <x:c r="C246" s="12" t="n">
        <x:v>2021</x:v>
      </x:c>
      <x:c r="D246" s="6" t="str">
        <x:v>The selected current reviews do not provide a comparable annual production value retained here; no missing value is interpolated.</x:v>
      </x:c>
      <x:c r="E246" s="6" t="str"/>
    </x:row>
    <x:row r="247" ht="15" hidden="0" customHeight="1">
      <x:c r="A247" s="12" t="n">
        <x:v>41</x:v>
      </x:c>
      <x:c r="B247" s="6" t="str">
        <x:v>Low-emissions hydrogen and electrolyzers</x:v>
      </x:c>
      <x:c r="C247" s="12" t="n">
        <x:v>2022</x:v>
      </x:c>
      <x:c r="D247" s="6" t="str">
        <x:v>Early project announcements are not operating output; no comparable 2022 annual measurement retained.</x:v>
      </x:c>
      <x:c r="E247" s="6" t="str"/>
    </x:row>
    <x:row r="248" ht="15" hidden="0" customHeight="1">
      <x:c r="A248" s="12" t="n">
        <x:v>41</x:v>
      </x:c>
      <x:c r="B248" s="6" t="str">
        <x:v>Low-emissions hydrogen and electrolyzers</x:v>
      </x:c>
      <x:c r="C248" s="12" t="n">
        <x:v>2023</x:v>
      </x:c>
      <x:c r="D248" s="6" t="str">
        <x:v>IEA’s later review describes rising investment decisions during this period, but project status is more informative than a headline announcement count.</x:v>
      </x:c>
      <x:c r="E248" s="6" t="str">
        <x:v>https://www.iea.org/reports/global-hydrogen-review-2026/production</x:v>
      </x:c>
    </x:row>
    <x:row r="249" ht="15" hidden="0" customHeight="1">
      <x:c r="A249" s="12" t="n">
        <x:v>41</x:v>
      </x:c>
      <x:c r="B249" s="6" t="str">
        <x:v>Low-emissions hydrogen and electrolyzers</x:v>
      </x:c>
      <x:c r="C249" s="12" t="n">
        <x:v>2024</x:v>
      </x:c>
      <x:c r="D249" s="6" t="str">
        <x:v>The IEA review’s announced 2030 production pipeline stood at 49 Mt per year.</x:v>
      </x:c>
      <x:c r="E249" s="6" t="str">
        <x:v>https://www.iea.org/reports/global-hydrogen-review-2025/executive-summary</x:v>
      </x:c>
    </x:row>
    <x:row r="250" ht="24" hidden="0" customHeight="1">
      <x:c r="A250" s="12" t="n">
        <x:v>41</x:v>
      </x:c>
      <x:c r="B250" s="6" t="str">
        <x:v>Low-emissions hydrogen and electrolyzers</x:v>
      </x:c>
      <x:c r="C250" s="12" t="n">
        <x:v>2025</x:v>
      </x:c>
      <x:c r="D250" s="6" t="str">
        <x:v>The pipeline assessment declined to 37 Mt per year; actual low-emissions production nevertheless grew 20% to almost 1 Mt.</x:v>
      </x:c>
      <x:c r="E250" s="6" t="str">
        <x:v>https://www.iea.org/reports/global-hydrogen-review-2026/executive-summary
https://www.iea.org/reports/global-hydrogen-review-2025/executive-summary</x:v>
      </x:c>
    </x:row>
    <x:row r="251" ht="15" hidden="0" customHeight="1">
      <x:c r="A251" s="12" t="n">
        <x:v>41</x:v>
      </x:c>
      <x:c r="B251" s="6" t="str">
        <x:v>Low-emissions hydrogen and electrolyzers</x:v>
      </x:c>
      <x:c r="C251" s="12" t="n">
        <x:v>2026</x:v>
      </x:c>
      <x:c r="D251" s="6" t="str">
        <x:v>IEA cut the announced 2030 pipeline to 27 Mt per year. Committed and strongly promising projects together represented just over 6 Mt; neither number is achieved output.</x:v>
      </x:c>
      <x:c r="E251" s="6" t="str">
        <x:v>https://www.iea.org/reports/global-hydrogen-review-2026/executive-summary</x:v>
      </x:c>
    </x:row>
    <x:row r="252" ht="15" hidden="0" customHeight="1">
      <x:c r="A252" s="12" t="n">
        <x:v>42</x:v>
      </x:c>
      <x:c r="B252" s="6" t="str">
        <x:v>Industrial carbon capture and storage</x:v>
      </x:c>
      <x:c r="C252" s="12" t="n">
        <x:v>2021</x:v>
      </x:c>
      <x:c r="D252" s="6" t="str">
        <x:v>Commercial capture predates this window; no comparable annual facility observation was retained from the selected recent assessment.</x:v>
      </x:c>
      <x:c r="E252" s="6" t="str"/>
    </x:row>
    <x:row r="253" ht="15" hidden="0" customHeight="1">
      <x:c r="A253" s="12" t="n">
        <x:v>42</x:v>
      </x:c>
      <x:c r="B253" s="6" t="str">
        <x:v>Industrial carbon capture and storage</x:v>
      </x:c>
      <x:c r="C253" s="12" t="n">
        <x:v>2022</x:v>
      </x:c>
      <x:c r="D253" s="6" t="str">
        <x:v>Carbon Clean raised a reported $150 million to scale capture technology; financing is an innovation signal, not tonnes stored.</x:v>
      </x:c>
      <x:c r="E253" s="6" t="str">
        <x:v>https://www.carbonclean.com/en/press-releases/raises-150m-in-record-carbon-capture-funding-round</x:v>
      </x:c>
    </x:row>
    <x:row r="254" ht="15" hidden="0" customHeight="1">
      <x:c r="A254" s="12" t="n">
        <x:v>42</x:v>
      </x:c>
      <x:c r="B254" s="6" t="str">
        <x:v>Industrial carbon capture and storage</x:v>
      </x:c>
      <x:c r="C254" s="12" t="n">
        <x:v>2023</x:v>
      </x:c>
      <x:c r="D254" s="6" t="str">
        <x:v>No harmonised annual operating-count observation retained here; the maturity path reflects commercial niche use rather than a measured penetration rate.</x:v>
      </x:c>
      <x:c r="E254" s="6" t="str"/>
    </x:row>
    <x:row r="255" ht="15" hidden="0" customHeight="1">
      <x:c r="A255" s="12" t="n">
        <x:v>42</x:v>
      </x:c>
      <x:c r="B255" s="6" t="str">
        <x:v>Industrial carbon capture and storage</x:v>
      </x:c>
      <x:c r="C255" s="12" t="n">
        <x:v>2024</x:v>
      </x:c>
      <x:c r="D255" s="6" t="str">
        <x:v>The 2025 Global CCS Institute comparison uses 50 operating facilities as its prior-year baseline.</x:v>
      </x:c>
      <x:c r="E255" s="6" t="str">
        <x:v>https://www.globalccsinstitute.com/carbon-capture-stays-the-course-despite-global-headwinds-with-54-rise-in-operational-projects/</x:v>
      </x:c>
    </x:row>
    <x:row r="256" ht="15" hidden="0" customHeight="1">
      <x:c r="A256" s="12" t="n">
        <x:v>42</x:v>
      </x:c>
      <x:c r="B256" s="6" t="str">
        <x:v>Industrial carbon capture and storage</x:v>
      </x:c>
      <x:c r="C256" s="12" t="n">
        <x:v>2025</x:v>
      </x:c>
      <x:c r="D256" s="6" t="str">
        <x:v>Global CCS Institute reported 77 operating facilities and 47 under construction in October.</x:v>
      </x:c>
      <x:c r="E256" s="6" t="str">
        <x:v>https://www.globalccsinstitute.com/carbon-capture-stays-the-course-despite-global-headwinds-with-54-rise-in-operational-projects/</x:v>
      </x:c>
    </x:row>
    <x:row r="257" ht="15" hidden="0" customHeight="1">
      <x:c r="A257" s="12" t="n">
        <x:v>42</x:v>
      </x:c>
      <x:c r="B257" s="6" t="str">
        <x:v>Industrial carbon capture and storage</x:v>
      </x:c>
      <x:c r="C257" s="12" t="n">
        <x:v>2026</x:v>
      </x:c>
      <x:c r="D257" s="6" t="str">
        <x:v>IEA refreshed its CCUS project database in March; project-by-project status is more useful than treating the entire announced pipeline as operating.</x:v>
      </x:c>
      <x:c r="E257" s="6" t="str">
        <x:v>https://www.iea.org/data-and-statistics/data-product/ccus-projects-database</x:v>
      </x:c>
    </x:row>
    <x:row r="258" ht="15" hidden="0" customHeight="1">
      <x:c r="A258" s="12" t="n">
        <x:v>43</x:v>
      </x:c>
      <x:c r="B258" s="6" t="str">
        <x:v>Low-carbon cement and concrete</x:v>
      </x:c>
      <x:c r="C258" s="12" t="n">
        <x:v>2021</x:v>
      </x:c>
      <x:c r="D258" s="6" t="str">
        <x:v>CarbonCure described permanent mineralisation in its technical explanation; lower-carbon concrete was already a commercial niche.</x:v>
      </x:c>
      <x:c r="E258" s="6" t="str">
        <x:v>https://www.carboncure.com/blog/climate-corner/carbon-utilization-with-carboncure-concrete-a-permanent-solution/</x:v>
      </x:c>
    </x:row>
    <x:row r="259" ht="15" hidden="0" customHeight="1">
      <x:c r="A259" s="12" t="n">
        <x:v>43</x:v>
      </x:c>
      <x:c r="B259" s="6" t="str">
        <x:v>Low-carbon cement and concrete</x:v>
      </x:c>
      <x:c r="C259" s="12" t="n">
        <x:v>2022</x:v>
      </x:c>
      <x:c r="D259" s="6" t="str">
        <x:v>No comparable annual all-technology production series retained; construction trials and supplier counts are not substituted for delivered volume.</x:v>
      </x:c>
      <x:c r="E259" s="6" t="str"/>
    </x:row>
    <x:row r="260" ht="15" hidden="0" customHeight="1">
      <x:c r="A260" s="12" t="n">
        <x:v>43</x:v>
      </x:c>
      <x:c r="B260" s="6" t="str">
        <x:v>Low-carbon cement and concrete</x:v>
      </x:c>
      <x:c r="C260" s="12" t="n">
        <x:v>2023</x:v>
      </x:c>
      <x:c r="D260" s="6" t="str">
        <x:v>No consistent annual global volume observation identified; the subsequent cumulative milestones are kept at their actual dates.</x:v>
      </x:c>
      <x:c r="E260" s="6" t="str"/>
    </x:row>
    <x:row r="261" ht="15" hidden="0" customHeight="1">
      <x:c r="A261" s="12" t="n">
        <x:v>43</x:v>
      </x:c>
      <x:c r="B261" s="6" t="str">
        <x:v>Low-carbon cement and concrete</x:v>
      </x:c>
      <x:c r="C261" s="12" t="n">
        <x:v>2024</x:v>
      </x:c>
      <x:c r="D261" s="6" t="str">
        <x:v>CarbonCure announced 50 million cumulative cubic yards on 6 March.</x:v>
      </x:c>
      <x:c r="E261" s="6" t="str">
        <x:v>https://www.carboncure.com/news/carboncure-marks-50-million-cubic-yards-milestone/</x:v>
      </x:c>
    </x:row>
    <x:row r="262" ht="15" hidden="0" customHeight="1">
      <x:c r="A262" s="12" t="n">
        <x:v>43</x:v>
      </x:c>
      <x:c r="B262" s="6" t="str">
        <x:v>Low-carbon cement and concrete</x:v>
      </x:c>
      <x:c r="C262" s="12" t="n">
        <x:v>2025</x:v>
      </x:c>
      <x:c r="D262" s="6" t="str">
        <x:v>CarbonCure reported more than 83.6 million cubic yards across 10 million truckloads on 24 November.</x:v>
      </x:c>
      <x:c r="E262" s="6" t="str">
        <x:v>https://www.carboncure.com/news/carboncure-producers-reach-milestone-of-10-million-truckloads/</x:v>
      </x:c>
    </x:row>
    <x:row r="263" ht="15" hidden="0" customHeight="1">
      <x:c r="A263" s="12" t="n">
        <x:v>43</x:v>
      </x:c>
      <x:c r="B263" s="6" t="str">
        <x:v>Low-carbon cement and concrete</x:v>
      </x:c>
      <x:c r="C263" s="12" t="n">
        <x:v>2026</x:v>
      </x:c>
      <x:c r="D263" s="6" t="str">
        <x:v>CarbonCure’s June update described new MIT-linked research on CO₂ mineralisation and early strength; technical progress is separate from annual market output.</x:v>
      </x:c>
      <x:c r="E263" s="6" t="str">
        <x:v>https://www.carboncure.com/news/</x:v>
      </x:c>
    </x:row>
    <x:row r="264" ht="15" hidden="0" customHeight="1">
      <x:c r="A264" s="12" t="n">
        <x:v>44</x:v>
      </x:c>
      <x:c r="B264" s="6" t="str">
        <x:v>Sustainable aviation fuels</x:v>
      </x:c>
      <x:c r="C264" s="12" t="n">
        <x:v>2021</x:v>
      </x:c>
      <x:c r="D264" s="6" t="str">
        <x:v>No comparable annual production figure retained from the selected recent IATA sources; earlier demonstration activity is not interpolated into a volume series.</x:v>
      </x:c>
      <x:c r="E264" s="6" t="str"/>
    </x:row>
    <x:row r="265" ht="15" hidden="0" customHeight="1">
      <x:c r="A265" s="12" t="n">
        <x:v>44</x:v>
      </x:c>
      <x:c r="B265" s="6" t="str">
        <x:v>Sustainable aviation fuels</x:v>
      </x:c>
      <x:c r="C265" s="12" t="n">
        <x:v>2022</x:v>
      </x:c>
      <x:c r="D265" s="6" t="str">
        <x:v>No directly verified comparable annual tonnage retained; reported litres and capacity announcements are not mixed into the mass series.</x:v>
      </x:c>
      <x:c r="E265" s="6" t="str"/>
    </x:row>
    <x:row r="266" ht="15" hidden="0" customHeight="1">
      <x:c r="A266" s="12" t="n">
        <x:v>44</x:v>
      </x:c>
      <x:c r="B266" s="6" t="str">
        <x:v>Sustainable aviation fuels</x:v>
      </x:c>
      <x:c r="C266" s="12" t="n">
        <x:v>2023</x:v>
      </x:c>
      <x:c r="D266" s="6" t="str">
        <x:v>IATA’s later annual comparison estimates global production at 0.5 million tonnes.</x:v>
      </x:c>
      <x:c r="E266" s="6" t="str">
        <x:v>https://www.iata.org/en/pressroom/2024-releases/2024-12-10-03/</x:v>
      </x:c>
    </x:row>
    <x:row r="267" ht="15" hidden="0" customHeight="1">
      <x:c r="A267" s="12" t="n">
        <x:v>44</x:v>
      </x:c>
      <x:c r="B267" s="6" t="str">
        <x:v>Sustainable aviation fuels</x:v>
      </x:c>
      <x:c r="C267" s="12" t="n">
        <x:v>2024</x:v>
      </x:c>
      <x:c r="D267" s="6" t="str">
        <x:v>IATA reported production of about 1.0 million tonnes, double the 2023 estimate.</x:v>
      </x:c>
      <x:c r="E267" s="6" t="str">
        <x:v>https://www.iata.org/en/pressroom/2024-releases/2024-12-10-03/</x:v>
      </x:c>
    </x:row>
    <x:row r="268" ht="24" hidden="0" customHeight="1">
      <x:c r="A268" s="12" t="n">
        <x:v>44</x:v>
      </x:c>
      <x:c r="B268" s="6" t="str">
        <x:v>Sustainable aviation fuels</x:v>
      </x:c>
      <x:c r="C268" s="12" t="n">
        <x:v>2025</x:v>
      </x:c>
      <x:c r="D268" s="6" t="str">
        <x:v>IATA’s updated estimate reached 1.9 million tonnes; EU supply requirements started with a 2% SAF share.</x:v>
      </x:c>
      <x:c r="E268" s="6" t="str">
        <x:v>https://www.iata.org/en/pressroom/2025-releases/2025-12-09-04
https://transport.ec.europa.eu/transport-modes/air/environment/refueleu-aviation_en</x:v>
      </x:c>
    </x:row>
    <x:row r="269" ht="15" hidden="0" customHeight="1">
      <x:c r="A269" s="12" t="n">
        <x:v>44</x:v>
      </x:c>
      <x:c r="B269" s="6" t="str">
        <x:v>Sustainable aviation fuels</x:v>
      </x:c>
      <x:c r="C269" s="12" t="n">
        <x:v>2026</x:v>
      </x:c>
      <x:c r="D269" s="6" t="str">
        <x:v>IATA expects 2.4 million tonnes for the year. This remains a forecast as of the research cutoff; it is not a full-year actual.</x:v>
      </x:c>
      <x:c r="E269" s="6" t="str">
        <x:v>https://www.iata.org/en/programs/sustainability/sustainable-aviation-fuel-saf/</x:v>
      </x:c>
    </x:row>
    <x:row r="270" ht="15" hidden="0" customHeight="1">
      <x:c r="A270" s="12" t="n">
        <x:v>45</x:v>
      </x:c>
      <x:c r="B270" s="6" t="str">
        <x:v>Additive manufacturing for end-use production</x:v>
      </x:c>
      <x:c r="C270" s="12" t="n">
        <x:v>2021</x:v>
      </x:c>
      <x:c r="D270" s="6" t="str">
        <x:v>Wohlers’ 2022 report describes a 19.5% rebound in industry revenue in 2021; that is all additive manufacturing, not only final parts.</x:v>
      </x:c>
      <x:c r="E270" s="6" t="str">
        <x:v>https://wohlersassociates.com/press-releases/wohlers-report-2022-finds-strong-industry-wide-growth/</x:v>
      </x:c>
    </x:row>
    <x:row r="271" ht="15" hidden="0" customHeight="1">
      <x:c r="A271" s="12" t="n">
        <x:v>45</x:v>
      </x:c>
      <x:c r="B271" s="6" t="str">
        <x:v>Additive manufacturing for end-use production</x:v>
      </x:c>
      <x:c r="C271" s="12" t="n">
        <x:v>2022</x:v>
      </x:c>
      <x:c r="D271" s="6" t="str">
        <x:v>Wohlers’ subsequent comparison recorded 3,049 metal AM systems sold, a hardware metric kept separate from industry revenue.</x:v>
      </x:c>
      <x:c r="E271" s="6" t="str">
        <x:v>https://wohlersassociates.com/news/wohlers-report-2024-shows-metal-am-growth-in-new-report/</x:v>
      </x:c>
    </x:row>
    <x:row r="272" ht="15" hidden="0" customHeight="1">
      <x:c r="A272" s="12" t="n">
        <x:v>45</x:v>
      </x:c>
      <x:c r="B272" s="6" t="str">
        <x:v>Additive manufacturing for end-use production</x:v>
      </x:c>
      <x:c r="C272" s="12" t="n">
        <x:v>2023</x:v>
      </x:c>
      <x:c r="D272" s="6" t="str">
        <x:v>Wohlers estimated $20.035 billion global AM revenue and 3,793 metal systems sold.</x:v>
      </x:c>
      <x:c r="E272" s="6" t="str">
        <x:v>https://wohlersassociates.com/news/wohlers-report-2024-shows-metal-am-growth-in-new-report/</x:v>
      </x:c>
    </x:row>
    <x:row r="273" ht="15" hidden="0" customHeight="1">
      <x:c r="A273" s="12" t="n">
        <x:v>45</x:v>
      </x:c>
      <x:c r="B273" s="6" t="str">
        <x:v>Additive manufacturing for end-use production</x:v>
      </x:c>
      <x:c r="C273" s="12" t="n">
        <x:v>2024</x:v>
      </x:c>
      <x:c r="D273" s="6" t="str">
        <x:v>The 2024 report stressed materials qualification, certification and lower part costs as drivers of end-use production.</x:v>
      </x:c>
      <x:c r="E273" s="6" t="str">
        <x:v>https://wohlersassociates.com/news/wohlers-report-2024-shows-metal-am-growth-in-new-report/</x:v>
      </x:c>
    </x:row>
    <x:row r="274" ht="15" hidden="0" customHeight="1">
      <x:c r="A274" s="12" t="n">
        <x:v>45</x:v>
      </x:c>
      <x:c r="B274" s="6" t="str">
        <x:v>Additive manufacturing for end-use production</x:v>
      </x:c>
      <x:c r="C274" s="12" t="n">
        <x:v>2025</x:v>
      </x:c>
      <x:c r="D274" s="6" t="str">
        <x:v>Global AM revenue reached $24.2 billion, with printing services the largest revenue segment.</x:v>
      </x:c>
      <x:c r="E274" s="6" t="str">
        <x:v>https://wohlersassociates.com/press-releases/new-wohlers-report-2026-values-additive-manufacturing-market-at-24-2b/</x:v>
      </x:c>
    </x:row>
    <x:row r="275" ht="15" hidden="0" customHeight="1">
      <x:c r="A275" s="12" t="n">
        <x:v>45</x:v>
      </x:c>
      <x:c r="B275" s="6" t="str">
        <x:v>Additive manufacturing for end-use production</x:v>
      </x:c>
      <x:c r="C275" s="12" t="n">
        <x:v>2026</x:v>
      </x:c>
      <x:c r="D275" s="6" t="str">
        <x:v>Wohlers introduced a more continuously updated market-intelligence platform and emphasised utilisation and production outcomes. The $24.2 billion figure still describes 2025.</x:v>
      </x:c>
      <x:c r="E275" s="6" t="str">
        <x:v>https://wohlersassociates.com/press-releases/new-wohlers-report-2026-values-additive-manufacturing-market-at-24-2b/</x:v>
      </x:c>
    </x:row>
    <x:row r="276" ht="15" hidden="0" customHeight="1">
      <x:c r="A276" s="12" t="n">
        <x:v>46</x:v>
      </x:c>
      <x:c r="B276" s="6" t="str">
        <x:v>Verifiable digital identity wallets</x:v>
      </x:c>
      <x:c r="C276" s="12" t="n">
        <x:v>2021</x:v>
      </x:c>
      <x:c r="D276" s="6" t="str">
        <x:v>The European Commission proposed the European Digital Identity framework, starting the current policy and interoperability cycle.</x:v>
      </x:c>
      <x:c r="E276" s="6" t="str">
        <x:v>https://commission.europa.eu/topics/digital-economy-and-society/european-digital-identity_en</x:v>
      </x:c>
    </x:row>
    <x:row r="277" ht="15" hidden="0" customHeight="1">
      <x:c r="A277" s="12" t="n">
        <x:v>46</x:v>
      </x:c>
      <x:c r="B277" s="6" t="str">
        <x:v>Verifiable digital identity wallets</x:v>
      </x:c>
      <x:c r="C277" s="12" t="n">
        <x:v>2022</x:v>
      </x:c>
      <x:c r="D277" s="6" t="str">
        <x:v>No harmonised annual EU consumer wallet-usage observation was identified; the framework was still developing.</x:v>
      </x:c>
      <x:c r="E277" s="6" t="str"/>
    </x:row>
    <x:row r="278" ht="15" hidden="0" customHeight="1">
      <x:c r="A278" s="12" t="n">
        <x:v>46</x:v>
      </x:c>
      <x:c r="B278" s="6" t="str">
        <x:v>Verifiable digital identity wallets</x:v>
      </x:c>
      <x:c r="C278" s="12" t="n">
        <x:v>2023</x:v>
      </x:c>
      <x:c r="D278" s="6" t="str">
        <x:v>The EU’s first four large-scale wallet pilots began in April, testing cross-border use cases and ecosystem participation.</x:v>
      </x:c>
      <x:c r="E278" s="6" t="str">
        <x:v>https://ec.europa.eu/digital-building-blocks/sites/spaces/EUDIGITALIDENTITYWALLET/pages/694487808/What+are+the+Large+Scale+Pilot+Projects</x:v>
      </x:c>
    </x:row>
    <x:row r="279" ht="24" hidden="0" customHeight="1">
      <x:c r="A279" s="12" t="n">
        <x:v>46</x:v>
      </x:c>
      <x:c r="B279" s="6" t="str">
        <x:v>Verifiable digital identity wallets</x:v>
      </x:c>
      <x:c r="C279" s="12" t="n">
        <x:v>2024</x:v>
      </x:c>
      <x:c r="D279" s="6" t="str">
        <x:v>The digital identity regulation entered into force in May; Italy made three digital documents available to all eligible IO users in December.</x:v>
      </x:c>
      <x:c r="E279" s="6" t="str">
        <x:v>https://digital-strategy.ec.europa.eu/en/news/entry-force-digital-identity-regulation
https://www.pagopa.it/it/media/comunicati-stampa/it-wallet-tre-documenti-digitali-su-app-io-per-tutti-i-cittadini/</x:v>
      </x:c>
    </x:row>
    <x:row r="280" ht="15" hidden="0" customHeight="1">
      <x:c r="A280" s="12" t="n">
        <x:v>46</x:v>
      </x:c>
      <x:c r="B280" s="6" t="str">
        <x:v>Verifiable digital identity wallets</x:v>
      </x:c>
      <x:c r="C280" s="12" t="n">
        <x:v>2025</x:v>
      </x:c>
      <x:c r="D280" s="6" t="str">
        <x:v>Italy reported more than 5.3 million unique users of Documenti su IO since its December launch, as of 3 June.</x:v>
      </x:c>
      <x:c r="E280" s="6" t="str">
        <x:v>https://innovazione.gov.it/notizie/articoli/it-wallet-patente-tessera-sanitaria-e-carta-europea-della-disabilita-ora-disponibili-anche-offline/</x:v>
      </x:c>
    </x:row>
    <x:row r="281" ht="24" hidden="0" customHeight="1">
      <x:c r="A281" s="12" t="n">
        <x:v>46</x:v>
      </x:c>
      <x:c r="B281" s="6" t="str">
        <x:v>Verifiable digital identity wallets</x:v>
      </x:c>
      <x:c r="C281" s="12" t="n">
        <x:v>2026</x:v>
      </x:c>
      <x:c r="D281" s="6" t="str">
        <x:v>Italy reported more than 10 million activations in February. The EU end-2026 availability requirement remains a deadline at the October cutoff, not evidence that all countries have completed rollout.</x:v>
      </x:c>
      <x:c r="E281" s="6" t="str">
        <x:v>https://innovazione.gov.it/notizie/articoli/it-wallet-supera-quota-10-milioni-di-attivazioni-su-app-io-17-3-milioni-di-documenti-gia-caricati/
https://commission.europa.eu/topics/digital-economy-and-society/european-digital-identity_en</x:v>
      </x:c>
    </x:row>
    <x:row r="282" ht="15" hidden="0" customHeight="1">
      <x:c r="A282" s="12" t="n">
        <x:v>47</x:v>
      </x:c>
      <x:c r="B282" s="6" t="str">
        <x:v>Tokenized real-world assets</x:v>
      </x:c>
      <x:c r="C282" s="12" t="n">
        <x:v>2021</x:v>
      </x:c>
      <x:c r="D282" s="6" t="str">
        <x:v>Early tokenized funds existed, but no comparable full-universe annual market value was retained from the selected current dataset.</x:v>
      </x:c>
      <x:c r="E282" s="6" t="str"/>
    </x:row>
    <x:row r="283" ht="15" hidden="0" customHeight="1">
      <x:c r="A283" s="12" t="n">
        <x:v>47</x:v>
      </x:c>
      <x:c r="B283" s="6" t="str">
        <x:v>Tokenized real-world assets</x:v>
      </x:c>
      <x:c r="C283" s="12" t="n">
        <x:v>2022</x:v>
      </x:c>
      <x:c r="D283" s="6" t="str">
        <x:v>No harmonised annual non-stablecoin RWA observation retained; no missing value is interpolated.</x:v>
      </x:c>
      <x:c r="E283" s="6" t="str"/>
    </x:row>
    <x:row r="284" ht="15" hidden="0" customHeight="1">
      <x:c r="A284" s="12" t="n">
        <x:v>47</x:v>
      </x:c>
      <x:c r="B284" s="6" t="str">
        <x:v>Tokenized real-world assets</x:v>
      </x:c>
      <x:c r="C284" s="12" t="n">
        <x:v>2023</x:v>
      </x:c>
      <x:c r="D284" s="6" t="str">
        <x:v>No directly comparable annual value retained; pilot and product announcements are not substituted for assets outstanding.</x:v>
      </x:c>
      <x:c r="E284" s="6" t="str"/>
    </x:row>
    <x:row r="285" ht="15" hidden="0" customHeight="1">
      <x:c r="A285" s="12" t="n">
        <x:v>47</x:v>
      </x:c>
      <x:c r="B285" s="6" t="str">
        <x:v>Tokenized real-world assets</x:v>
      </x:c>
      <x:c r="C285" s="12" t="n">
        <x:v>2024</x:v>
      </x:c>
      <x:c r="D285" s="6" t="str">
        <x:v>McKinsey published a conditional 2030 tokenization estimate of about $2 trillion, illustrating growing institutional interest rather than observed adoption.</x:v>
      </x:c>
      <x:c r="E285" s="6" t="str">
        <x:v>https://www.mckinsey.com/industries/financial-services/our-insights/from-ripples-to-waves-the-transformational-power-of-tokenizing-assets</x:v>
      </x:c>
    </x:row>
    <x:row r="286" ht="24" hidden="0" customHeight="1">
      <x:c r="A286" s="12" t="n">
        <x:v>47</x:v>
      </x:c>
      <x:c r="B286" s="6" t="str">
        <x:v>Tokenized real-world assets</x:v>
      </x:c>
      <x:c r="C286" s="12" t="n">
        <x:v>2025</x:v>
      </x:c>
      <x:c r="D286" s="6" t="str">
        <x:v>CoinGecko’s covered universe began the year at $5.42 billion; Tokeny became majority-owned by Apex Group.</x:v>
      </x:c>
      <x:c r="E286" s="6" t="str">
        <x:v>https://www.coingecko.com/research/publications/rwa-report-2026
https://tokeny.com/apex-group-acquires-majority-stake-in-tokeny-to-catalyze-widespread-industry-tokenization-adoption/</x:v>
      </x:c>
    </x:row>
    <x:row r="287" ht="24" hidden="0" customHeight="1">
      <x:c r="A287" s="12" t="n">
        <x:v>47</x:v>
      </x:c>
      <x:c r="B287" s="6" t="str">
        <x:v>Tokenized real-world assets</x:v>
      </x:c>
      <x:c r="C287" s="12" t="n">
        <x:v>2026</x:v>
      </x:c>
      <x:c r="D287" s="6" t="str">
        <x:v>The covered RWA universe reached $19.32 billion in March. Securitize completed its combination on 1 July and began trading as NYSE:SECZ on 2 July.</x:v>
      </x:c>
      <x:c r="E287" s="6" t="str">
        <x:v>https://www.coingecko.com/research/publications/rwa-report-2026
https://www.nasdaq.com/press-release/securitize-completes-business-combination-cantor-equity-partners-ii-2026-07-01</x:v>
      </x:c>
    </x:row>
    <x:row r="288" ht="15" hidden="0" customHeight="1">
      <x:c r="A288" s="12" t="n">
        <x:v>48</x:v>
      </x:c>
      <x:c r="B288" s="6" t="str">
        <x:v>Regulated stablecoin payment rails</x:v>
      </x:c>
      <x:c r="C288" s="12" t="n">
        <x:v>2021</x:v>
      </x:c>
      <x:c r="D288" s="6" t="str">
        <x:v>Stablecoins were already used in digital-asset markets; no directly comparable year-end issuer value retained from the selected filings.</x:v>
      </x:c>
      <x:c r="E288" s="6" t="str"/>
    </x:row>
    <x:row r="289" ht="15" hidden="0" customHeight="1">
      <x:c r="A289" s="12" t="n">
        <x:v>48</x:v>
      </x:c>
      <x:c r="B289" s="6" t="str">
        <x:v>Regulated stablecoin payment rails</x:v>
      </x:c>
      <x:c r="C289" s="12" t="n">
        <x:v>2022</x:v>
      </x:c>
      <x:c r="D289" s="6" t="str">
        <x:v>USDC year-end circulation was $44.554 billion in Circle’s prospectus comparison.</x:v>
      </x:c>
      <x:c r="E289" s="6" t="str">
        <x:v>https://www.sec.gov/Archives/edgar/data/1876042/000119312525181916/d839239d424b4.htm</x:v>
      </x:c>
    </x:row>
    <x:row r="290" ht="15" hidden="0" customHeight="1">
      <x:c r="A290" s="12" t="n">
        <x:v>48</x:v>
      </x:c>
      <x:c r="B290" s="6" t="str">
        <x:v>Regulated stablecoin payment rails</x:v>
      </x:c>
      <x:c r="C290" s="12" t="n">
        <x:v>2023</x:v>
      </x:c>
      <x:c r="D290" s="6" t="str">
        <x:v>Year-end USDC circulation fell to $24.412 billion, demonstrating that the market does not grow in a straight line.</x:v>
      </x:c>
      <x:c r="E290" s="6" t="str">
        <x:v>https://www.sec.gov/Archives/edgar/data/1876042/000119312525181916/d839239d424b4.htm</x:v>
      </x:c>
    </x:row>
    <x:row r="291" ht="15" hidden="0" customHeight="1">
      <x:c r="A291" s="12" t="n">
        <x:v>48</x:v>
      </x:c>
      <x:c r="B291" s="6" t="str">
        <x:v>Regulated stablecoin payment rails</x:v>
      </x:c>
      <x:c r="C291" s="12" t="n">
        <x:v>2024</x:v>
      </x:c>
      <x:c r="D291" s="6" t="str">
        <x:v>USDC year-end circulation recovered to $43.857 billion.</x:v>
      </x:c>
      <x:c r="E291" s="6" t="str">
        <x:v>https://www.sec.gov/Archives/edgar/data/1876042/000187604226000062/crcl-20251231.htm</x:v>
      </x:c>
    </x:row>
    <x:row r="292" ht="15" hidden="0" customHeight="1">
      <x:c r="A292" s="12" t="n">
        <x:v>48</x:v>
      </x:c>
      <x:c r="B292" s="6" t="str">
        <x:v>Regulated stablecoin payment rails</x:v>
      </x:c>
      <x:c r="C292" s="12" t="n">
        <x:v>2025</x:v>
      </x:c>
      <x:c r="D292" s="6" t="str">
        <x:v>USDC reached $75.266 billion at year-end; Circle’s public listing makes issuer economics more transparent.</x:v>
      </x:c>
      <x:c r="E292" s="6" t="str">
        <x:v>https://www.sec.gov/Archives/edgar/data/1876042/000187604226000062/crcl-20251231.htm</x:v>
      </x:c>
    </x:row>
    <x:row r="293" ht="24" hidden="0" customHeight="1">
      <x:c r="A293" s="12" t="n">
        <x:v>48</x:v>
      </x:c>
      <x:c r="B293" s="6" t="str">
        <x:v>Regulated stablecoin payment rails</x:v>
      </x:c>
      <x:c r="C293" s="12" t="n">
        <x:v>2026</x:v>
      </x:c>
      <x:c r="D293" s="6" t="str">
        <x:v>Circle reported $73.3 billion at June quarter-end. Fiserv announced its digital-asset platform was live on 1 October; neither event establishes total global payment penetration.</x:v>
      </x:c>
      <x:c r="E293" s="6" t="str">
        <x:v>https://www.circle.com/pressroom/circle-reports-second-quarter-2026-results
https://investors.fiserv.com/news-releases/news-release-details/fiserv-digital-asset-platform-goes-live-financial-institution</x:v>
      </x:c>
    </x:row>
    <x:row r="294" ht="15" hidden="0" customHeight="1">
      <x:c r="A294" s="12" t="n">
        <x:v>49</x:v>
      </x:c>
      <x:c r="B294" s="6" t="str">
        <x:v>Earth-observation analytics</x:v>
      </x:c>
      <x:c r="C294" s="12" t="n">
        <x:v>2021</x:v>
      </x:c>
      <x:c r="D294" s="6" t="str">
        <x:v>Planet’s fiscal year ended January 2021 recorded $113.168 million revenue; the metric uses fiscal labels.</x:v>
      </x:c>
      <x:c r="E294" s="6" t="str">
        <x:v>https://www.sec.gov/Archives/edgar/data/1836833/000183683322000008/exhibit991.htm</x:v>
      </x:c>
    </x:row>
    <x:row r="295" ht="15" hidden="0" customHeight="1">
      <x:c r="A295" s="12" t="n">
        <x:v>49</x:v>
      </x:c>
      <x:c r="B295" s="6" t="str">
        <x:v>Earth-observation analytics</x:v>
      </x:c>
      <x:c r="C295" s="12" t="n">
        <x:v>2022</x:v>
      </x:c>
      <x:c r="D295" s="6" t="str">
        <x:v>Planet reported fiscal revenue of $131.209 million.</x:v>
      </x:c>
      <x:c r="E295" s="6" t="str">
        <x:v>https://www.sec.gov/Archives/edgar/data/1836833/000183683322000008/exhibit991.htm</x:v>
      </x:c>
    </x:row>
    <x:row r="296" ht="15" hidden="0" customHeight="1">
      <x:c r="A296" s="12" t="n">
        <x:v>49</x:v>
      </x:c>
      <x:c r="B296" s="6" t="str">
        <x:v>Earth-observation analytics</x:v>
      </x:c>
      <x:c r="C296" s="12" t="n">
        <x:v>2023</x:v>
      </x:c>
      <x:c r="D296" s="6" t="str">
        <x:v>Fiscal revenue reached about $191.3 million; this is a company proxy, not a whole-market census.</x:v>
      </x:c>
      <x:c r="E296" s="6" t="str">
        <x:v>https://www.sec.gov/Archives/edgar/data/1836833/000183683324000056/pl-20240529.htm</x:v>
      </x:c>
    </x:row>
    <x:row r="297" ht="15" hidden="0" customHeight="1">
      <x:c r="A297" s="12" t="n">
        <x:v>49</x:v>
      </x:c>
      <x:c r="B297" s="6" t="str">
        <x:v>Earth-observation analytics</x:v>
      </x:c>
      <x:c r="C297" s="12" t="n">
        <x:v>2024</x:v>
      </x:c>
      <x:c r="D297" s="6" t="str">
        <x:v>Planet fiscal revenue reached about $220.7 million.</x:v>
      </x:c>
      <x:c r="E297" s="6" t="str">
        <x:v>https://www.sec.gov/Archives/edgar/data/1836833/000183683324000056/pl-20240529.htm</x:v>
      </x:c>
    </x:row>
    <x:row r="298" ht="36" hidden="0" customHeight="1">
      <x:c r="A298" s="12" t="n">
        <x:v>49</x:v>
      </x:c>
      <x:c r="B298" s="6" t="str">
        <x:v>Earth-observation analytics</x:v>
      </x:c>
      <x:c r="C298" s="12" t="n">
        <x:v>2025</x:v>
      </x:c>
      <x:c r="D298" s="6" t="str">
        <x:v>Planet fiscal revenue was $244.352 million. Maxar Intelligence rebranded to Vantor later in the calendar year, and IonQ acquired Capella Space.</x:v>
      </x:c>
      <x:c r="E298" s="6" t="str">
        <x:v>https://s29.q4cdn.com/903184914/files/doc_earnings/2026/q4/earnings-result/PL-Q4-26-Press-Release.pdf
https://vantor.com/blog/vantor-rebrands-from-maxar-intelligence-unveils-ai-powered-platform/
https://www.ionq.com/news/ionq-completes-acquisition-of-capella-space-advancing-vision-for-space-based</x:v>
      </x:c>
    </x:row>
    <x:row r="299" ht="24" hidden="0" customHeight="1">
      <x:c r="A299" s="12" t="n">
        <x:v>49</x:v>
      </x:c>
      <x:c r="B299" s="6" t="str">
        <x:v>Earth-observation analytics</x:v>
      </x:c>
      <x:c r="C299" s="12" t="n">
        <x:v>2026</x:v>
      </x:c>
      <x:c r="D299" s="6" t="str">
        <x:v>Planet reported FY2026 revenue of $307.727 million and later $116.1 million for the quarter ended July 31. Its September annual guidance is still a forecast.</x:v>
      </x:c>
      <x:c r="E299" s="6" t="str">
        <x:v>https://s29.q4cdn.com/903184914/files/doc_earnings/2026/q4/earnings-result/PL-Q4-26-Press-Release.pdf
https://investors.planet.com/financials/quarterly-results/</x:v>
      </x:c>
    </x:row>
    <x:row r="300" ht="15" hidden="0" customHeight="1">
      <x:c r="A300" s="12" t="n">
        <x:v>50</x:v>
      </x:c>
      <x:c r="B300" s="6" t="str">
        <x:v>Advanced desalination and water reuse</x:v>
      </x:c>
      <x:c r="C300" s="12" t="n">
        <x:v>2021</x:v>
      </x:c>
      <x:c r="D300" s="6" t="str">
        <x:v>GWRS operated with the 100 MGD design capacity established by its 2015 expansion; the number is a capacity baseline.</x:v>
      </x:c>
      <x:c r="E300" s="6" t="str">
        <x:v>https://www.ocwd.com/gwrs/frequently-asked-questions/</x:v>
      </x:c>
    </x:row>
    <x:row r="301" ht="15" hidden="0" customHeight="1">
      <x:c r="A301" s="12" t="n">
        <x:v>50</x:v>
      </x:c>
      <x:c r="B301" s="6" t="str">
        <x:v>Advanced desalination and water reuse</x:v>
      </x:c>
      <x:c r="C301" s="12" t="n">
        <x:v>2022</x:v>
      </x:c>
      <x:c r="D301" s="6" t="str">
        <x:v>No new comparable GWRS capacity step is reported in the operator timeline; global capacity is not inferred from this one plant.</x:v>
      </x:c>
      <x:c r="E301" s="6" t="str">
        <x:v>https://www.ocwd.com/gwrs/frequently-asked-questions/</x:v>
      </x:c>
    </x:row>
    <x:row r="302" ht="15" hidden="0" customHeight="1">
      <x:c r="A302" s="12" t="n">
        <x:v>50</x:v>
      </x:c>
      <x:c r="B302" s="6" t="str">
        <x:v>Advanced desalination and water reuse</x:v>
      </x:c>
      <x:c r="C302" s="12" t="n">
        <x:v>2023</x:v>
      </x:c>
      <x:c r="D302" s="6" t="str">
        <x:v>GWRS completed its final expansion to 130 MGD, a 30% increase in design capacity.</x:v>
      </x:c>
      <x:c r="E302" s="6" t="str">
        <x:v>https://www.ocwd.com/gwrs/frequently-asked-questions/</x:v>
      </x:c>
    </x:row>
    <x:row r="303" ht="24" hidden="0" customHeight="1">
      <x:c r="A303" s="12" t="n">
        <x:v>50</x:v>
      </x:c>
      <x:c r="B303" s="6" t="str">
        <x:v>Advanced desalination and water reuse</x:v>
      </x:c>
      <x:c r="C303" s="12" t="n">
        <x:v>2024</x:v>
      </x:c>
      <x:c r="D303" s="6" t="str">
        <x:v>The operator’s account retains 130 MGD capacity; this is not evidence of identical daily output.</x:v>
      </x:c>
      <x:c r="E303" s="6" t="str">
        <x:v>https://www.ocwd.com/gwrs/frequently-asked-questions/
https://www.ocwd.com/gwrs/</x:v>
      </x:c>
    </x:row>
    <x:row r="304" ht="15" hidden="0" customHeight="1">
      <x:c r="A304" s="12" t="n">
        <x:v>50</x:v>
      </x:c>
      <x:c r="B304" s="6" t="str">
        <x:v>Advanced desalination and water reuse</x:v>
      </x:c>
      <x:c r="C304" s="12" t="n">
        <x:v>2025</x:v>
      </x:c>
      <x:c r="D304" s="6" t="str">
        <x:v>World Bank published Scaling Water Reuse, assessing potential expansion and the policy/finance needed to deliver it.</x:v>
      </x:c>
      <x:c r="E304" s="6" t="str">
        <x:v>https://documents1.worldbank.org/curated/en/099052025124041274/pdf/P506854-7d49fde0-2526-4bcc-8a85-2a7d1d294ee4.pdf</x:v>
      </x:c>
    </x:row>
    <x:row r="305" ht="24" hidden="0" customHeight="1">
      <x:c r="A305" s="12" t="n">
        <x:v>50</x:v>
      </x:c>
      <x:c r="B305" s="6" t="str">
        <x:v>Advanced desalination and water reuse</x:v>
      </x:c>
      <x:c r="C305" s="12" t="n">
        <x:v>2026</x:v>
      </x:c>
      <x:c r="D305" s="6" t="str">
        <x:v>GWRS continues to state 130 MGD design capacity, while Gradiant announced new financing for industrial-water expansion in May. These are different types of evidence.</x:v>
      </x:c>
      <x:c r="E305" s="6" t="str">
        <x:v>https://www.ocwd.com/gwrs/
https://gradiant.com/</x:v>
      </x:c>
    </x:row>
  </x:sheetData>
  <x:pageMargins left="0.7" right="0.7" top="0.75" bottom="0.75" header="0.3" footer="0.3"/>
  <x:tableParts count="1">
    <x:tablePart xmlns:r="http://schemas.openxmlformats.org/officeDocument/2006/relationships" r:id="R118bf87657a34285"/>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6" hidden="0" customWidth="1"/>
    <x:col min="2" max="2" width="43" hidden="0" customWidth="1"/>
    <x:col min="3" max="3" width="16" hidden="0" customWidth="1"/>
    <x:col min="4" max="4" width="100" hidden="0" customWidth="1"/>
    <x:col min="5" max="5" width="38" hidden="0" customWidth="1"/>
    <x:col min="6" max="6" width="20" hidden="0" customWidth="1"/>
    <x:col min="7" max="7" width="28" hidden="0" customWidth="1"/>
    <x:col min="8" max="8" width="110" hidden="0" customWidth="1"/>
    <x:col min="9" max="9" width="120" hidden="0" customWidth="1"/>
  </x:cols>
  <x:sheetData>
    <x:row r="1" ht="15" hidden="0" customHeight="1">
      <x:c r="A1" s="2"/>
      <x:c r="B1" s="2"/>
      <x:c r="C1" s="2"/>
      <x:c r="D1" s="2"/>
      <x:c r="E1" s="2"/>
      <x:c r="F1" s="2"/>
      <x:c r="G1" s="2"/>
      <x:c r="H1" s="2"/>
      <x:c r="I1" s="2"/>
    </x:row>
    <x:row r="2" ht="28" hidden="0" customHeight="1">
      <x:c r="A2" s="3" t="str">
        <x:v>Source register and claim support</x:v>
      </x:c>
      <x:c r="B2" s="2"/>
      <x:c r="C2" s="2"/>
      <x:c r="D2" s="2"/>
      <x:c r="E2" s="2"/>
      <x:c r="F2" s="2"/>
      <x:c r="G2" s="2"/>
      <x:c r="H2" s="2"/>
      <x:c r="I2" s="2"/>
    </x:row>
    <x:row r="3" ht="25" hidden="0" customHeight="1">
      <x:c r="A3" s="4" t="str">
        <x:v>Original sources used by each profile. URLs are repeated only where the same evidence supports a different trend.</x:v>
      </x:c>
      <x:c r="B3" s="2"/>
      <x:c r="C3" s="2"/>
      <x:c r="D3" s="2"/>
      <x:c r="E3" s="2"/>
      <x:c r="F3" s="2"/>
      <x:c r="G3" s="2"/>
      <x:c r="H3" s="2"/>
      <x:c r="I3" s="2"/>
    </x:row>
    <x:row r="4" ht="15" hidden="0" customHeight="1">
      <x:c r="A4" s="2"/>
      <x:c r="B4" s="2"/>
      <x:c r="C4" s="2"/>
      <x:c r="D4" s="2"/>
      <x:c r="E4" s="2"/>
      <x:c r="F4" s="2"/>
      <x:c r="G4" s="2"/>
      <x:c r="H4" s="2"/>
      <x:c r="I4" s="2"/>
    </x:row>
    <x:row r="5" ht="36" hidden="0" customHeight="1">
      <x:c r="A5" s="11" t="str">
        <x:v>ID</x:v>
      </x:c>
      <x:c r="B5" s="11" t="str">
        <x:v>Technology</x:v>
      </x:c>
      <x:c r="C5" s="11" t="str">
        <x:v>Source ID</x:v>
      </x:c>
      <x:c r="D5" s="11" t="str">
        <x:v>Title</x:v>
      </x:c>
      <x:c r="E5" s="11" t="str">
        <x:v>Publisher</x:v>
      </x:c>
      <x:c r="F5" s="11" t="str">
        <x:v>Publication date</x:v>
      </x:c>
      <x:c r="G5" s="11" t="str">
        <x:v>Type</x:v>
      </x:c>
      <x:c r="H5" s="11" t="str">
        <x:v>What it supports</x:v>
      </x:c>
      <x:c r="I5" s="11" t="str">
        <x:v>URL</x:v>
      </x:c>
    </x:row>
    <x:row r="6" ht="15" hidden="0" customHeight="1">
      <x:c r="A6" s="12" t="n">
        <x:v>1</x:v>
      </x:c>
      <x:c r="B6" s="6" t="str">
        <x:v>AI agents and workflow automation</x:v>
      </x:c>
      <x:c r="C6" s="6" t="str">
        <x:v>a01_s1</x:v>
      </x:c>
      <x:c r="D6" s="6" t="str">
        <x:v>The state of AI in 2026</x:v>
      </x:c>
      <x:c r="E6" s="6" t="str">
        <x:v>McKinsey</x:v>
      </x:c>
      <x:c r="F6" s="6" t="str">
        <x:v>2026-08-25</x:v>
      </x:c>
      <x:c r="G6" s="6" t="str">
        <x:v>Primary research</x:v>
      </x:c>
      <x:c r="H6" s="6" t="str">
        <x:v>40% versus 27% of large organizations scaling agents; survey scope and operational constraints.</x:v>
      </x:c>
      <x:c r="I6" s="6" t="str">
        <x:v>https://www.mckinsey.com/capabilities/quantumblack/our-insights/the-state-of-ai</x:v>
      </x:c>
    </x:row>
    <x:row r="7" ht="15" hidden="0" customHeight="1">
      <x:c r="A7" s="12" t="n">
        <x:v>1</x:v>
      </x:c>
      <x:c r="B7" s="6" t="str">
        <x:v>AI agents and workflow automation</x:v>
      </x:c>
      <x:c r="C7" s="6" t="str">
        <x:v>a01_s2</x:v>
      </x:c>
      <x:c r="D7" s="6" t="str">
        <x:v>The state of AI in 2025</x:v>
      </x:c>
      <x:c r="E7" s="6" t="str">
        <x:v>McKinsey</x:v>
      </x:c>
      <x:c r="F7" s="6" t="str">
        <x:v>2025-11-05</x:v>
      </x:c>
      <x:c r="G7" s="6" t="str">
        <x:v>Primary research</x:v>
      </x:c>
      <x:c r="H7" s="6" t="str">
        <x:v>Overall experimentation and scaling context; distinct from the large-company subgroup.</x:v>
      </x:c>
      <x:c r="I7" s="6" t="str">
        <x:v>https://www.mckinsey.com/featured-insights/artificial-intelligence/the-state-of-ai-2025</x:v>
      </x:c>
    </x:row>
    <x:row r="8" ht="15" hidden="0" customHeight="1">
      <x:c r="A8" s="12" t="n">
        <x:v>1</x:v>
      </x:c>
      <x:c r="B8" s="6" t="str">
        <x:v>AI agents and workflow automation</x:v>
      </x:c>
      <x:c r="C8" s="6" t="str">
        <x:v>a01_s3</x:v>
      </x:c>
      <x:c r="D8" s="6" t="str">
        <x:v>Gartner predicts over 40 percent of agentic AI projects will be canceled by end of 2027</x:v>
      </x:c>
      <x:c r="E8" s="6" t="str">
        <x:v>Gartner</x:v>
      </x:c>
      <x:c r="F8" s="6" t="str">
        <x:v>2025-06-25</x:v>
      </x:c>
      <x:c r="G8" s="6" t="str">
        <x:v>Primary research</x:v>
      </x:c>
      <x:c r="H8" s="6" t="str">
        <x:v>Project-cancellation forecast and 33% of enterprise applications forecast for 2028.</x:v>
      </x:c>
      <x:c r="I8" s="6" t="str">
        <x:v>https://www.gartner.com/en/newsroom/press-releases/2025-06-25-gartner-predicts-over-40-percent-of-agentic-ai-projects-will-be-canceled-by-end-of-2027</x:v>
      </x:c>
    </x:row>
    <x:row r="9" ht="15" hidden="0" customHeight="1">
      <x:c r="A9" s="12" t="n">
        <x:v>1</x:v>
      </x:c>
      <x:c r="B9" s="6" t="str">
        <x:v>AI agents and workflow automation</x:v>
      </x:c>
      <x:c r="C9" s="6" t="str">
        <x:v>a01_s4</x:v>
      </x:c>
      <x:c r="D9" s="6" t="str">
        <x:v>Microsoft 2025 Annual Report</x:v>
      </x:c>
      <x:c r="E9" s="6" t="str">
        <x:v>Microsoft</x:v>
      </x:c>
      <x:c r="F9" s="6" t="str">
        <x:v>2025-07-30</x:v>
      </x:c>
      <x:c r="G9" s="6" t="str">
        <x:v>Company annual report</x:v>
      </x:c>
      <x:c r="H9" s="6" t="str">
        <x:v>Copilot Studio distribution and company product exposure.</x:v>
      </x:c>
      <x:c r="I9" s="6" t="str">
        <x:v>https://www.microsoft.com/investor/reports/ar25/</x:v>
      </x:c>
    </x:row>
    <x:row r="10" ht="15" hidden="0" customHeight="1">
      <x:c r="A10" s="12" t="n">
        <x:v>1</x:v>
      </x:c>
      <x:c r="B10" s="6" t="str">
        <x:v>AI agents and workflow automation</x:v>
      </x:c>
      <x:c r="C10" s="6" t="str">
        <x:v>a01_c1</x:v>
      </x:c>
      <x:c r="D10" s="6" t="str">
        <x:v>Microsoft: product portfolio, company or investor information</x:v>
      </x:c>
      <x:c r="E10" s="6" t="str">
        <x:v>Microsoft</x:v>
      </x:c>
      <x:c r="F10" s="6" t="str"/>
      <x:c r="G10" s="6" t="str">
        <x:v>Company information</x:v>
      </x:c>
      <x:c r="H10" s="6" t="str">
        <x:v>Company portfolio and status context. Its potential economic exposure to this trend is an analyst classification, not a forecast of investment returns.</x:v>
      </x:c>
      <x:c r="I10" s="6" t="str">
        <x:v>https://www.microsoft.com/investor/reports/ar25/</x:v>
      </x:c>
    </x:row>
    <x:row r="11" ht="15" hidden="0" customHeight="1">
      <x:c r="A11" s="12" t="n">
        <x:v>1</x:v>
      </x:c>
      <x:c r="B11" s="6" t="str">
        <x:v>AI agents and workflow automation</x:v>
      </x:c>
      <x:c r="C11" s="6" t="str">
        <x:v>a01_c2</x:v>
      </x:c>
      <x:c r="D11" s="6" t="str">
        <x:v>Alphabet: product portfolio, company or investor information</x:v>
      </x:c>
      <x:c r="E11" s="6" t="str">
        <x:v>Alphabet</x:v>
      </x:c>
      <x:c r="F11" s="6" t="str"/>
      <x:c r="G11" s="6" t="str">
        <x:v>Company information</x:v>
      </x:c>
      <x:c r="H11" s="6" t="str">
        <x:v>Company portfolio and status context. Its potential economic exposure to this trend is an analyst classification, not a forecast of investment returns.</x:v>
      </x:c>
      <x:c r="I11" s="6" t="str">
        <x:v>https://abc.xyz/investor/</x:v>
      </x:c>
    </x:row>
    <x:row r="12" ht="15" hidden="0" customHeight="1">
      <x:c r="A12" s="12" t="n">
        <x:v>1</x:v>
      </x:c>
      <x:c r="B12" s="6" t="str">
        <x:v>AI agents and workflow automation</x:v>
      </x:c>
      <x:c r="C12" s="6" t="str">
        <x:v>a01_c3</x:v>
      </x:c>
      <x:c r="D12" s="6" t="str">
        <x:v>Amazon: product portfolio, company or investor information</x:v>
      </x:c>
      <x:c r="E12" s="6" t="str">
        <x:v>Amazon</x:v>
      </x:c>
      <x:c r="F12" s="6" t="str"/>
      <x:c r="G12" s="6" t="str">
        <x:v>Company information</x:v>
      </x:c>
      <x:c r="H12" s="6" t="str">
        <x:v>Company portfolio and status context. Its potential economic exposure to this trend is an analyst classification, not a forecast of investment returns.</x:v>
      </x:c>
      <x:c r="I12" s="6" t="str">
        <x:v>https://ir.aboutamazon.com/</x:v>
      </x:c>
    </x:row>
    <x:row r="13" ht="15" hidden="0" customHeight="1">
      <x:c r="A13" s="12" t="n">
        <x:v>1</x:v>
      </x:c>
      <x:c r="B13" s="6" t="str">
        <x:v>AI agents and workflow automation</x:v>
      </x:c>
      <x:c r="C13" s="6" t="str">
        <x:v>a01_c4</x:v>
      </x:c>
      <x:c r="D13" s="6" t="str">
        <x:v>Salesforce: product portfolio, company or investor information</x:v>
      </x:c>
      <x:c r="E13" s="6" t="str">
        <x:v>Salesforce</x:v>
      </x:c>
      <x:c r="F13" s="6" t="str"/>
      <x:c r="G13" s="6" t="str">
        <x:v>Company information</x:v>
      </x:c>
      <x:c r="H13" s="6" t="str">
        <x:v>Company portfolio and status context. Its potential economic exposure to this trend is an analyst classification, not a forecast of investment returns.</x:v>
      </x:c>
      <x:c r="I13" s="6" t="str">
        <x:v>https://www.salesforce.com/</x:v>
      </x:c>
    </x:row>
    <x:row r="14" ht="15" hidden="0" customHeight="1">
      <x:c r="A14" s="12" t="n">
        <x:v>1</x:v>
      </x:c>
      <x:c r="B14" s="6" t="str">
        <x:v>AI agents and workflow automation</x:v>
      </x:c>
      <x:c r="C14" s="6" t="str">
        <x:v>a01_c5</x:v>
      </x:c>
      <x:c r="D14" s="6" t="str">
        <x:v>ServiceNow: product portfolio, company or investor information</x:v>
      </x:c>
      <x:c r="E14" s="6" t="str">
        <x:v>ServiceNow</x:v>
      </x:c>
      <x:c r="F14" s="6" t="str"/>
      <x:c r="G14" s="6" t="str">
        <x:v>Company information</x:v>
      </x:c>
      <x:c r="H14" s="6" t="str">
        <x:v>Company portfolio and status context. Its potential economic exposure to this trend is an analyst classification, not a forecast of investment returns.</x:v>
      </x:c>
      <x:c r="I14" s="6" t="str">
        <x:v>https://www.servicenow.com/</x:v>
      </x:c>
    </x:row>
    <x:row r="15" ht="15" hidden="0" customHeight="1">
      <x:c r="A15" s="12" t="n">
        <x:v>1</x:v>
      </x:c>
      <x:c r="B15" s="6" t="str">
        <x:v>AI agents and workflow automation</x:v>
      </x:c>
      <x:c r="C15" s="6" t="str">
        <x:v>a01_c6</x:v>
      </x:c>
      <x:c r="D15" s="6" t="str">
        <x:v>UiPath: product portfolio, company or investor information</x:v>
      </x:c>
      <x:c r="E15" s="6" t="str">
        <x:v>UiPath</x:v>
      </x:c>
      <x:c r="F15" s="6" t="str"/>
      <x:c r="G15" s="6" t="str">
        <x:v>Company information</x:v>
      </x:c>
      <x:c r="H15" s="6" t="str">
        <x:v>Company portfolio and status context. Its potential economic exposure to this trend is an analyst classification, not a forecast of investment returns.</x:v>
      </x:c>
      <x:c r="I15" s="6" t="str">
        <x:v>https://www.uipath.com/</x:v>
      </x:c>
    </x:row>
    <x:row r="16" ht="15" hidden="0" customHeight="1">
      <x:c r="A16" s="12" t="n">
        <x:v>1</x:v>
      </x:c>
      <x:c r="B16" s="6" t="str">
        <x:v>AI agents and workflow automation</x:v>
      </x:c>
      <x:c r="C16" s="6" t="str">
        <x:v>a01_c7</x:v>
      </x:c>
      <x:c r="D16" s="6" t="str">
        <x:v>IBM: product portfolio, company or investor information</x:v>
      </x:c>
      <x:c r="E16" s="6" t="str">
        <x:v>IBM</x:v>
      </x:c>
      <x:c r="F16" s="6" t="str"/>
      <x:c r="G16" s="6" t="str">
        <x:v>Company information</x:v>
      </x:c>
      <x:c r="H16" s="6" t="str">
        <x:v>Company portfolio and status context. Its potential economic exposure to this trend is an analyst classification, not a forecast of investment returns.</x:v>
      </x:c>
      <x:c r="I16" s="6" t="str">
        <x:v>https://www.ibm.com/</x:v>
      </x:c>
    </x:row>
    <x:row r="17" ht="15" hidden="0" customHeight="1">
      <x:c r="A17" s="12" t="n">
        <x:v>1</x:v>
      </x:c>
      <x:c r="B17" s="6" t="str">
        <x:v>AI agents and workflow automation</x:v>
      </x:c>
      <x:c r="C17" s="6" t="str">
        <x:v>a01_c8</x:v>
      </x:c>
      <x:c r="D17" s="6" t="str">
        <x:v>SAP: product portfolio, company or investor information</x:v>
      </x:c>
      <x:c r="E17" s="6" t="str">
        <x:v>SAP</x:v>
      </x:c>
      <x:c r="F17" s="6" t="str"/>
      <x:c r="G17" s="6" t="str">
        <x:v>Company information</x:v>
      </x:c>
      <x:c r="H17" s="6" t="str">
        <x:v>Company portfolio and status context. Its potential economic exposure to this trend is an analyst classification, not a forecast of investment returns.</x:v>
      </x:c>
      <x:c r="I17" s="6" t="str">
        <x:v>https://www.sap.com/</x:v>
      </x:c>
    </x:row>
    <x:row r="18" ht="15" hidden="0" customHeight="1">
      <x:c r="A18" s="12" t="n">
        <x:v>1</x:v>
      </x:c>
      <x:c r="B18" s="6" t="str">
        <x:v>AI agents and workflow automation</x:v>
      </x:c>
      <x:c r="C18" s="6" t="str">
        <x:v>a01_c9</x:v>
      </x:c>
      <x:c r="D18" s="6" t="str">
        <x:v>OpenAI: product portfolio, company or investor information</x:v>
      </x:c>
      <x:c r="E18" s="6" t="str">
        <x:v>OpenAI</x:v>
      </x:c>
      <x:c r="F18" s="6" t="str"/>
      <x:c r="G18" s="6" t="str">
        <x:v>Company information</x:v>
      </x:c>
      <x:c r="H18" s="6" t="str">
        <x:v>Company portfolio and status context. Its potential economic exposure to this trend is an analyst classification, not a forecast of investment returns.</x:v>
      </x:c>
      <x:c r="I18" s="6" t="str">
        <x:v>https://openai.com/index/scaling-ai-for-everyone/</x:v>
      </x:c>
    </x:row>
    <x:row r="19" ht="15" hidden="0" customHeight="1">
      <x:c r="A19" s="12" t="n">
        <x:v>1</x:v>
      </x:c>
      <x:c r="B19" s="6" t="str">
        <x:v>AI agents and workflow automation</x:v>
      </x:c>
      <x:c r="C19" s="6" t="str">
        <x:v>a01_c10</x:v>
      </x:c>
      <x:c r="D19" s="6" t="str">
        <x:v>Anthropic: product portfolio, company or investor information</x:v>
      </x:c>
      <x:c r="E19" s="6" t="str">
        <x:v>Anthropic</x:v>
      </x:c>
      <x:c r="F19" s="6" t="str"/>
      <x:c r="G19" s="6" t="str">
        <x:v>Company information</x:v>
      </x:c>
      <x:c r="H19" s="6" t="str">
        <x:v>Company portfolio and status context. Its potential economic exposure to this trend is an analyst classification, not a forecast of investment returns.</x:v>
      </x:c>
      <x:c r="I19" s="6" t="str">
        <x:v>https://www.anthropic.com/news/series-h</x:v>
      </x:c>
    </x:row>
    <x:row r="20" ht="15" hidden="0" customHeight="1">
      <x:c r="A20" s="12" t="n">
        <x:v>1</x:v>
      </x:c>
      <x:c r="B20" s="6" t="str">
        <x:v>AI agents and workflow automation</x:v>
      </x:c>
      <x:c r="C20" s="6" t="str">
        <x:v>a01_c11</x:v>
      </x:c>
      <x:c r="D20" s="6" t="str">
        <x:v>Glean: product portfolio, company or investor information</x:v>
      </x:c>
      <x:c r="E20" s="6" t="str">
        <x:v>Glean</x:v>
      </x:c>
      <x:c r="F20" s="6" t="str"/>
      <x:c r="G20" s="6" t="str">
        <x:v>Company information</x:v>
      </x:c>
      <x:c r="H20" s="6" t="str">
        <x:v>Company portfolio and status context. Its potential economic exposure to this trend is an analyst classification, not a forecast of investment returns.</x:v>
      </x:c>
      <x:c r="I20" s="6" t="str">
        <x:v>https://www.glean.com/press/glean-surpasses-300m-arr-unrivaled-enterprise-context-fuels-ai-adoption</x:v>
      </x:c>
    </x:row>
    <x:row r="21" ht="15" hidden="0" customHeight="1">
      <x:c r="A21" s="12" t="n">
        <x:v>2</x:v>
      </x:c>
      <x:c r="B21" s="6" t="str">
        <x:v>Multimodal AI copilots</x:v>
      </x:c>
      <x:c r="C21" s="6" t="str">
        <x:v>a02_s1</x:v>
      </x:c>
      <x:c r="D21" s="6" t="str">
        <x:v>Hello GPT-4o</x:v>
      </x:c>
      <x:c r="E21" s="6" t="str">
        <x:v>OpenAI</x:v>
      </x:c>
      <x:c r="F21" s="6" t="str">
        <x:v>2024-05-13</x:v>
      </x:c>
      <x:c r="G21" s="6" t="str">
        <x:v>Primary product announcement</x:v>
      </x:c>
      <x:c r="H21" s="6" t="str">
        <x:v>Technical milestone combining text, vision and audio.</x:v>
      </x:c>
      <x:c r="I21" s="6" t="str">
        <x:v>https://openai.com/index/hello-gpt-4o/</x:v>
      </x:c>
    </x:row>
    <x:row r="22" ht="15" hidden="0" customHeight="1">
      <x:c r="A22" s="12" t="n">
        <x:v>2</x:v>
      </x:c>
      <x:c r="B22" s="6" t="str">
        <x:v>Multimodal AI copilots</x:v>
      </x:c>
      <x:c r="C22" s="6" t="str">
        <x:v>a02_s2</x:v>
      </x:c>
      <x:c r="D22" s="6" t="str">
        <x:v>Hearst and OpenAI partnership</x:v>
      </x:c>
      <x:c r="E22" s="6" t="str">
        <x:v>OpenAI</x:v>
      </x:c>
      <x:c r="F22" s="6" t="str">
        <x:v>2024-10-08</x:v>
      </x:c>
      <x:c r="G22" s="6" t="str">
        <x:v>Company disclosure</x:v>
      </x:c>
      <x:c r="H22" s="6" t="str">
        <x:v>ChatGPT audience above 200 million weekly users.</x:v>
      </x:c>
      <x:c r="I22" s="6" t="str">
        <x:v>https://openai.com/index/hearst/</x:v>
      </x:c>
    </x:row>
    <x:row r="23" ht="15" hidden="0" customHeight="1">
      <x:c r="A23" s="12" t="n">
        <x:v>2</x:v>
      </x:c>
      <x:c r="B23" s="6" t="str">
        <x:v>Multimodal AI copilots</x:v>
      </x:c>
      <x:c r="C23" s="6" t="str">
        <x:v>a02_s3</x:v>
      </x:c>
      <x:c r="D23" s="6" t="str">
        <x:v>The state of enterprise AI 2025</x:v>
      </x:c>
      <x:c r="E23" s="6" t="str">
        <x:v>OpenAI</x:v>
      </x:c>
      <x:c r="F23" s="6" t="str">
        <x:v>2025-12-08</x:v>
      </x:c>
      <x:c r="G23" s="6" t="str">
        <x:v>Company research</x:v>
      </x:c>
      <x:c r="H23" s="6" t="str">
        <x:v>ChatGPT audience above 800 million weekly users; enterprise context.</x:v>
      </x:c>
      <x:c r="I23" s="6" t="str">
        <x:v>https://openai.com/index/the-state-of-enterprise-ai-2025-report/</x:v>
      </x:c>
    </x:row>
    <x:row r="24" ht="15" hidden="0" customHeight="1">
      <x:c r="A24" s="12" t="n">
        <x:v>2</x:v>
      </x:c>
      <x:c r="B24" s="6" t="str">
        <x:v>Multimodal AI copilots</x:v>
      </x:c>
      <x:c r="C24" s="6" t="str">
        <x:v>a02_s4</x:v>
      </x:c>
      <x:c r="D24" s="6" t="str">
        <x:v>The next phase of Education for Countries</x:v>
      </x:c>
      <x:c r="E24" s="6" t="str">
        <x:v>OpenAI</x:v>
      </x:c>
      <x:c r="F24" s="6" t="str">
        <x:v>2026-05-20</x:v>
      </x:c>
      <x:c r="G24" s="6" t="str">
        <x:v>Company disclosure</x:v>
      </x:c>
      <x:c r="H24" s="6" t="str">
        <x:v>ChatGPT above 900 million weekly users.</x:v>
      </x:c>
      <x:c r="I24" s="6" t="str">
        <x:v>https://openai.com/index/the-next-phase-of-education-for-countries/</x:v>
      </x:c>
    </x:row>
    <x:row r="25" ht="15" hidden="0" customHeight="1">
      <x:c r="A25" s="12" t="n">
        <x:v>2</x:v>
      </x:c>
      <x:c r="B25" s="6" t="str">
        <x:v>Multimodal AI copilots</x:v>
      </x:c>
      <x:c r="C25" s="6" t="str">
        <x:v>a02_c1</x:v>
      </x:c>
      <x:c r="D25" s="6" t="str">
        <x:v>Microsoft: product portfolio, company or investor information</x:v>
      </x:c>
      <x:c r="E25" s="6" t="str">
        <x:v>Microsoft</x:v>
      </x:c>
      <x:c r="F25" s="6" t="str"/>
      <x:c r="G25" s="6" t="str">
        <x:v>Company information</x:v>
      </x:c>
      <x:c r="H25" s="6" t="str">
        <x:v>Company portfolio and status context. Its potential economic exposure to this trend is an analyst classification, not a forecast of investment returns.</x:v>
      </x:c>
      <x:c r="I25" s="6" t="str">
        <x:v>https://www.microsoft.com/investor/reports/ar25/</x:v>
      </x:c>
    </x:row>
    <x:row r="26" ht="15" hidden="0" customHeight="1">
      <x:c r="A26" s="12" t="n">
        <x:v>2</x:v>
      </x:c>
      <x:c r="B26" s="6" t="str">
        <x:v>Multimodal AI copilots</x:v>
      </x:c>
      <x:c r="C26" s="6" t="str">
        <x:v>a02_c2</x:v>
      </x:c>
      <x:c r="D26" s="6" t="str">
        <x:v>Alphabet: product portfolio, company or investor information</x:v>
      </x:c>
      <x:c r="E26" s="6" t="str">
        <x:v>Alphabet</x:v>
      </x:c>
      <x:c r="F26" s="6" t="str"/>
      <x:c r="G26" s="6" t="str">
        <x:v>Company information</x:v>
      </x:c>
      <x:c r="H26" s="6" t="str">
        <x:v>Company portfolio and status context. Its potential economic exposure to this trend is an analyst classification, not a forecast of investment returns.</x:v>
      </x:c>
      <x:c r="I26" s="6" t="str">
        <x:v>https://abc.xyz/investor/</x:v>
      </x:c>
    </x:row>
    <x:row r="27" ht="15" hidden="0" customHeight="1">
      <x:c r="A27" s="12" t="n">
        <x:v>2</x:v>
      </x:c>
      <x:c r="B27" s="6" t="str">
        <x:v>Multimodal AI copilots</x:v>
      </x:c>
      <x:c r="C27" s="6" t="str">
        <x:v>a02_c3</x:v>
      </x:c>
      <x:c r="D27" s="6" t="str">
        <x:v>Apple: product portfolio, company or investor information</x:v>
      </x:c>
      <x:c r="E27" s="6" t="str">
        <x:v>Apple</x:v>
      </x:c>
      <x:c r="F27" s="6" t="str"/>
      <x:c r="G27" s="6" t="str">
        <x:v>Company information</x:v>
      </x:c>
      <x:c r="H27" s="6" t="str">
        <x:v>Company portfolio and status context. Its potential economic exposure to this trend is an analyst classification, not a forecast of investment returns.</x:v>
      </x:c>
      <x:c r="I27" s="6" t="str">
        <x:v>https://investor.apple.com/</x:v>
      </x:c>
    </x:row>
    <x:row r="28" ht="15" hidden="0" customHeight="1">
      <x:c r="A28" s="12" t="n">
        <x:v>2</x:v>
      </x:c>
      <x:c r="B28" s="6" t="str">
        <x:v>Multimodal AI copilots</x:v>
      </x:c>
      <x:c r="C28" s="6" t="str">
        <x:v>a02_c4</x:v>
      </x:c>
      <x:c r="D28" s="6" t="str">
        <x:v>Amazon: product portfolio, company or investor information</x:v>
      </x:c>
      <x:c r="E28" s="6" t="str">
        <x:v>Amazon</x:v>
      </x:c>
      <x:c r="F28" s="6" t="str"/>
      <x:c r="G28" s="6" t="str">
        <x:v>Company information</x:v>
      </x:c>
      <x:c r="H28" s="6" t="str">
        <x:v>Company portfolio and status context. Its potential economic exposure to this trend is an analyst classification, not a forecast of investment returns.</x:v>
      </x:c>
      <x:c r="I28" s="6" t="str">
        <x:v>https://ir.aboutamazon.com/</x:v>
      </x:c>
    </x:row>
    <x:row r="29" ht="15" hidden="0" customHeight="1">
      <x:c r="A29" s="12" t="n">
        <x:v>2</x:v>
      </x:c>
      <x:c r="B29" s="6" t="str">
        <x:v>Multimodal AI copilots</x:v>
      </x:c>
      <x:c r="C29" s="6" t="str">
        <x:v>a02_c5</x:v>
      </x:c>
      <x:c r="D29" s="6" t="str">
        <x:v>Meta Platforms: product portfolio, company or investor information</x:v>
      </x:c>
      <x:c r="E29" s="6" t="str">
        <x:v>Meta Platforms</x:v>
      </x:c>
      <x:c r="F29" s="6" t="str"/>
      <x:c r="G29" s="6" t="str">
        <x:v>Company information</x:v>
      </x:c>
      <x:c r="H29" s="6" t="str">
        <x:v>Company portfolio and status context. Its potential economic exposure to this trend is an analyst classification, not a forecast of investment returns.</x:v>
      </x:c>
      <x:c r="I29" s="6" t="str">
        <x:v>https://investor.atmeta.com/</x:v>
      </x:c>
    </x:row>
    <x:row r="30" ht="15" hidden="0" customHeight="1">
      <x:c r="A30" s="12" t="n">
        <x:v>2</x:v>
      </x:c>
      <x:c r="B30" s="6" t="str">
        <x:v>Multimodal AI copilots</x:v>
      </x:c>
      <x:c r="C30" s="6" t="str">
        <x:v>a02_c6</x:v>
      </x:c>
      <x:c r="D30" s="6" t="str">
        <x:v>Adobe: product portfolio, company or investor information</x:v>
      </x:c>
      <x:c r="E30" s="6" t="str">
        <x:v>Adobe</x:v>
      </x:c>
      <x:c r="F30" s="6" t="str"/>
      <x:c r="G30" s="6" t="str">
        <x:v>Company information</x:v>
      </x:c>
      <x:c r="H30" s="6" t="str">
        <x:v>Company portfolio and status context. Its potential economic exposure to this trend is an analyst classification, not a forecast of investment returns.</x:v>
      </x:c>
      <x:c r="I30" s="6" t="str">
        <x:v>https://www.adobe.com/</x:v>
      </x:c>
    </x:row>
    <x:row r="31" ht="15" hidden="0" customHeight="1">
      <x:c r="A31" s="12" t="n">
        <x:v>2</x:v>
      </x:c>
      <x:c r="B31" s="6" t="str">
        <x:v>Multimodal AI copilots</x:v>
      </x:c>
      <x:c r="C31" s="6" t="str">
        <x:v>a02_c7</x:v>
      </x:c>
      <x:c r="D31" s="6" t="str">
        <x:v>Salesforce: product portfolio, company or investor information</x:v>
      </x:c>
      <x:c r="E31" s="6" t="str">
        <x:v>Salesforce</x:v>
      </x:c>
      <x:c r="F31" s="6" t="str"/>
      <x:c r="G31" s="6" t="str">
        <x:v>Company information</x:v>
      </x:c>
      <x:c r="H31" s="6" t="str">
        <x:v>Company portfolio and status context. Its potential economic exposure to this trend is an analyst classification, not a forecast of investment returns.</x:v>
      </x:c>
      <x:c r="I31" s="6" t="str">
        <x:v>https://www.salesforce.com/</x:v>
      </x:c>
    </x:row>
    <x:row r="32" ht="15" hidden="0" customHeight="1">
      <x:c r="A32" s="12" t="n">
        <x:v>2</x:v>
      </x:c>
      <x:c r="B32" s="6" t="str">
        <x:v>Multimodal AI copilots</x:v>
      </x:c>
      <x:c r="C32" s="6" t="str">
        <x:v>a02_c8</x:v>
      </x:c>
      <x:c r="D32" s="6" t="str">
        <x:v>NVIDIA: product portfolio, company or investor information</x:v>
      </x:c>
      <x:c r="E32" s="6" t="str">
        <x:v>NVIDIA</x:v>
      </x:c>
      <x:c r="F32" s="6" t="str"/>
      <x:c r="G32" s="6" t="str">
        <x:v>Company information</x:v>
      </x:c>
      <x:c r="H32" s="6" t="str">
        <x:v>Company portfolio and status context. Its potential economic exposure to this trend is an analyst classification, not a forecast of investment returns.</x:v>
      </x:c>
      <x:c r="I32" s="6" t="str">
        <x:v>https://investor.nvidia.com/</x:v>
      </x:c>
    </x:row>
    <x:row r="33" ht="15" hidden="0" customHeight="1">
      <x:c r="A33" s="12" t="n">
        <x:v>2</x:v>
      </x:c>
      <x:c r="B33" s="6" t="str">
        <x:v>Multimodal AI copilots</x:v>
      </x:c>
      <x:c r="C33" s="6" t="str">
        <x:v>a02_c9</x:v>
      </x:c>
      <x:c r="D33" s="6" t="str">
        <x:v>OpenAI: product portfolio, company or investor information</x:v>
      </x:c>
      <x:c r="E33" s="6" t="str">
        <x:v>OpenAI</x:v>
      </x:c>
      <x:c r="F33" s="6" t="str"/>
      <x:c r="G33" s="6" t="str">
        <x:v>Company information</x:v>
      </x:c>
      <x:c r="H33" s="6" t="str">
        <x:v>Company portfolio and status context. Its potential economic exposure to this trend is an analyst classification, not a forecast of investment returns.</x:v>
      </x:c>
      <x:c r="I33" s="6" t="str">
        <x:v>https://openai.com/index/scaling-ai-for-everyone/</x:v>
      </x:c>
    </x:row>
    <x:row r="34" ht="15" hidden="0" customHeight="1">
      <x:c r="A34" s="12" t="n">
        <x:v>2</x:v>
      </x:c>
      <x:c r="B34" s="6" t="str">
        <x:v>Multimodal AI copilots</x:v>
      </x:c>
      <x:c r="C34" s="6" t="str">
        <x:v>a02_c10</x:v>
      </x:c>
      <x:c r="D34" s="6" t="str">
        <x:v>Anthropic: product portfolio, company or investor information</x:v>
      </x:c>
      <x:c r="E34" s="6" t="str">
        <x:v>Anthropic</x:v>
      </x:c>
      <x:c r="F34" s="6" t="str"/>
      <x:c r="G34" s="6" t="str">
        <x:v>Company information</x:v>
      </x:c>
      <x:c r="H34" s="6" t="str">
        <x:v>Company portfolio and status context. Its potential economic exposure to this trend is an analyst classification, not a forecast of investment returns.</x:v>
      </x:c>
      <x:c r="I34" s="6" t="str">
        <x:v>https://www.anthropic.com/news/series-h</x:v>
      </x:c>
    </x:row>
    <x:row r="35" ht="15" hidden="0" customHeight="1">
      <x:c r="A35" s="12" t="n">
        <x:v>3</x:v>
      </x:c>
      <x:c r="B35" s="6" t="str">
        <x:v>Edge and on-device AI</x:v>
      </x:c>
      <x:c r="C35" s="6" t="str">
        <x:v>a03_s1</x:v>
      </x:c>
      <x:c r="D35" s="6" t="str">
        <x:v>Global GenAI-capable smartphone report, Q1 2025</x:v>
      </x:c>
      <x:c r="E35" s="6" t="str">
        <x:v>Counterpoint Research</x:v>
      </x:c>
      <x:c r="F35" s="6" t="str">
        <x:v>2025</x:v>
      </x:c>
      <x:c r="G35" s="6" t="str">
        <x:v>Primary research</x:v>
      </x:c>
      <x:c r="H35" s="6" t="str">
        <x:v>Catalog grew from 123 models in Q4 2024 to 143 in Q1 2025. Exact report publication date was not exposed.</x:v>
      </x:c>
      <x:c r="I35" s="6" t="str">
        <x:v>https://counterpointresearch.com/de/reports/global-genai-capable-smartphone-report-q1-2025</x:v>
      </x:c>
    </x:row>
    <x:row r="36" ht="15" hidden="0" customHeight="1">
      <x:c r="A36" s="12" t="n">
        <x:v>3</x:v>
      </x:c>
      <x:c r="B36" s="6" t="str">
        <x:v>Edge and on-device AI</x:v>
      </x:c>
      <x:c r="C36" s="6" t="str">
        <x:v>a03_s2</x:v>
      </x:c>
      <x:c r="D36" s="6" t="str">
        <x:v>AI PCs to represent 31 percent of worldwide PC market by end of 2025</x:v>
      </x:c>
      <x:c r="E36" s="6" t="str">
        <x:v>Gartner</x:v>
      </x:c>
      <x:c r="F36" s="6" t="str">
        <x:v>2025-08-28</x:v>
      </x:c>
      <x:c r="G36" s="6" t="str">
        <x:v>Primary research</x:v>
      </x:c>
      <x:c r="H36" s="6" t="str">
        <x:v>2026 forecast of 143 million AI PCs and expected normality by 2029.</x:v>
      </x:c>
      <x:c r="I36" s="6" t="str">
        <x:v>https://www.gartner.com/en/newsroom/press-releases/2025-08-28-gartner-says-artificial-intelligence-pcs-will-represent-31-percent-of-worldwide-pc-market-by-the-end-of-2025</x:v>
      </x:c>
    </x:row>
    <x:row r="37" ht="15" hidden="0" customHeight="1">
      <x:c r="A37" s="12" t="n">
        <x:v>3</x:v>
      </x:c>
      <x:c r="B37" s="6" t="str">
        <x:v>Edge and on-device AI</x:v>
      </x:c>
      <x:c r="C37" s="6" t="str">
        <x:v>a03_s3</x:v>
      </x:c>
      <x:c r="D37" s="6" t="str">
        <x:v>State of enterprise IoT: from IoT to autonomous connected operations</x:v>
      </x:c>
      <x:c r="E37" s="6" t="str">
        <x:v>IoT Analytics</x:v>
      </x:c>
      <x:c r="F37" s="6" t="str">
        <x:v>2026-02-04</x:v>
      </x:c>
      <x:c r="G37" s="6" t="str">
        <x:v>Primary research</x:v>
      </x:c>
      <x:c r="H37" s="6" t="str">
        <x:v>Less than 1% of the IoT base contained true edge AI acceleration at December 2025.</x:v>
      </x:c>
      <x:c r="I37" s="6" t="str">
        <x:v>https://iot-analytics.com/state-of-enterprise-iot-from-iot-autonomous-connected-operations/</x:v>
      </x:c>
    </x:row>
    <x:row r="38" ht="15" hidden="0" customHeight="1">
      <x:c r="A38" s="12" t="n">
        <x:v>3</x:v>
      </x:c>
      <x:c r="B38" s="6" t="str">
        <x:v>Edge and on-device AI</x:v>
      </x:c>
      <x:c r="C38" s="6" t="str">
        <x:v>a03_s4</x:v>
      </x:c>
      <x:c r="D38" s="6" t="str">
        <x:v>Higher ASPs, lower unit volumes: the memory crisis reshapes the PC and smartphone outlook</x:v>
      </x:c>
      <x:c r="E38" s="6" t="str">
        <x:v>IDC</x:v>
      </x:c>
      <x:c r="F38" s="6" t="str">
        <x:v>2026-03</x:v>
      </x:c>
      <x:c r="G38" s="6" t="str">
        <x:v>Primary research</x:v>
      </x:c>
      <x:c r="H38" s="6" t="str">
        <x:v>Memory and device-market constraints qualify prior forecasts.</x:v>
      </x:c>
      <x:c r="I38" s="6" t="str">
        <x:v>https://www.idc.com/resource-center/blog/higher-asps-lower-unit-volumes-how-the-memory-crisis-is-reshaping-the-pc-and-smartphone-outlook/</x:v>
      </x:c>
    </x:row>
    <x:row r="39" ht="15" hidden="0" customHeight="1">
      <x:c r="A39" s="12" t="n">
        <x:v>3</x:v>
      </x:c>
      <x:c r="B39" s="6" t="str">
        <x:v>Edge and on-device AI</x:v>
      </x:c>
      <x:c r="C39" s="6" t="str">
        <x:v>a03_s5</x:v>
      </x:c>
      <x:c r="D39" s="6" t="str">
        <x:v>The future of next-gen AI smartphones</x:v>
      </x:c>
      <x:c r="E39" s="6" t="str">
        <x:v>IDC</x:v>
      </x:c>
      <x:c r="F39" s="6" t="str">
        <x:v>2024-02-19</x:v>
      </x:c>
      <x:c r="G39" s="6" t="str">
        <x:v>Primary research</x:v>
      </x:c>
      <x:c r="H39" s="6" t="str">
        <x:v>Next-generation device definition and first 2023 products.</x:v>
      </x:c>
      <x:c r="I39" s="6" t="str">
        <x:v>https://www.idc.com/resource-center/blog/the-future-of-next-gen-ai-smartphones/</x:v>
      </x:c>
    </x:row>
    <x:row r="40" ht="15" hidden="0" customHeight="1">
      <x:c r="A40" s="12" t="n">
        <x:v>3</x:v>
      </x:c>
      <x:c r="B40" s="6" t="str">
        <x:v>Edge and on-device AI</x:v>
      </x:c>
      <x:c r="C40" s="6" t="str">
        <x:v>a03_s6</x:v>
      </x:c>
      <x:c r="D40" s="6" t="str">
        <x:v>Microchip Technology completes acquisition of Hailo</x:v>
      </x:c>
      <x:c r="E40" s="6" t="str">
        <x:v>Microchip</x:v>
      </x:c>
      <x:c r="F40" s="6" t="str">
        <x:v>2026-09-21</x:v>
      </x:c>
      <x:c r="G40" s="6" t="str">
        <x:v>Company announcement</x:v>
      </x:c>
      <x:c r="H40" s="6" t="str">
        <x:v>Hailo is owned by public Microchip at cutoff.</x:v>
      </x:c>
      <x:c r="I40" s="6" t="str">
        <x:v>https://ir.microchip.com/news-events/press-releases/detail/1415/microchip-technology-completes-acquisition-of-hailo</x:v>
      </x:c>
    </x:row>
    <x:row r="41" ht="15" hidden="0" customHeight="1">
      <x:c r="A41" s="12" t="n">
        <x:v>3</x:v>
      </x:c>
      <x:c r="B41" s="6" t="str">
        <x:v>Edge and on-device AI</x:v>
      </x:c>
      <x:c r="C41" s="6" t="str">
        <x:v>a03_c1</x:v>
      </x:c>
      <x:c r="D41" s="6" t="str">
        <x:v>Qualcomm: product portfolio, company or investor information</x:v>
      </x:c>
      <x:c r="E41" s="6" t="str">
        <x:v>Qualcomm</x:v>
      </x:c>
      <x:c r="F41" s="6" t="str"/>
      <x:c r="G41" s="6" t="str">
        <x:v>Company information</x:v>
      </x:c>
      <x:c r="H41" s="6" t="str">
        <x:v>Company portfolio and status context. Its potential economic exposure to this trend is an analyst classification, not a forecast of investment returns.</x:v>
      </x:c>
      <x:c r="I41" s="6" t="str">
        <x:v>https://investor.qualcomm.com/</x:v>
      </x:c>
    </x:row>
    <x:row r="42" ht="15" hidden="0" customHeight="1">
      <x:c r="A42" s="12" t="n">
        <x:v>3</x:v>
      </x:c>
      <x:c r="B42" s="6" t="str">
        <x:v>Edge and on-device AI</x:v>
      </x:c>
      <x:c r="C42" s="6" t="str">
        <x:v>a03_c2</x:v>
      </x:c>
      <x:c r="D42" s="6" t="str">
        <x:v>Apple: product portfolio, company or investor information</x:v>
      </x:c>
      <x:c r="E42" s="6" t="str">
        <x:v>Apple</x:v>
      </x:c>
      <x:c r="F42" s="6" t="str"/>
      <x:c r="G42" s="6" t="str">
        <x:v>Company information</x:v>
      </x:c>
      <x:c r="H42" s="6" t="str">
        <x:v>Company portfolio and status context. Its potential economic exposure to this trend is an analyst classification, not a forecast of investment returns.</x:v>
      </x:c>
      <x:c r="I42" s="6" t="str">
        <x:v>https://investor.apple.com/</x:v>
      </x:c>
    </x:row>
    <x:row r="43" ht="15" hidden="0" customHeight="1">
      <x:c r="A43" s="12" t="n">
        <x:v>3</x:v>
      </x:c>
      <x:c r="B43" s="6" t="str">
        <x:v>Edge and on-device AI</x:v>
      </x:c>
      <x:c r="C43" s="6" t="str">
        <x:v>a03_c3</x:v>
      </x:c>
      <x:c r="D43" s="6" t="str">
        <x:v>AMD: product portfolio, company or investor information</x:v>
      </x:c>
      <x:c r="E43" s="6" t="str">
        <x:v>AMD</x:v>
      </x:c>
      <x:c r="F43" s="6" t="str"/>
      <x:c r="G43" s="6" t="str">
        <x:v>Company information</x:v>
      </x:c>
      <x:c r="H43" s="6" t="str">
        <x:v>Company portfolio and status context. Its potential economic exposure to this trend is an analyst classification, not a forecast of investment returns.</x:v>
      </x:c>
      <x:c r="I43" s="6" t="str">
        <x:v>https://ir.amd.com/</x:v>
      </x:c>
    </x:row>
    <x:row r="44" ht="15" hidden="0" customHeight="1">
      <x:c r="A44" s="12" t="n">
        <x:v>3</x:v>
      </x:c>
      <x:c r="B44" s="6" t="str">
        <x:v>Edge and on-device AI</x:v>
      </x:c>
      <x:c r="C44" s="6" t="str">
        <x:v>a03_c4</x:v>
      </x:c>
      <x:c r="D44" s="6" t="str">
        <x:v>Intel: product portfolio, company or investor information</x:v>
      </x:c>
      <x:c r="E44" s="6" t="str">
        <x:v>Intel</x:v>
      </x:c>
      <x:c r="F44" s="6" t="str"/>
      <x:c r="G44" s="6" t="str">
        <x:v>Company information</x:v>
      </x:c>
      <x:c r="H44" s="6" t="str">
        <x:v>Company portfolio and status context. Its potential economic exposure to this trend is an analyst classification, not a forecast of investment returns.</x:v>
      </x:c>
      <x:c r="I44" s="6" t="str">
        <x:v>https://www.intc.com/</x:v>
      </x:c>
    </x:row>
    <x:row r="45" ht="15" hidden="0" customHeight="1">
      <x:c r="A45" s="12" t="n">
        <x:v>3</x:v>
      </x:c>
      <x:c r="B45" s="6" t="str">
        <x:v>Edge and on-device AI</x:v>
      </x:c>
      <x:c r="C45" s="6" t="str">
        <x:v>a03_c5</x:v>
      </x:c>
      <x:c r="D45" s="6" t="str">
        <x:v>MediaTek: product portfolio, company or investor information</x:v>
      </x:c>
      <x:c r="E45" s="6" t="str">
        <x:v>MediaTek</x:v>
      </x:c>
      <x:c r="F45" s="6" t="str"/>
      <x:c r="G45" s="6" t="str">
        <x:v>Company information</x:v>
      </x:c>
      <x:c r="H45" s="6" t="str">
        <x:v>Company portfolio and status context. Its potential economic exposure to this trend is an analyst classification, not a forecast of investment returns.</x:v>
      </x:c>
      <x:c r="I45" s="6" t="str">
        <x:v>https://www.mediatek.com/</x:v>
      </x:c>
    </x:row>
    <x:row r="46" ht="15" hidden="0" customHeight="1">
      <x:c r="A46" s="12" t="n">
        <x:v>3</x:v>
      </x:c>
      <x:c r="B46" s="6" t="str">
        <x:v>Edge and on-device AI</x:v>
      </x:c>
      <x:c r="C46" s="6" t="str">
        <x:v>a03_c6</x:v>
      </x:c>
      <x:c r="D46" s="6" t="str">
        <x:v>Arm: product portfolio, company or investor information</x:v>
      </x:c>
      <x:c r="E46" s="6" t="str">
        <x:v>Arm</x:v>
      </x:c>
      <x:c r="F46" s="6" t="str"/>
      <x:c r="G46" s="6" t="str">
        <x:v>Company information</x:v>
      </x:c>
      <x:c r="H46" s="6" t="str">
        <x:v>Company portfolio and status context. Its potential economic exposure to this trend is an analyst classification, not a forecast of investment returns.</x:v>
      </x:c>
      <x:c r="I46" s="6" t="str">
        <x:v>https://investors.arm.com/</x:v>
      </x:c>
    </x:row>
    <x:row r="47" ht="15" hidden="0" customHeight="1">
      <x:c r="A47" s="12" t="n">
        <x:v>3</x:v>
      </x:c>
      <x:c r="B47" s="6" t="str">
        <x:v>Edge and on-device AI</x:v>
      </x:c>
      <x:c r="C47" s="6" t="str">
        <x:v>a03_c7</x:v>
      </x:c>
      <x:c r="D47" s="6" t="str">
        <x:v>NXP: product portfolio, company or investor information</x:v>
      </x:c>
      <x:c r="E47" s="6" t="str">
        <x:v>NXP</x:v>
      </x:c>
      <x:c r="F47" s="6" t="str"/>
      <x:c r="G47" s="6" t="str">
        <x:v>Company information</x:v>
      </x:c>
      <x:c r="H47" s="6" t="str">
        <x:v>Company portfolio and status context. Its potential economic exposure to this trend is an analyst classification, not a forecast of investment returns.</x:v>
      </x:c>
      <x:c r="I47" s="6" t="str">
        <x:v>https://www.nxp.com/</x:v>
      </x:c>
    </x:row>
    <x:row r="48" ht="15" hidden="0" customHeight="1">
      <x:c r="A48" s="12" t="n">
        <x:v>3</x:v>
      </x:c>
      <x:c r="B48" s="6" t="str">
        <x:v>Edge and on-device AI</x:v>
      </x:c>
      <x:c r="C48" s="6" t="str">
        <x:v>a03_c8</x:v>
      </x:c>
      <x:c r="D48" s="6" t="str">
        <x:v>Microchip Technology: product portfolio, company or investor information</x:v>
      </x:c>
      <x:c r="E48" s="6" t="str">
        <x:v>Microchip Technology</x:v>
      </x:c>
      <x:c r="F48" s="6" t="str"/>
      <x:c r="G48" s="6" t="str">
        <x:v>Company information</x:v>
      </x:c>
      <x:c r="H48" s="6" t="str">
        <x:v>Company portfolio and status context. Its potential economic exposure to this trend is an analyst classification, not a forecast of investment returns.</x:v>
      </x:c>
      <x:c r="I48" s="6" t="str">
        <x:v>https://ir.microchip.com/news-events/press-releases/detail/1415/microchip-technology-completes-acquisition-of-hailo</x:v>
      </x:c>
    </x:row>
    <x:row r="49" ht="15" hidden="0" customHeight="1">
      <x:c r="A49" s="12" t="n">
        <x:v>3</x:v>
      </x:c>
      <x:c r="B49" s="6" t="str">
        <x:v>Edge and on-device AI</x:v>
      </x:c>
      <x:c r="C49" s="6" t="str">
        <x:v>a03_c9</x:v>
      </x:c>
      <x:c r="D49" s="6" t="str">
        <x:v>SiMa.ai: product portfolio, company or investor information</x:v>
      </x:c>
      <x:c r="E49" s="6" t="str">
        <x:v>SiMa.ai</x:v>
      </x:c>
      <x:c r="F49" s="6" t="str"/>
      <x:c r="G49" s="6" t="str">
        <x:v>Company information</x:v>
      </x:c>
      <x:c r="H49" s="6" t="str">
        <x:v>Company portfolio and status context. Its potential economic exposure to this trend is an analyst classification, not a forecast of investment returns.</x:v>
      </x:c>
      <x:c r="I49" s="6" t="str">
        <x:v>https://sima.ai/press-release/sima-ai-reaches-1-45b-valuation-with-500-million-in-total-funding-to-scale-physical-ai-in-humanoids-automotive-and-drones/</x:v>
      </x:c>
    </x:row>
    <x:row r="50" ht="15" hidden="0" customHeight="1">
      <x:c r="A50" s="12" t="n">
        <x:v>3</x:v>
      </x:c>
      <x:c r="B50" s="6" t="str">
        <x:v>Edge and on-device AI</x:v>
      </x:c>
      <x:c r="C50" s="6" t="str">
        <x:v>a03_c10</x:v>
      </x:c>
      <x:c r="D50" s="6" t="str">
        <x:v>Baya Systems: product portfolio, company or investor information</x:v>
      </x:c>
      <x:c r="E50" s="6" t="str">
        <x:v>Baya Systems</x:v>
      </x:c>
      <x:c r="F50" s="6" t="str"/>
      <x:c r="G50" s="6" t="str">
        <x:v>Company information</x:v>
      </x:c>
      <x:c r="H50" s="6" t="str">
        <x:v>Company portfolio and status context. Its potential economic exposure to this trend is an analyst classification, not a forecast of investment returns.</x:v>
      </x:c>
      <x:c r="I50" s="6" t="str">
        <x:v>https://bayasystems.com/press-releases/baya-systems-raises-36m-propel-ai-chiplet-innovation/</x:v>
      </x:c>
    </x:row>
    <x:row r="51" ht="15" hidden="0" customHeight="1">
      <x:c r="A51" s="12" t="n">
        <x:v>4</x:v>
      </x:c>
      <x:c r="B51" s="6" t="str">
        <x:v>AI-native software development</x:v>
      </x:c>
      <x:c r="C51" s="6" t="str">
        <x:v>a04_s1</x:v>
      </x:c>
      <x:c r="D51" s="6" t="str">
        <x:v>FY2024 first-quarter earnings call</x:v>
      </x:c>
      <x:c r="E51" s="6" t="str">
        <x:v>Microsoft</x:v>
      </x:c>
      <x:c r="F51" s="6" t="str">
        <x:v>2023-10-24</x:v>
      </x:c>
      <x:c r="G51" s="6" t="str">
        <x:v>Company earnings</x:v>
      </x:c>
      <x:c r="H51" s="6" t="str">
        <x:v>More than one million paid Copilot users.</x:v>
      </x:c>
      <x:c r="I51" s="6" t="str">
        <x:v>https://www.microsoft.com/en-us/Investor/events/FY-2024/earnings-fy-2024-q1.aspx</x:v>
      </x:c>
    </x:row>
    <x:row r="52" ht="15" hidden="0" customHeight="1">
      <x:c r="A52" s="12" t="n">
        <x:v>4</x:v>
      </x:c>
      <x:c r="B52" s="6" t="str">
        <x:v>AI-native software development</x:v>
      </x:c>
      <x:c r="C52" s="6" t="str">
        <x:v>a04_s2</x:v>
      </x:c>
      <x:c r="D52" s="6" t="str">
        <x:v>Microsoft 2024 Annual Report</x:v>
      </x:c>
      <x:c r="E52" s="6" t="str">
        <x:v>Microsoft</x:v>
      </x:c>
      <x:c r="F52" s="6" t="str">
        <x:v>2024-07-30</x:v>
      </x:c>
      <x:c r="G52" s="6" t="str">
        <x:v>Company annual report</x:v>
      </x:c>
      <x:c r="H52" s="6" t="str">
        <x:v>1.8 million paid GitHub Copilot users.</x:v>
      </x:c>
      <x:c r="I52" s="6" t="str">
        <x:v>https://www.microsoft.com/investor/reports/ar24/index.html</x:v>
      </x:c>
    </x:row>
    <x:row r="53" ht="15" hidden="0" customHeight="1">
      <x:c r="A53" s="12" t="n">
        <x:v>4</x:v>
      </x:c>
      <x:c r="B53" s="6" t="str">
        <x:v>AI-native software development</x:v>
      </x:c>
      <x:c r="C53" s="6" t="str">
        <x:v>a04_s3</x:v>
      </x:c>
      <x:c r="D53" s="6" t="str">
        <x:v>Microsoft 2025 Annual Report</x:v>
      </x:c>
      <x:c r="E53" s="6" t="str">
        <x:v>Microsoft</x:v>
      </x:c>
      <x:c r="F53" s="6" t="str">
        <x:v>2025-07-30</x:v>
      </x:c>
      <x:c r="G53" s="6" t="str">
        <x:v>Company annual report</x:v>
      </x:c>
      <x:c r="H53" s="6" t="str">
        <x:v>20 million total users, not a paid-subscriber continuation.</x:v>
      </x:c>
      <x:c r="I53" s="6" t="str">
        <x:v>https://www.microsoft.com/investor/reports/ar25/</x:v>
      </x:c>
    </x:row>
    <x:row r="54" ht="15" hidden="0" customHeight="1">
      <x:c r="A54" s="12" t="n">
        <x:v>4</x:v>
      </x:c>
      <x:c r="B54" s="6" t="str">
        <x:v>AI-native software development</x:v>
      </x:c>
      <x:c r="C54" s="6" t="str">
        <x:v>a04_s4</x:v>
      </x:c>
      <x:c r="D54" s="6" t="str">
        <x:v>Introducing GitHub Copilot: your AI pair programmer</x:v>
      </x:c>
      <x:c r="E54" s="6" t="str">
        <x:v>GitHub</x:v>
      </x:c>
      <x:c r="F54" s="6" t="str">
        <x:v>2021-06-29</x:v>
      </x:c>
      <x:c r="G54" s="6" t="str">
        <x:v>Primary product announcement</x:v>
      </x:c>
      <x:c r="H54" s="6" t="str">
        <x:v>2021 product introduction.</x:v>
      </x:c>
      <x:c r="I54" s="6" t="str">
        <x:v>https://github.blog/news-insights/product-news/introducing-github-copilot-ai-pair-programmer/</x:v>
      </x:c>
    </x:row>
    <x:row r="55" ht="15" hidden="0" customHeight="1">
      <x:c r="A55" s="12" t="n">
        <x:v>4</x:v>
      </x:c>
      <x:c r="B55" s="6" t="str">
        <x:v>AI-native software development</x:v>
      </x:c>
      <x:c r="C55" s="6" t="str">
        <x:v>a04_s5</x:v>
      </x:c>
      <x:c r="D55" s="6" t="str">
        <x:v>The state of AI in 2026</x:v>
      </x:c>
      <x:c r="E55" s="6" t="str">
        <x:v>McKinsey</x:v>
      </x:c>
      <x:c r="F55" s="6" t="str">
        <x:v>2026-08-25</x:v>
      </x:c>
      <x:c r="G55" s="6" t="str">
        <x:v>Primary research</x:v>
      </x:c>
      <x:c r="H55" s="6" t="str">
        <x:v>Large organizations scaling coding agents.</x:v>
      </x:c>
      <x:c r="I55" s="6" t="str">
        <x:v>https://www.mckinsey.com/capabilities/quantumblack/our-insights/the-state-of-ai</x:v>
      </x:c>
    </x:row>
    <x:row r="56" ht="15" hidden="0" customHeight="1">
      <x:c r="A56" s="12" t="n">
        <x:v>4</x:v>
      </x:c>
      <x:c r="B56" s="6" t="str">
        <x:v>AI-native software development</x:v>
      </x:c>
      <x:c r="C56" s="6" t="str">
        <x:v>a04_s6</x:v>
      </x:c>
      <x:c r="D56" s="6" t="str">
        <x:v>Cursor company announcements</x:v>
      </x:c>
      <x:c r="E56" s="6" t="str">
        <x:v>Cursor</x:v>
      </x:c>
      <x:c r="F56" s="6" t="str">
        <x:v>2026-08-14</x:v>
      </x:c>
      <x:c r="G56" s="6" t="str">
        <x:v>Company announcement</x:v>
      </x:c>
      <x:c r="H56" s="6" t="str">
        <x:v>Cursor is now part of SpaceX.</x:v>
      </x:c>
      <x:c r="I56" s="6" t="str">
        <x:v>https://cursor.com/blog/topic/company</x:v>
      </x:c>
    </x:row>
    <x:row r="57" ht="15" hidden="0" customHeight="1">
      <x:c r="A57" s="12" t="n">
        <x:v>4</x:v>
      </x:c>
      <x:c r="B57" s="6" t="str">
        <x:v>AI-native software development</x:v>
      </x:c>
      <x:c r="C57" s="6" t="str">
        <x:v>a04_c1</x:v>
      </x:c>
      <x:c r="D57" s="6" t="str">
        <x:v>Microsoft: product portfolio, company or investor information</x:v>
      </x:c>
      <x:c r="E57" s="6" t="str">
        <x:v>Microsoft</x:v>
      </x:c>
      <x:c r="F57" s="6" t="str"/>
      <x:c r="G57" s="6" t="str">
        <x:v>Company information</x:v>
      </x:c>
      <x:c r="H57" s="6" t="str">
        <x:v>Company portfolio and status context. Its potential economic exposure to this trend is an analyst classification, not a forecast of investment returns.</x:v>
      </x:c>
      <x:c r="I57" s="6" t="str">
        <x:v>https://www.microsoft.com/investor/reports/ar25/</x:v>
      </x:c>
    </x:row>
    <x:row r="58" ht="15" hidden="0" customHeight="1">
      <x:c r="A58" s="12" t="n">
        <x:v>4</x:v>
      </x:c>
      <x:c r="B58" s="6" t="str">
        <x:v>AI-native software development</x:v>
      </x:c>
      <x:c r="C58" s="6" t="str">
        <x:v>a04_c2</x:v>
      </x:c>
      <x:c r="D58" s="6" t="str">
        <x:v>Alphabet: product portfolio, company or investor information</x:v>
      </x:c>
      <x:c r="E58" s="6" t="str">
        <x:v>Alphabet</x:v>
      </x:c>
      <x:c r="F58" s="6" t="str"/>
      <x:c r="G58" s="6" t="str">
        <x:v>Company information</x:v>
      </x:c>
      <x:c r="H58" s="6" t="str">
        <x:v>Company portfolio and status context. Its potential economic exposure to this trend is an analyst classification, not a forecast of investment returns.</x:v>
      </x:c>
      <x:c r="I58" s="6" t="str">
        <x:v>https://abc.xyz/investor/</x:v>
      </x:c>
    </x:row>
    <x:row r="59" ht="15" hidden="0" customHeight="1">
      <x:c r="A59" s="12" t="n">
        <x:v>4</x:v>
      </x:c>
      <x:c r="B59" s="6" t="str">
        <x:v>AI-native software development</x:v>
      </x:c>
      <x:c r="C59" s="6" t="str">
        <x:v>a04_c3</x:v>
      </x:c>
      <x:c r="D59" s="6" t="str">
        <x:v>Amazon: product portfolio, company or investor information</x:v>
      </x:c>
      <x:c r="E59" s="6" t="str">
        <x:v>Amazon</x:v>
      </x:c>
      <x:c r="F59" s="6" t="str"/>
      <x:c r="G59" s="6" t="str">
        <x:v>Company information</x:v>
      </x:c>
      <x:c r="H59" s="6" t="str">
        <x:v>Company portfolio and status context. Its potential economic exposure to this trend is an analyst classification, not a forecast of investment returns.</x:v>
      </x:c>
      <x:c r="I59" s="6" t="str">
        <x:v>https://ir.aboutamazon.com/</x:v>
      </x:c>
    </x:row>
    <x:row r="60" ht="15" hidden="0" customHeight="1">
      <x:c r="A60" s="12" t="n">
        <x:v>4</x:v>
      </x:c>
      <x:c r="B60" s="6" t="str">
        <x:v>AI-native software development</x:v>
      </x:c>
      <x:c r="C60" s="6" t="str">
        <x:v>a04_c4</x:v>
      </x:c>
      <x:c r="D60" s="6" t="str">
        <x:v>IBM: product portfolio, company or investor information</x:v>
      </x:c>
      <x:c r="E60" s="6" t="str">
        <x:v>IBM</x:v>
      </x:c>
      <x:c r="F60" s="6" t="str"/>
      <x:c r="G60" s="6" t="str">
        <x:v>Company information</x:v>
      </x:c>
      <x:c r="H60" s="6" t="str">
        <x:v>Company portfolio and status context. Its potential economic exposure to this trend is an analyst classification, not a forecast of investment returns.</x:v>
      </x:c>
      <x:c r="I60" s="6" t="str">
        <x:v>https://www.ibm.com/</x:v>
      </x:c>
    </x:row>
    <x:row r="61" ht="15" hidden="0" customHeight="1">
      <x:c r="A61" s="12" t="n">
        <x:v>4</x:v>
      </x:c>
      <x:c r="B61" s="6" t="str">
        <x:v>AI-native software development</x:v>
      </x:c>
      <x:c r="C61" s="6" t="str">
        <x:v>a04_c5</x:v>
      </x:c>
      <x:c r="D61" s="6" t="str">
        <x:v>GitLab: product portfolio, company or investor information</x:v>
      </x:c>
      <x:c r="E61" s="6" t="str">
        <x:v>GitLab</x:v>
      </x:c>
      <x:c r="F61" s="6" t="str"/>
      <x:c r="G61" s="6" t="str">
        <x:v>Company information</x:v>
      </x:c>
      <x:c r="H61" s="6" t="str">
        <x:v>Company portfolio and status context. Its potential economic exposure to this trend is an analyst classification, not a forecast of investment returns.</x:v>
      </x:c>
      <x:c r="I61" s="6" t="str">
        <x:v>https://about.gitlab.com/</x:v>
      </x:c>
    </x:row>
    <x:row r="62" ht="15" hidden="0" customHeight="1">
      <x:c r="A62" s="12" t="n">
        <x:v>4</x:v>
      </x:c>
      <x:c r="B62" s="6" t="str">
        <x:v>AI-native software development</x:v>
      </x:c>
      <x:c r="C62" s="6" t="str">
        <x:v>a04_c6</x:v>
      </x:c>
      <x:c r="D62" s="6" t="str">
        <x:v>SpaceX: product portfolio, company or investor information</x:v>
      </x:c>
      <x:c r="E62" s="6" t="str">
        <x:v>SpaceX</x:v>
      </x:c>
      <x:c r="F62" s="6" t="str"/>
      <x:c r="G62" s="6" t="str">
        <x:v>Company information</x:v>
      </x:c>
      <x:c r="H62" s="6" t="str">
        <x:v>Company portfolio and status context. Its potential economic exposure to this trend is an analyst classification, not a forecast of investment returns.</x:v>
      </x:c>
      <x:c r="I62" s="6" t="str">
        <x:v>https://ir.spacex.com/faqs-and-contact/</x:v>
      </x:c>
    </x:row>
    <x:row r="63" ht="15" hidden="0" customHeight="1">
      <x:c r="A63" s="12" t="n">
        <x:v>4</x:v>
      </x:c>
      <x:c r="B63" s="6" t="str">
        <x:v>AI-native software development</x:v>
      </x:c>
      <x:c r="C63" s="6" t="str">
        <x:v>a04_c7</x:v>
      </x:c>
      <x:c r="D63" s="6" t="str">
        <x:v>OpenAI: product portfolio, company or investor information</x:v>
      </x:c>
      <x:c r="E63" s="6" t="str">
        <x:v>OpenAI</x:v>
      </x:c>
      <x:c r="F63" s="6" t="str"/>
      <x:c r="G63" s="6" t="str">
        <x:v>Company information</x:v>
      </x:c>
      <x:c r="H63" s="6" t="str">
        <x:v>Company portfolio and status context. Its potential economic exposure to this trend is an analyst classification, not a forecast of investment returns.</x:v>
      </x:c>
      <x:c r="I63" s="6" t="str">
        <x:v>https://openai.com/index/scaling-ai-for-everyone/</x:v>
      </x:c>
    </x:row>
    <x:row r="64" ht="15" hidden="0" customHeight="1">
      <x:c r="A64" s="12" t="n">
        <x:v>4</x:v>
      </x:c>
      <x:c r="B64" s="6" t="str">
        <x:v>AI-native software development</x:v>
      </x:c>
      <x:c r="C64" s="6" t="str">
        <x:v>a04_c8</x:v>
      </x:c>
      <x:c r="D64" s="6" t="str">
        <x:v>Anthropic: product portfolio, company or investor information</x:v>
      </x:c>
      <x:c r="E64" s="6" t="str">
        <x:v>Anthropic</x:v>
      </x:c>
      <x:c r="F64" s="6" t="str"/>
      <x:c r="G64" s="6" t="str">
        <x:v>Company information</x:v>
      </x:c>
      <x:c r="H64" s="6" t="str">
        <x:v>Company portfolio and status context. Its potential economic exposure to this trend is an analyst classification, not a forecast of investment returns.</x:v>
      </x:c>
      <x:c r="I64" s="6" t="str">
        <x:v>https://www.anthropic.com/news/series-h</x:v>
      </x:c>
    </x:row>
    <x:row r="65" ht="15" hidden="0" customHeight="1">
      <x:c r="A65" s="12" t="n">
        <x:v>4</x:v>
      </x:c>
      <x:c r="B65" s="6" t="str">
        <x:v>AI-native software development</x:v>
      </x:c>
      <x:c r="C65" s="6" t="str">
        <x:v>a04_c9</x:v>
      </x:c>
      <x:c r="D65" s="6" t="str">
        <x:v>JetBrains: product portfolio, company or investor information</x:v>
      </x:c>
      <x:c r="E65" s="6" t="str">
        <x:v>JetBrains</x:v>
      </x:c>
      <x:c r="F65" s="6" t="str"/>
      <x:c r="G65" s="6" t="str">
        <x:v>Company information</x:v>
      </x:c>
      <x:c r="H65" s="6" t="str">
        <x:v>Company portfolio and status context. Its potential economic exposure to this trend is an analyst classification, not a forecast of investment returns.</x:v>
      </x:c>
      <x:c r="I65" s="6" t="str">
        <x:v>https://www.jetbrains.com/</x:v>
      </x:c>
    </x:row>
    <x:row r="66" ht="15" hidden="0" customHeight="1">
      <x:c r="A66" s="12" t="n">
        <x:v>4</x:v>
      </x:c>
      <x:c r="B66" s="6" t="str">
        <x:v>AI-native software development</x:v>
      </x:c>
      <x:c r="C66" s="6" t="str">
        <x:v>a04_c10</x:v>
      </x:c>
      <x:c r="D66" s="6" t="str">
        <x:v>Replit: product portfolio, company or investor information</x:v>
      </x:c>
      <x:c r="E66" s="6" t="str">
        <x:v>Replit</x:v>
      </x:c>
      <x:c r="F66" s="6" t="str"/>
      <x:c r="G66" s="6" t="str">
        <x:v>Company information</x:v>
      </x:c>
      <x:c r="H66" s="6" t="str">
        <x:v>Company portfolio and status context. Its potential economic exposure to this trend is an analyst classification, not a forecast of investment returns.</x:v>
      </x:c>
      <x:c r="I66" s="6" t="str">
        <x:v>https://replit.com/</x:v>
      </x:c>
    </x:row>
    <x:row r="67" ht="15" hidden="0" customHeight="1">
      <x:c r="A67" s="12" t="n">
        <x:v>4</x:v>
      </x:c>
      <x:c r="B67" s="6" t="str">
        <x:v>AI-native software development</x:v>
      </x:c>
      <x:c r="C67" s="6" t="str">
        <x:v>a04_c11</x:v>
      </x:c>
      <x:c r="D67" s="6" t="str">
        <x:v>Cognition: product portfolio, company or investor information</x:v>
      </x:c>
      <x:c r="E67" s="6" t="str">
        <x:v>Cognition</x:v>
      </x:c>
      <x:c r="F67" s="6" t="str"/>
      <x:c r="G67" s="6" t="str">
        <x:v>Company information</x:v>
      </x:c>
      <x:c r="H67" s="6" t="str">
        <x:v>Company portfolio and status context. Its potential economic exposure to this trend is an analyst classification, not a forecast of investment returns.</x:v>
      </x:c>
      <x:c r="I67" s="6" t="str">
        <x:v>https://cognition.com/</x:v>
      </x:c>
    </x:row>
    <x:row r="68" ht="15" hidden="0" customHeight="1">
      <x:c r="A68" s="12" t="n">
        <x:v>5</x:v>
      </x:c>
      <x:c r="B68" s="6" t="str">
        <x:v>AI search and enterprise knowledge retrieval</x:v>
      </x:c>
      <x:c r="C68" s="6" t="str">
        <x:v>a05_s1</x:v>
      </x:c>
      <x:c r="D68" s="6" t="str">
        <x:v>Glean surpasses US$200 million ARR</x:v>
      </x:c>
      <x:c r="E68" s="6" t="str">
        <x:v>Glean</x:v>
      </x:c>
      <x:c r="F68" s="6" t="str">
        <x:v>2025-12-08</x:v>
      </x:c>
      <x:c r="G68" s="6" t="str">
        <x:v>Company disclosure</x:v>
      </x:c>
      <x:c r="H68" s="6" t="str">
        <x:v>US$200 million ARR milestone and nine-month doubling disclosure.</x:v>
      </x:c>
      <x:c r="I68" s="6" t="str">
        <x:v>https://www.glean.com/press/glean-surpasses-200m-in-arr-for-enterprise-ai-doubling-revenue-in-nine-months</x:v>
      </x:c>
    </x:row>
    <x:row r="69" ht="15" hidden="0" customHeight="1">
      <x:c r="A69" s="12" t="n">
        <x:v>5</x:v>
      </x:c>
      <x:c r="B69" s="6" t="str">
        <x:v>AI search and enterprise knowledge retrieval</x:v>
      </x:c>
      <x:c r="C69" s="6" t="str">
        <x:v>a05_s2</x:v>
      </x:c>
      <x:c r="D69" s="6" t="str">
        <x:v>Glean surpasses US$300 million ARR</x:v>
      </x:c>
      <x:c r="E69" s="6" t="str">
        <x:v>Glean</x:v>
      </x:c>
      <x:c r="F69" s="6" t="str">
        <x:v>2026-05-28</x:v>
      </x:c>
      <x:c r="G69" s="6" t="str">
        <x:v>Company disclosure</x:v>
      </x:c>
      <x:c r="H69" s="6" t="str">
        <x:v>US$300 million ARR milestone.</x:v>
      </x:c>
      <x:c r="I69" s="6" t="str">
        <x:v>https://www.glean.com/press/glean-surpasses-300m-arr-unrivaled-enterprise-context-fuels-ai-adoption</x:v>
      </x:c>
    </x:row>
    <x:row r="70" ht="15" hidden="0" customHeight="1">
      <x:c r="A70" s="12" t="n">
        <x:v>5</x:v>
      </x:c>
      <x:c r="B70" s="6" t="str">
        <x:v>AI search and enterprise knowledge retrieval</x:v>
      </x:c>
      <x:c r="C70" s="6" t="str">
        <x:v>a05_s3</x:v>
      </x:c>
      <x:c r="D70" s="6" t="str">
        <x:v>Introducing ChatGPT search</x:v>
      </x:c>
      <x:c r="E70" s="6" t="str">
        <x:v>OpenAI</x:v>
      </x:c>
      <x:c r="F70" s="6" t="str">
        <x:v>2024-10-31</x:v>
      </x:c>
      <x:c r="G70" s="6" t="str">
        <x:v>Primary product announcement</x:v>
      </x:c>
      <x:c r="H70" s="6" t="str">
        <x:v>Search launch and February 2025 access expansion update.</x:v>
      </x:c>
      <x:c r="I70" s="6" t="str">
        <x:v>https://openai.com/index/introducing-chatgpt-search/</x:v>
      </x:c>
    </x:row>
    <x:row r="71" ht="15" hidden="0" customHeight="1">
      <x:c r="A71" s="12" t="n">
        <x:v>5</x:v>
      </x:c>
      <x:c r="B71" s="6" t="str">
        <x:v>AI search and enterprise knowledge retrieval</x:v>
      </x:c>
      <x:c r="C71" s="6" t="str">
        <x:v>a05_s4</x:v>
      </x:c>
      <x:c r="D71" s="6" t="str">
        <x:v>Pinecone product and knowledge platform</x:v>
      </x:c>
      <x:c r="E71" s="6" t="str">
        <x:v>Pinecone</x:v>
      </x:c>
      <x:c r="F71" s="6" t="str"/>
      <x:c r="G71" s="6" t="str">
        <x:v>Company product documentation</x:v>
      </x:c>
      <x:c r="H71" s="6" t="str">
        <x:v>Vector and enterprise knowledge infrastructure exposure.</x:v>
      </x:c>
      <x:c r="I71" s="6" t="str">
        <x:v>https://www.pinecone.io/</x:v>
      </x:c>
    </x:row>
    <x:row r="72" ht="15" hidden="0" customHeight="1">
      <x:c r="A72" s="12" t="n">
        <x:v>5</x:v>
      </x:c>
      <x:c r="B72" s="6" t="str">
        <x:v>AI search and enterprise knowledge retrieval</x:v>
      </x:c>
      <x:c r="C72" s="6" t="str">
        <x:v>a05_c1</x:v>
      </x:c>
      <x:c r="D72" s="6" t="str">
        <x:v>Microsoft: product portfolio, company or investor information</x:v>
      </x:c>
      <x:c r="E72" s="6" t="str">
        <x:v>Microsoft</x:v>
      </x:c>
      <x:c r="F72" s="6" t="str"/>
      <x:c r="G72" s="6" t="str">
        <x:v>Company information</x:v>
      </x:c>
      <x:c r="H72" s="6" t="str">
        <x:v>Company portfolio and status context. Its potential economic exposure to this trend is an analyst classification, not a forecast of investment returns.</x:v>
      </x:c>
      <x:c r="I72" s="6" t="str">
        <x:v>https://www.microsoft.com/investor/reports/ar25/</x:v>
      </x:c>
    </x:row>
    <x:row r="73" ht="15" hidden="0" customHeight="1">
      <x:c r="A73" s="12" t="n">
        <x:v>5</x:v>
      </x:c>
      <x:c r="B73" s="6" t="str">
        <x:v>AI search and enterprise knowledge retrieval</x:v>
      </x:c>
      <x:c r="C73" s="6" t="str">
        <x:v>a05_c2</x:v>
      </x:c>
      <x:c r="D73" s="6" t="str">
        <x:v>Alphabet: product portfolio, company or investor information</x:v>
      </x:c>
      <x:c r="E73" s="6" t="str">
        <x:v>Alphabet</x:v>
      </x:c>
      <x:c r="F73" s="6" t="str"/>
      <x:c r="G73" s="6" t="str">
        <x:v>Company information</x:v>
      </x:c>
      <x:c r="H73" s="6" t="str">
        <x:v>Company portfolio and status context. Its potential economic exposure to this trend is an analyst classification, not a forecast of investment returns.</x:v>
      </x:c>
      <x:c r="I73" s="6" t="str">
        <x:v>https://abc.xyz/investor/</x:v>
      </x:c>
    </x:row>
    <x:row r="74" ht="15" hidden="0" customHeight="1">
      <x:c r="A74" s="12" t="n">
        <x:v>5</x:v>
      </x:c>
      <x:c r="B74" s="6" t="str">
        <x:v>AI search and enterprise knowledge retrieval</x:v>
      </x:c>
      <x:c r="C74" s="6" t="str">
        <x:v>a05_c3</x:v>
      </x:c>
      <x:c r="D74" s="6" t="str">
        <x:v>Amazon: product portfolio, company or investor information</x:v>
      </x:c>
      <x:c r="E74" s="6" t="str">
        <x:v>Amazon</x:v>
      </x:c>
      <x:c r="F74" s="6" t="str"/>
      <x:c r="G74" s="6" t="str">
        <x:v>Company information</x:v>
      </x:c>
      <x:c r="H74" s="6" t="str">
        <x:v>Company portfolio and status context. Its potential economic exposure to this trend is an analyst classification, not a forecast of investment returns.</x:v>
      </x:c>
      <x:c r="I74" s="6" t="str">
        <x:v>https://ir.aboutamazon.com/</x:v>
      </x:c>
    </x:row>
    <x:row r="75" ht="15" hidden="0" customHeight="1">
      <x:c r="A75" s="12" t="n">
        <x:v>5</x:v>
      </x:c>
      <x:c r="B75" s="6" t="str">
        <x:v>AI search and enterprise knowledge retrieval</x:v>
      </x:c>
      <x:c r="C75" s="6" t="str">
        <x:v>a05_c4</x:v>
      </x:c>
      <x:c r="D75" s="6" t="str">
        <x:v>Elastic: product portfolio, company or investor information</x:v>
      </x:c>
      <x:c r="E75" s="6" t="str">
        <x:v>Elastic</x:v>
      </x:c>
      <x:c r="F75" s="6" t="str"/>
      <x:c r="G75" s="6" t="str">
        <x:v>Company information</x:v>
      </x:c>
      <x:c r="H75" s="6" t="str">
        <x:v>Company portfolio and status context. Its potential economic exposure to this trend is an analyst classification, not a forecast of investment returns.</x:v>
      </x:c>
      <x:c r="I75" s="6" t="str">
        <x:v>https://www.elastic.co/</x:v>
      </x:c>
    </x:row>
    <x:row r="76" ht="15" hidden="0" customHeight="1">
      <x:c r="A76" s="12" t="n">
        <x:v>5</x:v>
      </x:c>
      <x:c r="B76" s="6" t="str">
        <x:v>AI search and enterprise knowledge retrieval</x:v>
      </x:c>
      <x:c r="C76" s="6" t="str">
        <x:v>a05_c5</x:v>
      </x:c>
      <x:c r="D76" s="6" t="str">
        <x:v>Snowflake: product portfolio, company or investor information</x:v>
      </x:c>
      <x:c r="E76" s="6" t="str">
        <x:v>Snowflake</x:v>
      </x:c>
      <x:c r="F76" s="6" t="str"/>
      <x:c r="G76" s="6" t="str">
        <x:v>Company information</x:v>
      </x:c>
      <x:c r="H76" s="6" t="str">
        <x:v>Company portfolio and status context. Its potential economic exposure to this trend is an analyst classification, not a forecast of investment returns.</x:v>
      </x:c>
      <x:c r="I76" s="6" t="str">
        <x:v>https://www.snowflake.com/</x:v>
      </x:c>
    </x:row>
    <x:row r="77" ht="15" hidden="0" customHeight="1">
      <x:c r="A77" s="12" t="n">
        <x:v>5</x:v>
      </x:c>
      <x:c r="B77" s="6" t="str">
        <x:v>AI search and enterprise knowledge retrieval</x:v>
      </x:c>
      <x:c r="C77" s="6" t="str">
        <x:v>a05_c6</x:v>
      </x:c>
      <x:c r="D77" s="6" t="str">
        <x:v>Oracle: product portfolio, company or investor information</x:v>
      </x:c>
      <x:c r="E77" s="6" t="str">
        <x:v>Oracle</x:v>
      </x:c>
      <x:c r="F77" s="6" t="str"/>
      <x:c r="G77" s="6" t="str">
        <x:v>Company information</x:v>
      </x:c>
      <x:c r="H77" s="6" t="str">
        <x:v>Company portfolio and status context. Its potential economic exposure to this trend is an analyst classification, not a forecast of investment returns.</x:v>
      </x:c>
      <x:c r="I77" s="6" t="str">
        <x:v>https://www.oracle.com/</x:v>
      </x:c>
    </x:row>
    <x:row r="78" ht="15" hidden="0" customHeight="1">
      <x:c r="A78" s="12" t="n">
        <x:v>5</x:v>
      </x:c>
      <x:c r="B78" s="6" t="str">
        <x:v>AI search and enterprise knowledge retrieval</x:v>
      </x:c>
      <x:c r="C78" s="6" t="str">
        <x:v>a05_c7</x:v>
      </x:c>
      <x:c r="D78" s="6" t="str">
        <x:v>Cloudflare: product portfolio, company or investor information</x:v>
      </x:c>
      <x:c r="E78" s="6" t="str">
        <x:v>Cloudflare</x:v>
      </x:c>
      <x:c r="F78" s="6" t="str"/>
      <x:c r="G78" s="6" t="str">
        <x:v>Company information</x:v>
      </x:c>
      <x:c r="H78" s="6" t="str">
        <x:v>Company portfolio and status context. Its potential economic exposure to this trend is an analyst classification, not a forecast of investment returns.</x:v>
      </x:c>
      <x:c r="I78" s="6" t="str">
        <x:v>https://blog.cloudflare.com/post-quantum-roadmap/</x:v>
      </x:c>
    </x:row>
    <x:row r="79" ht="15" hidden="0" customHeight="1">
      <x:c r="A79" s="12" t="n">
        <x:v>5</x:v>
      </x:c>
      <x:c r="B79" s="6" t="str">
        <x:v>AI search and enterprise knowledge retrieval</x:v>
      </x:c>
      <x:c r="C79" s="6" t="str">
        <x:v>a05_c8</x:v>
      </x:c>
      <x:c r="D79" s="6" t="str">
        <x:v>Glean: product portfolio, company or investor information</x:v>
      </x:c>
      <x:c r="E79" s="6" t="str">
        <x:v>Glean</x:v>
      </x:c>
      <x:c r="F79" s="6" t="str"/>
      <x:c r="G79" s="6" t="str">
        <x:v>Company information</x:v>
      </x:c>
      <x:c r="H79" s="6" t="str">
        <x:v>Company portfolio and status context. Its potential economic exposure to this trend is an analyst classification, not a forecast of investment returns.</x:v>
      </x:c>
      <x:c r="I79" s="6" t="str">
        <x:v>https://www.glean.com/press/glean-surpasses-300m-arr-unrivaled-enterprise-context-fuels-ai-adoption</x:v>
      </x:c>
    </x:row>
    <x:row r="80" ht="15" hidden="0" customHeight="1">
      <x:c r="A80" s="12" t="n">
        <x:v>5</x:v>
      </x:c>
      <x:c r="B80" s="6" t="str">
        <x:v>AI search and enterprise knowledge retrieval</x:v>
      </x:c>
      <x:c r="C80" s="6" t="str">
        <x:v>a05_c9</x:v>
      </x:c>
      <x:c r="D80" s="6" t="str">
        <x:v>Perplexity: product portfolio, company or investor information</x:v>
      </x:c>
      <x:c r="E80" s="6" t="str">
        <x:v>Perplexity</x:v>
      </x:c>
      <x:c r="F80" s="6" t="str"/>
      <x:c r="G80" s="6" t="str">
        <x:v>Company information</x:v>
      </x:c>
      <x:c r="H80" s="6" t="str">
        <x:v>Company portfolio and status context. Its potential economic exposure to this trend is an analyst classification, not a forecast of investment returns.</x:v>
      </x:c>
      <x:c r="I80" s="6" t="str">
        <x:v>https://www.perplexity.ai/</x:v>
      </x:c>
    </x:row>
    <x:row r="81" ht="15" hidden="0" customHeight="1">
      <x:c r="A81" s="12" t="n">
        <x:v>5</x:v>
      </x:c>
      <x:c r="B81" s="6" t="str">
        <x:v>AI search and enterprise knowledge retrieval</x:v>
      </x:c>
      <x:c r="C81" s="6" t="str">
        <x:v>a05_c10</x:v>
      </x:c>
      <x:c r="D81" s="6" t="str">
        <x:v>Pinecone: product portfolio, company or investor information</x:v>
      </x:c>
      <x:c r="E81" s="6" t="str">
        <x:v>Pinecone</x:v>
      </x:c>
      <x:c r="F81" s="6" t="str"/>
      <x:c r="G81" s="6" t="str">
        <x:v>Company information</x:v>
      </x:c>
      <x:c r="H81" s="6" t="str">
        <x:v>Company portfolio and status context. Its potential economic exposure to this trend is an analyst classification, not a forecast of investment returns.</x:v>
      </x:c>
      <x:c r="I81" s="6" t="str">
        <x:v>https://www.pinecone.io/</x:v>
      </x:c>
    </x:row>
    <x:row r="82" ht="15" hidden="0" customHeight="1">
      <x:c r="A82" s="12" t="n">
        <x:v>5</x:v>
      </x:c>
      <x:c r="B82" s="6" t="str">
        <x:v>AI search and enterprise knowledge retrieval</x:v>
      </x:c>
      <x:c r="C82" s="6" t="str">
        <x:v>a05_c11</x:v>
      </x:c>
      <x:c r="D82" s="6" t="str">
        <x:v>Weaviate: product portfolio, company or investor information</x:v>
      </x:c>
      <x:c r="E82" s="6" t="str">
        <x:v>Weaviate</x:v>
      </x:c>
      <x:c r="F82" s="6" t="str"/>
      <x:c r="G82" s="6" t="str">
        <x:v>Company information</x:v>
      </x:c>
      <x:c r="H82" s="6" t="str">
        <x:v>Company portfolio and status context. Its potential economic exposure to this trend is an analyst classification, not a forecast of investment returns.</x:v>
      </x:c>
      <x:c r="I82" s="6" t="str">
        <x:v>https://weaviate.io/</x:v>
      </x:c>
    </x:row>
    <x:row r="83" ht="15" hidden="0" customHeight="1">
      <x:c r="A83" s="12" t="n">
        <x:v>6</x:v>
      </x:c>
      <x:c r="B83" s="6" t="str">
        <x:v>AI accelerators and heterogeneous computing</x:v>
      </x:c>
      <x:c r="C83" s="6" t="str">
        <x:v>a06_s1</x:v>
      </x:c>
      <x:c r="D83" s="6" t="str">
        <x:v>NVIDIA fourth-quarter and fiscal 2026 results</x:v>
      </x:c>
      <x:c r="E83" s="6" t="str">
        <x:v>NVIDIA</x:v>
      </x:c>
      <x:c r="F83" s="6" t="str">
        <x:v>2026-02-25</x:v>
      </x:c>
      <x:c r="G83" s="6" t="str">
        <x:v>Company earnings</x:v>
      </x:c>
      <x:c r="H83" s="6" t="str">
        <x:v>FY2026 Data Center revenue about US$193.7 billion; fiscal period ended January 25.</x:v>
      </x:c>
      <x:c r="I83" s="6" t="str">
        <x:v>https://investor.nvidia.com/news/press-release-details/2026/NVIDIA-Announces-Financial-Results-for-Fourth-Quarter-and-Fiscal-2026/</x:v>
      </x:c>
    </x:row>
    <x:row r="84" ht="15" hidden="0" customHeight="1">
      <x:c r="A84" s="12" t="n">
        <x:v>6</x:v>
      </x:c>
      <x:c r="B84" s="6" t="str">
        <x:v>AI accelerators and heterogeneous computing</x:v>
      </x:c>
      <x:c r="C84" s="6" t="str">
        <x:v>a06_s2</x:v>
      </x:c>
      <x:c r="D84" s="6" t="str">
        <x:v>NVIDIA 2025 Annual Report</x:v>
      </x:c>
      <x:c r="E84" s="6" t="str">
        <x:v>NVIDIA</x:v>
      </x:c>
      <x:c r="F84" s="6" t="str">
        <x:v>2025-02-26</x:v>
      </x:c>
      <x:c r="G84" s="6" t="str">
        <x:v>Company annual report</x:v>
      </x:c>
      <x:c r="H84" s="6" t="str">
        <x:v>FY2024 and FY2025 Data Center revenue.</x:v>
      </x:c>
      <x:c r="I84" s="6" t="str">
        <x:v>https://s201.q4cdn.com/141608511/files/doc_financials/2025/annual/NVIDIA-2025-Annual-Report.pdf</x:v>
      </x:c>
    </x:row>
    <x:row r="85" ht="15" hidden="0" customHeight="1">
      <x:c r="A85" s="12" t="n">
        <x:v>6</x:v>
      </x:c>
      <x:c r="B85" s="6" t="str">
        <x:v>AI accelerators and heterogeneous computing</x:v>
      </x:c>
      <x:c r="C85" s="6" t="str">
        <x:v>a06_s3</x:v>
      </x:c>
      <x:c r="D85" s="6" t="str">
        <x:v>Cerebras announces closing of initial public offering</x:v>
      </x:c>
      <x:c r="E85" s="6" t="str">
        <x:v>Cerebras</x:v>
      </x:c>
      <x:c r="F85" s="6" t="str">
        <x:v>2026-05</x:v>
      </x:c>
      <x:c r="G85" s="6" t="str">
        <x:v>Company announcement</x:v>
      </x:c>
      <x:c r="H85" s="6" t="str">
        <x:v>Cerebras began Nasdaq trading under CBRS on May 14, 2026.</x:v>
      </x:c>
      <x:c r="I85" s="6" t="str">
        <x:v>https://www.cerebras.ai/press-release/cerebras-systems-announces-closing-of-initial-public-offering</x:v>
      </x:c>
    </x:row>
    <x:row r="86" ht="15" hidden="0" customHeight="1">
      <x:c r="A86" s="12" t="n">
        <x:v>6</x:v>
      </x:c>
      <x:c r="B86" s="6" t="str">
        <x:v>AI accelerators and heterogeneous computing</x:v>
      </x:c>
      <x:c r="C86" s="6" t="str">
        <x:v>a06_s4</x:v>
      </x:c>
      <x:c r="D86" s="6" t="str">
        <x:v>SiMa.ai financing and physical-AI scale</x:v>
      </x:c>
      <x:c r="E86" s="6" t="str">
        <x:v>SiMa.ai</x:v>
      </x:c>
      <x:c r="F86" s="6" t="str">
        <x:v>2026-09-28</x:v>
      </x:c>
      <x:c r="G86" s="6" t="str">
        <x:v>Company announcement</x:v>
      </x:c>
      <x:c r="H86" s="6" t="str">
        <x:v>Private financing and product-market focus.</x:v>
      </x:c>
      <x:c r="I86" s="6" t="str">
        <x:v>https://sima.ai/press-release/sima-ai-reaches-1-45b-valuation-with-500-million-in-total-funding-to-scale-physical-ai-in-humanoids-automotive-and-drones/</x:v>
      </x:c>
    </x:row>
    <x:row r="87" ht="15" hidden="0" customHeight="1">
      <x:c r="A87" s="12" t="n">
        <x:v>6</x:v>
      </x:c>
      <x:c r="B87" s="6" t="str">
        <x:v>AI accelerators and heterogeneous computing</x:v>
      </x:c>
      <x:c r="C87" s="6" t="str">
        <x:v>a06_c1</x:v>
      </x:c>
      <x:c r="D87" s="6" t="str">
        <x:v>NVIDIA: product portfolio, company or investor information</x:v>
      </x:c>
      <x:c r="E87" s="6" t="str">
        <x:v>NVIDIA</x:v>
      </x:c>
      <x:c r="F87" s="6" t="str"/>
      <x:c r="G87" s="6" t="str">
        <x:v>Company information</x:v>
      </x:c>
      <x:c r="H87" s="6" t="str">
        <x:v>Company portfolio and status context. Its potential economic exposure to this trend is an analyst classification, not a forecast of investment returns.</x:v>
      </x:c>
      <x:c r="I87" s="6" t="str">
        <x:v>https://investor.nvidia.com/</x:v>
      </x:c>
    </x:row>
    <x:row r="88" ht="15" hidden="0" customHeight="1">
      <x:c r="A88" s="12" t="n">
        <x:v>6</x:v>
      </x:c>
      <x:c r="B88" s="6" t="str">
        <x:v>AI accelerators and heterogeneous computing</x:v>
      </x:c>
      <x:c r="C88" s="6" t="str">
        <x:v>a06_c2</x:v>
      </x:c>
      <x:c r="D88" s="6" t="str">
        <x:v>AMD: product portfolio, company or investor information</x:v>
      </x:c>
      <x:c r="E88" s="6" t="str">
        <x:v>AMD</x:v>
      </x:c>
      <x:c r="F88" s="6" t="str"/>
      <x:c r="G88" s="6" t="str">
        <x:v>Company information</x:v>
      </x:c>
      <x:c r="H88" s="6" t="str">
        <x:v>Company portfolio and status context. Its potential economic exposure to this trend is an analyst classification, not a forecast of investment returns.</x:v>
      </x:c>
      <x:c r="I88" s="6" t="str">
        <x:v>https://ir.amd.com/</x:v>
      </x:c>
    </x:row>
    <x:row r="89" ht="15" hidden="0" customHeight="1">
      <x:c r="A89" s="12" t="n">
        <x:v>6</x:v>
      </x:c>
      <x:c r="B89" s="6" t="str">
        <x:v>AI accelerators and heterogeneous computing</x:v>
      </x:c>
      <x:c r="C89" s="6" t="str">
        <x:v>a06_c3</x:v>
      </x:c>
      <x:c r="D89" s="6" t="str">
        <x:v>Broadcom: product portfolio, company or investor information</x:v>
      </x:c>
      <x:c r="E89" s="6" t="str">
        <x:v>Broadcom</x:v>
      </x:c>
      <x:c r="F89" s="6" t="str"/>
      <x:c r="G89" s="6" t="str">
        <x:v>Company information</x:v>
      </x:c>
      <x:c r="H89" s="6" t="str">
        <x:v>Company portfolio and status context. Its potential economic exposure to this trend is an analyst classification, not a forecast of investment returns.</x:v>
      </x:c>
      <x:c r="I89" s="6" t="str">
        <x:v>https://investors.broadcom.com/</x:v>
      </x:c>
    </x:row>
    <x:row r="90" ht="15" hidden="0" customHeight="1">
      <x:c r="A90" s="12" t="n">
        <x:v>6</x:v>
      </x:c>
      <x:c r="B90" s="6" t="str">
        <x:v>AI accelerators and heterogeneous computing</x:v>
      </x:c>
      <x:c r="C90" s="6" t="str">
        <x:v>a06_c4</x:v>
      </x:c>
      <x:c r="D90" s="6" t="str">
        <x:v>Marvell: product portfolio, company or investor information</x:v>
      </x:c>
      <x:c r="E90" s="6" t="str">
        <x:v>Marvell</x:v>
      </x:c>
      <x:c r="F90" s="6" t="str"/>
      <x:c r="G90" s="6" t="str">
        <x:v>Company information</x:v>
      </x:c>
      <x:c r="H90" s="6" t="str">
        <x:v>Company portfolio and status context. Its potential economic exposure to this trend is an analyst classification, not a forecast of investment returns.</x:v>
      </x:c>
      <x:c r="I90" s="6" t="str">
        <x:v>https://investor.marvell.com/</x:v>
      </x:c>
    </x:row>
    <x:row r="91" ht="15" hidden="0" customHeight="1">
      <x:c r="A91" s="12" t="n">
        <x:v>6</x:v>
      </x:c>
      <x:c r="B91" s="6" t="str">
        <x:v>AI accelerators and heterogeneous computing</x:v>
      </x:c>
      <x:c r="C91" s="6" t="str">
        <x:v>a06_c5</x:v>
      </x:c>
      <x:c r="D91" s="6" t="str">
        <x:v>Intel: product portfolio, company or investor information</x:v>
      </x:c>
      <x:c r="E91" s="6" t="str">
        <x:v>Intel</x:v>
      </x:c>
      <x:c r="F91" s="6" t="str"/>
      <x:c r="G91" s="6" t="str">
        <x:v>Company information</x:v>
      </x:c>
      <x:c r="H91" s="6" t="str">
        <x:v>Company portfolio and status context. Its potential economic exposure to this trend is an analyst classification, not a forecast of investment returns.</x:v>
      </x:c>
      <x:c r="I91" s="6" t="str">
        <x:v>https://www.intc.com/</x:v>
      </x:c>
    </x:row>
    <x:row r="92" ht="15" hidden="0" customHeight="1">
      <x:c r="A92" s="12" t="n">
        <x:v>6</x:v>
      </x:c>
      <x:c r="B92" s="6" t="str">
        <x:v>AI accelerators and heterogeneous computing</x:v>
      </x:c>
      <x:c r="C92" s="6" t="str">
        <x:v>a06_c6</x:v>
      </x:c>
      <x:c r="D92" s="6" t="str">
        <x:v>Alphabet: product portfolio, company or investor information</x:v>
      </x:c>
      <x:c r="E92" s="6" t="str">
        <x:v>Alphabet</x:v>
      </x:c>
      <x:c r="F92" s="6" t="str"/>
      <x:c r="G92" s="6" t="str">
        <x:v>Company information</x:v>
      </x:c>
      <x:c r="H92" s="6" t="str">
        <x:v>Company portfolio and status context. Its potential economic exposure to this trend is an analyst classification, not a forecast of investment returns.</x:v>
      </x:c>
      <x:c r="I92" s="6" t="str">
        <x:v>https://abc.xyz/investor/</x:v>
      </x:c>
    </x:row>
    <x:row r="93" ht="15" hidden="0" customHeight="1">
      <x:c r="A93" s="12" t="n">
        <x:v>6</x:v>
      </x:c>
      <x:c r="B93" s="6" t="str">
        <x:v>AI accelerators and heterogeneous computing</x:v>
      </x:c>
      <x:c r="C93" s="6" t="str">
        <x:v>a06_c7</x:v>
      </x:c>
      <x:c r="D93" s="6" t="str">
        <x:v>Amazon: product portfolio, company or investor information</x:v>
      </x:c>
      <x:c r="E93" s="6" t="str">
        <x:v>Amazon</x:v>
      </x:c>
      <x:c r="F93" s="6" t="str"/>
      <x:c r="G93" s="6" t="str">
        <x:v>Company information</x:v>
      </x:c>
      <x:c r="H93" s="6" t="str">
        <x:v>Company portfolio and status context. Its potential economic exposure to this trend is an analyst classification, not a forecast of investment returns.</x:v>
      </x:c>
      <x:c r="I93" s="6" t="str">
        <x:v>https://ir.aboutamazon.com/</x:v>
      </x:c>
    </x:row>
    <x:row r="94" ht="15" hidden="0" customHeight="1">
      <x:c r="A94" s="12" t="n">
        <x:v>6</x:v>
      </x:c>
      <x:c r="B94" s="6" t="str">
        <x:v>AI accelerators and heterogeneous computing</x:v>
      </x:c>
      <x:c r="C94" s="6" t="str">
        <x:v>a06_c8</x:v>
      </x:c>
      <x:c r="D94" s="6" t="str">
        <x:v>Cerebras: product portfolio, company or investor information</x:v>
      </x:c>
      <x:c r="E94" s="6" t="str">
        <x:v>Cerebras</x:v>
      </x:c>
      <x:c r="F94" s="6" t="str"/>
      <x:c r="G94" s="6" t="str">
        <x:v>Company information</x:v>
      </x:c>
      <x:c r="H94" s="6" t="str">
        <x:v>Company portfolio and status context. Its potential economic exposure to this trend is an analyst classification, not a forecast of investment returns.</x:v>
      </x:c>
      <x:c r="I94" s="6" t="str">
        <x:v>https://www.cerebras.ai/press-release/cerebras-systems-announces-closing-of-initial-public-offering</x:v>
      </x:c>
    </x:row>
    <x:row r="95" ht="15" hidden="0" customHeight="1">
      <x:c r="A95" s="12" t="n">
        <x:v>6</x:v>
      </x:c>
      <x:c r="B95" s="6" t="str">
        <x:v>AI accelerators and heterogeneous computing</x:v>
      </x:c>
      <x:c r="C95" s="6" t="str">
        <x:v>a06_c9</x:v>
      </x:c>
      <x:c r="D95" s="6" t="str">
        <x:v>SiMa.ai: product portfolio, company or investor information</x:v>
      </x:c>
      <x:c r="E95" s="6" t="str">
        <x:v>SiMa.ai</x:v>
      </x:c>
      <x:c r="F95" s="6" t="str"/>
      <x:c r="G95" s="6" t="str">
        <x:v>Company information</x:v>
      </x:c>
      <x:c r="H95" s="6" t="str">
        <x:v>Company portfolio and status context. Its potential economic exposure to this trend is an analyst classification, not a forecast of investment returns.</x:v>
      </x:c>
      <x:c r="I95" s="6" t="str">
        <x:v>https://sima.ai/press-release/sima-ai-reaches-1-45b-valuation-with-500-million-in-total-funding-to-scale-physical-ai-in-humanoids-automotive-and-drones/</x:v>
      </x:c>
    </x:row>
    <x:row r="96" ht="15" hidden="0" customHeight="1">
      <x:c r="A96" s="12" t="n">
        <x:v>6</x:v>
      </x:c>
      <x:c r="B96" s="6" t="str">
        <x:v>AI accelerators and heterogeneous computing</x:v>
      </x:c>
      <x:c r="C96" s="6" t="str">
        <x:v>a06_c10</x:v>
      </x:c>
      <x:c r="D96" s="6" t="str">
        <x:v>d-Matrix: product portfolio, company or investor information</x:v>
      </x:c>
      <x:c r="E96" s="6" t="str">
        <x:v>d-Matrix</x:v>
      </x:c>
      <x:c r="F96" s="6" t="str"/>
      <x:c r="G96" s="6" t="str">
        <x:v>Company information</x:v>
      </x:c>
      <x:c r="H96" s="6" t="str">
        <x:v>Company portfolio and status context. Its potential economic exposure to this trend is an analyst classification, not a forecast of investment returns.</x:v>
      </x:c>
      <x:c r="I96" s="6" t="str">
        <x:v>https://www.d-matrix.ai/</x:v>
      </x:c>
    </x:row>
    <x:row r="97" ht="15" hidden="0" customHeight="1">
      <x:c r="A97" s="12" t="n">
        <x:v>7</x:v>
      </x:c>
      <x:c r="B97" s="6" t="str">
        <x:v>Chiplets and advanced semiconductor packaging</x:v>
      </x:c>
      <x:c r="C97" s="6" t="str">
        <x:v>a07_s1</x:v>
      </x:c>
      <x:c r="D97" s="6" t="str">
        <x:v>UCIe consortium press-release archive</x:v>
      </x:c>
      <x:c r="E97" s="6" t="str">
        <x:v>UCIe Consortium</x:v>
      </x:c>
      <x:c r="F97" s="6" t="str"/>
      <x:c r="G97" s="6" t="str">
        <x:v>Standards body</x:v>
      </x:c>
      <x:c r="H97" s="6" t="str">
        <x:v>Dates and scope of specifications 1.0, 1.1 and 2.0.</x:v>
      </x:c>
      <x:c r="I97" s="6" t="str">
        <x:v>https://www.uciexpress.org/press-releases</x:v>
      </x:c>
    </x:row>
    <x:row r="98" ht="15" hidden="0" customHeight="1">
      <x:c r="A98" s="12" t="n">
        <x:v>7</x:v>
      </x:c>
      <x:c r="B98" s="6" t="str">
        <x:v>Chiplets and advanced semiconductor packaging</x:v>
      </x:c>
      <x:c r="C98" s="6" t="str">
        <x:v>a07_s2</x:v>
      </x:c>
      <x:c r="D98" s="6" t="str">
        <x:v>UCIe consortium 2025 year in review</x:v>
      </x:c>
      <x:c r="E98" s="6" t="str">
        <x:v>UCIe Consortium</x:v>
      </x:c>
      <x:c r="F98" s="6" t="str">
        <x:v>2025-12-17</x:v>
      </x:c>
      <x:c r="G98" s="6" t="str">
        <x:v>Standards body</x:v>
      </x:c>
      <x:c r="H98" s="6" t="str">
        <x:v>Version 3.0 supports 48/64 GT/s, doubling the prior maximum.</x:v>
      </x:c>
      <x:c r="I98" s="6" t="str">
        <x:v>https://www.uciexpress.org/post/ucie-consortium-s-2025-year-in-review</x:v>
      </x:c>
    </x:row>
    <x:row r="99" ht="15" hidden="0" customHeight="1">
      <x:c r="A99" s="12" t="n">
        <x:v>7</x:v>
      </x:c>
      <x:c r="B99" s="6" t="str">
        <x:v>Chiplets and advanced semiconductor packaging</x:v>
      </x:c>
      <x:c r="C99" s="6" t="str">
        <x:v>a07_s3</x:v>
      </x:c>
      <x:c r="D99" s="6" t="str">
        <x:v>UCIe consortium grows to more than 100 members</x:v>
      </x:c>
      <x:c r="E99" s="6" t="str">
        <x:v>UCIe Consortium</x:v>
      </x:c>
      <x:c r="F99" s="6" t="str">
        <x:v>2023-02-06</x:v>
      </x:c>
      <x:c r="G99" s="6" t="str">
        <x:v>Standards body</x:v>
      </x:c>
      <x:c r="H99" s="6" t="str">
        <x:v>Member ecosystem reached more than 100 organizations.</x:v>
      </x:c>
      <x:c r="I99" s="6" t="str">
        <x:v>https://www.uciexpress.org/post/ucie-consortium-grows-to-more-than-100-members</x:v>
      </x:c>
    </x:row>
    <x:row r="100" ht="15" hidden="0" customHeight="1">
      <x:c r="A100" s="12" t="n">
        <x:v>7</x:v>
      </x:c>
      <x:c r="B100" s="6" t="str">
        <x:v>Chiplets and advanced semiconductor packaging</x:v>
      </x:c>
      <x:c r="C100" s="6" t="str">
        <x:v>a07_s4</x:v>
      </x:c>
      <x:c r="D100" s="6" t="str">
        <x:v>UCIe implementation and ecosystem blog</x:v>
      </x:c>
      <x:c r="E100" s="6" t="str">
        <x:v>UCIe Consortium</x:v>
      </x:c>
      <x:c r="F100" s="6" t="str">
        <x:v>2026-10-07</x:v>
      </x:c>
      <x:c r="G100" s="6" t="str">
        <x:v>Standards body</x:v>
      </x:c>
      <x:c r="H100" s="6" t="str">
        <x:v>Current foundry and implementation activity.</x:v>
      </x:c>
      <x:c r="I100" s="6" t="str">
        <x:v>https://www.uciexpress.org/blog</x:v>
      </x:c>
    </x:row>
    <x:row r="101" ht="15" hidden="0" customHeight="1">
      <x:c r="A101" s="12" t="n">
        <x:v>7</x:v>
      </x:c>
      <x:c r="B101" s="6" t="str">
        <x:v>Chiplets and advanced semiconductor packaging</x:v>
      </x:c>
      <x:c r="C101" s="6" t="str">
        <x:v>a07_s5</x:v>
      </x:c>
      <x:c r="D101" s="6" t="str">
        <x:v>Eliyan achieves unicorn status with US$145 million Series C</x:v>
      </x:c>
      <x:c r="E101" s="6" t="str">
        <x:v>Eliyan</x:v>
      </x:c>
      <x:c r="F101" s="6" t="str">
        <x:v>2026-07-29</x:v>
      </x:c>
      <x:c r="G101" s="6" t="str">
        <x:v>Company announcement</x:v>
      </x:c>
      <x:c r="H101" s="6" t="str">
        <x:v>Private financing and chiplet-interconnect exposure.</x:v>
      </x:c>
      <x:c r="I101" s="6" t="str">
        <x:v>https://eliyan.com/news/eliyan-achieves-unicorn-status-with-145-million-series-c/</x:v>
      </x:c>
    </x:row>
    <x:row r="102" ht="15" hidden="0" customHeight="1">
      <x:c r="A102" s="12" t="n">
        <x:v>7</x:v>
      </x:c>
      <x:c r="B102" s="6" t="str">
        <x:v>Chiplets and advanced semiconductor packaging</x:v>
      </x:c>
      <x:c r="C102" s="6" t="str">
        <x:v>a07_c1</x:v>
      </x:c>
      <x:c r="D102" s="6" t="str">
        <x:v>TSMC: product portfolio, company or investor information</x:v>
      </x:c>
      <x:c r="E102" s="6" t="str">
        <x:v>TSMC</x:v>
      </x:c>
      <x:c r="F102" s="6" t="str"/>
      <x:c r="G102" s="6" t="str">
        <x:v>Company information</x:v>
      </x:c>
      <x:c r="H102" s="6" t="str">
        <x:v>Company portfolio and status context. Its potential economic exposure to this trend is an analyst classification, not a forecast of investment returns.</x:v>
      </x:c>
      <x:c r="I102" s="6" t="str">
        <x:v>https://investor.tsmc.com/</x:v>
      </x:c>
    </x:row>
    <x:row r="103" ht="15" hidden="0" customHeight="1">
      <x:c r="A103" s="12" t="n">
        <x:v>7</x:v>
      </x:c>
      <x:c r="B103" s="6" t="str">
        <x:v>Chiplets and advanced semiconductor packaging</x:v>
      </x:c>
      <x:c r="C103" s="6" t="str">
        <x:v>a07_c2</x:v>
      </x:c>
      <x:c r="D103" s="6" t="str">
        <x:v>ASE Technology: product portfolio, company or investor information</x:v>
      </x:c>
      <x:c r="E103" s="6" t="str">
        <x:v>ASE Technology</x:v>
      </x:c>
      <x:c r="F103" s="6" t="str"/>
      <x:c r="G103" s="6" t="str">
        <x:v>Company information</x:v>
      </x:c>
      <x:c r="H103" s="6" t="str">
        <x:v>Company portfolio and status context. Its potential economic exposure to this trend is an analyst classification, not a forecast of investment returns.</x:v>
      </x:c>
      <x:c r="I103" s="6" t="str">
        <x:v>https://www.aseglobal.com/</x:v>
      </x:c>
    </x:row>
    <x:row r="104" ht="15" hidden="0" customHeight="1">
      <x:c r="A104" s="12" t="n">
        <x:v>7</x:v>
      </x:c>
      <x:c r="B104" s="6" t="str">
        <x:v>Chiplets and advanced semiconductor packaging</x:v>
      </x:c>
      <x:c r="C104" s="6" t="str">
        <x:v>a07_c3</x:v>
      </x:c>
      <x:c r="D104" s="6" t="str">
        <x:v>Amkor: product portfolio, company or investor information</x:v>
      </x:c>
      <x:c r="E104" s="6" t="str">
        <x:v>Amkor</x:v>
      </x:c>
      <x:c r="F104" s="6" t="str"/>
      <x:c r="G104" s="6" t="str">
        <x:v>Company information</x:v>
      </x:c>
      <x:c r="H104" s="6" t="str">
        <x:v>Company portfolio and status context. Its potential economic exposure to this trend is an analyst classification, not a forecast of investment returns.</x:v>
      </x:c>
      <x:c r="I104" s="6" t="str">
        <x:v>https://ir.amkor.com/</x:v>
      </x:c>
    </x:row>
    <x:row r="105" ht="15" hidden="0" customHeight="1">
      <x:c r="A105" s="12" t="n">
        <x:v>7</x:v>
      </x:c>
      <x:c r="B105" s="6" t="str">
        <x:v>Chiplets and advanced semiconductor packaging</x:v>
      </x:c>
      <x:c r="C105" s="6" t="str">
        <x:v>a07_c4</x:v>
      </x:c>
      <x:c r="D105" s="6" t="str">
        <x:v>AMD: product portfolio, company or investor information</x:v>
      </x:c>
      <x:c r="E105" s="6" t="str">
        <x:v>AMD</x:v>
      </x:c>
      <x:c r="F105" s="6" t="str"/>
      <x:c r="G105" s="6" t="str">
        <x:v>Company information</x:v>
      </x:c>
      <x:c r="H105" s="6" t="str">
        <x:v>Company portfolio and status context. Its potential economic exposure to this trend is an analyst classification, not a forecast of investment returns.</x:v>
      </x:c>
      <x:c r="I105" s="6" t="str">
        <x:v>https://ir.amd.com/</x:v>
      </x:c>
    </x:row>
    <x:row r="106" ht="15" hidden="0" customHeight="1">
      <x:c r="A106" s="12" t="n">
        <x:v>7</x:v>
      </x:c>
      <x:c r="B106" s="6" t="str">
        <x:v>Chiplets and advanced semiconductor packaging</x:v>
      </x:c>
      <x:c r="C106" s="6" t="str">
        <x:v>a07_c5</x:v>
      </x:c>
      <x:c r="D106" s="6" t="str">
        <x:v>Intel: product portfolio, company or investor information</x:v>
      </x:c>
      <x:c r="E106" s="6" t="str">
        <x:v>Intel</x:v>
      </x:c>
      <x:c r="F106" s="6" t="str"/>
      <x:c r="G106" s="6" t="str">
        <x:v>Company information</x:v>
      </x:c>
      <x:c r="H106" s="6" t="str">
        <x:v>Company portfolio and status context. Its potential economic exposure to this trend is an analyst classification, not a forecast of investment returns.</x:v>
      </x:c>
      <x:c r="I106" s="6" t="str">
        <x:v>https://www.intc.com/</x:v>
      </x:c>
    </x:row>
    <x:row r="107" ht="15" hidden="0" customHeight="1">
      <x:c r="A107" s="12" t="n">
        <x:v>7</x:v>
      </x:c>
      <x:c r="B107" s="6" t="str">
        <x:v>Chiplets and advanced semiconductor packaging</x:v>
      </x:c>
      <x:c r="C107" s="6" t="str">
        <x:v>a07_c6</x:v>
      </x:c>
      <x:c r="D107" s="6" t="str">
        <x:v>Samsung Electronics: product portfolio, company or investor information</x:v>
      </x:c>
      <x:c r="E107" s="6" t="str">
        <x:v>Samsung Electronics</x:v>
      </x:c>
      <x:c r="F107" s="6" t="str"/>
      <x:c r="G107" s="6" t="str">
        <x:v>Company information</x:v>
      </x:c>
      <x:c r="H107" s="6" t="str">
        <x:v>Company portfolio and status context. Its potential economic exposure to this trend is an analyst classification, not a forecast of investment returns.</x:v>
      </x:c>
      <x:c r="I107" s="6" t="str">
        <x:v>https://www.samsung.com/global/ir/</x:v>
      </x:c>
    </x:row>
    <x:row r="108" ht="15" hidden="0" customHeight="1">
      <x:c r="A108" s="12" t="n">
        <x:v>7</x:v>
      </x:c>
      <x:c r="B108" s="6" t="str">
        <x:v>Chiplets and advanced semiconductor packaging</x:v>
      </x:c>
      <x:c r="C108" s="6" t="str">
        <x:v>a07_c7</x:v>
      </x:c>
      <x:c r="D108" s="6" t="str">
        <x:v>Synopsys: product portfolio, company or investor information</x:v>
      </x:c>
      <x:c r="E108" s="6" t="str">
        <x:v>Synopsys</x:v>
      </x:c>
      <x:c r="F108" s="6" t="str"/>
      <x:c r="G108" s="6" t="str">
        <x:v>Company information</x:v>
      </x:c>
      <x:c r="H108" s="6" t="str">
        <x:v>Company portfolio and status context. Its potential economic exposure to this trend is an analyst classification, not a forecast of investment returns.</x:v>
      </x:c>
      <x:c r="I108" s="6" t="str">
        <x:v>https://investor.synopsys.com/</x:v>
      </x:c>
    </x:row>
    <x:row r="109" ht="15" hidden="0" customHeight="1">
      <x:c r="A109" s="12" t="n">
        <x:v>7</x:v>
      </x:c>
      <x:c r="B109" s="6" t="str">
        <x:v>Chiplets and advanced semiconductor packaging</x:v>
      </x:c>
      <x:c r="C109" s="6" t="str">
        <x:v>a07_c8</x:v>
      </x:c>
      <x:c r="D109" s="6" t="str">
        <x:v>Cadence: product portfolio, company or investor information</x:v>
      </x:c>
      <x:c r="E109" s="6" t="str">
        <x:v>Cadence</x:v>
      </x:c>
      <x:c r="F109" s="6" t="str"/>
      <x:c r="G109" s="6" t="str">
        <x:v>Company information</x:v>
      </x:c>
      <x:c r="H109" s="6" t="str">
        <x:v>Company portfolio and status context. Its potential economic exposure to this trend is an analyst classification, not a forecast of investment returns.</x:v>
      </x:c>
      <x:c r="I109" s="6" t="str">
        <x:v>https://investor.cadence.com/</x:v>
      </x:c>
    </x:row>
    <x:row r="110" ht="15" hidden="0" customHeight="1">
      <x:c r="A110" s="12" t="n">
        <x:v>7</x:v>
      </x:c>
      <x:c r="B110" s="6" t="str">
        <x:v>Chiplets and advanced semiconductor packaging</x:v>
      </x:c>
      <x:c r="C110" s="6" t="str">
        <x:v>a07_c9</x:v>
      </x:c>
      <x:c r="D110" s="6" t="str">
        <x:v>Eliyan: product portfolio, company or investor information</x:v>
      </x:c>
      <x:c r="E110" s="6" t="str">
        <x:v>Eliyan</x:v>
      </x:c>
      <x:c r="F110" s="6" t="str"/>
      <x:c r="G110" s="6" t="str">
        <x:v>Company information</x:v>
      </x:c>
      <x:c r="H110" s="6" t="str">
        <x:v>Company portfolio and status context. Its potential economic exposure to this trend is an analyst classification, not a forecast of investment returns.</x:v>
      </x:c>
      <x:c r="I110" s="6" t="str">
        <x:v>https://eliyan.com/news/eliyan-achieves-unicorn-status-with-145-million-series-c/</x:v>
      </x:c>
    </x:row>
    <x:row r="111" ht="15" hidden="0" customHeight="1">
      <x:c r="A111" s="12" t="n">
        <x:v>7</x:v>
      </x:c>
      <x:c r="B111" s="6" t="str">
        <x:v>Chiplets and advanced semiconductor packaging</x:v>
      </x:c>
      <x:c r="C111" s="6" t="str">
        <x:v>a07_c10</x:v>
      </x:c>
      <x:c r="D111" s="6" t="str">
        <x:v>Baya Systems: product portfolio, company or investor information</x:v>
      </x:c>
      <x:c r="E111" s="6" t="str">
        <x:v>Baya Systems</x:v>
      </x:c>
      <x:c r="F111" s="6" t="str"/>
      <x:c r="G111" s="6" t="str">
        <x:v>Company information</x:v>
      </x:c>
      <x:c r="H111" s="6" t="str">
        <x:v>Company portfolio and status context. Its potential economic exposure to this trend is an analyst classification, not a forecast of investment returns.</x:v>
      </x:c>
      <x:c r="I111" s="6" t="str">
        <x:v>https://bayasystems.com/press-releases/baya-systems-raises-36m-propel-ai-chiplet-innovation/</x:v>
      </x:c>
    </x:row>
    <x:row r="112" ht="15" hidden="0" customHeight="1">
      <x:c r="A112" s="12" t="n">
        <x:v>7</x:v>
      </x:c>
      <x:c r="B112" s="6" t="str">
        <x:v>Chiplets and advanced semiconductor packaging</x:v>
      </x:c>
      <x:c r="C112" s="6" t="str">
        <x:v>a07_c11</x:v>
      </x:c>
      <x:c r="D112" s="6" t="str">
        <x:v>Ayar Labs: product portfolio, company or investor information</x:v>
      </x:c>
      <x:c r="E112" s="6" t="str">
        <x:v>Ayar Labs</x:v>
      </x:c>
      <x:c r="F112" s="6" t="str"/>
      <x:c r="G112" s="6" t="str">
        <x:v>Company information</x:v>
      </x:c>
      <x:c r="H112" s="6" t="str">
        <x:v>Company portfolio and status context. Its potential economic exposure to this trend is an analyst classification, not a forecast of investment returns.</x:v>
      </x:c>
      <x:c r="I112" s="6" t="str">
        <x:v>https://ayarlabs.com/news/ayar-labs-expands-2026-funding-to-650-million/</x:v>
      </x:c>
    </x:row>
    <x:row r="113" ht="15" hidden="0" customHeight="1">
      <x:c r="A113" s="12" t="n">
        <x:v>8</x:v>
      </x:c>
      <x:c r="B113" s="6" t="str">
        <x:v>Silicon photonics and optical interconnects</x:v>
      </x:c>
      <x:c r="C113" s="6" t="str">
        <x:v>a08_s1</x:v>
      </x:c>
      <x:c r="D113" s="6" t="str">
        <x:v>Coherent fiscal 2026 Annual Report</x:v>
      </x:c>
      <x:c r="E113" s="6" t="str">
        <x:v>Coherent</x:v>
      </x:c>
      <x:c r="F113" s="6" t="str">
        <x:v>2026-08</x:v>
      </x:c>
      <x:c r="G113" s="6" t="str">
        <x:v>Company annual report</x:v>
      </x:c>
      <x:c r="H113" s="6" t="str">
        <x:v>Comparable Data Center and Communications segment revenue for FY2024–FY2026.</x:v>
      </x:c>
      <x:c r="I113" s="6" t="str">
        <x:v>https://ir.coherent.com/static-files/afd880a5-f5c9-46c2-b16a-1f2cbe90e28b</x:v>
      </x:c>
    </x:row>
    <x:row r="114" ht="15" hidden="0" customHeight="1">
      <x:c r="A114" s="12" t="n">
        <x:v>8</x:v>
      </x:c>
      <x:c r="B114" s="6" t="str">
        <x:v>Silicon photonics and optical interconnects</x:v>
      </x:c>
      <x:c r="C114" s="6" t="str">
        <x:v>a08_s2</x:v>
      </x:c>
      <x:c r="D114" s="6" t="str">
        <x:v>Coherent fiscal 2025 fourth-quarter results</x:v>
      </x:c>
      <x:c r="E114" s="6" t="str">
        <x:v>Coherent</x:v>
      </x:c>
      <x:c r="F114" s="6" t="str">
        <x:v>2025-08-13</x:v>
      </x:c>
      <x:c r="G114" s="6" t="str">
        <x:v>Company earnings</x:v>
      </x:c>
      <x:c r="H114" s="6" t="str">
        <x:v>Initial 1.6T transceiver revenue shipments.</x:v>
      </x:c>
      <x:c r="I114" s="6" t="str">
        <x:v>https://www.coherent.com/content/dam/coherent/site/en/documents/investors/financial-releases/2025/august-13/earnings-release-fy25-q4.pdf</x:v>
      </x:c>
    </x:row>
    <x:row r="115" ht="15" hidden="0" customHeight="1">
      <x:c r="A115" s="12" t="n">
        <x:v>8</x:v>
      </x:c>
      <x:c r="B115" s="6" t="str">
        <x:v>Silicon photonics and optical interconnects</x:v>
      </x:c>
      <x:c r="C115" s="6" t="str">
        <x:v>a08_s3</x:v>
      </x:c>
      <x:c r="D115" s="6" t="str">
        <x:v>Ayar Labs expands 2026 funding to US$650 million</x:v>
      </x:c>
      <x:c r="E115" s="6" t="str">
        <x:v>Ayar Labs</x:v>
      </x:c>
      <x:c r="F115" s="6" t="str">
        <x:v>2026-09-10</x:v>
      </x:c>
      <x:c r="G115" s="6" t="str">
        <x:v>Company announcement</x:v>
      </x:c>
      <x:c r="H115" s="6" t="str">
        <x:v>Private funding supporting optical interconnect production.</x:v>
      </x:c>
      <x:c r="I115" s="6" t="str">
        <x:v>https://ayarlabs.com/news/ayar-labs-expands-2026-funding-to-650-million/</x:v>
      </x:c>
    </x:row>
    <x:row r="116" ht="15" hidden="0" customHeight="1">
      <x:c r="A116" s="12" t="n">
        <x:v>8</x:v>
      </x:c>
      <x:c r="B116" s="6" t="str">
        <x:v>Silicon photonics and optical interconnects</x:v>
      </x:c>
      <x:c r="C116" s="6" t="str">
        <x:v>a08_s4</x:v>
      </x:c>
      <x:c r="D116" s="6" t="str">
        <x:v>Coherent fourth-quarter and full-year fiscal 2026 results</x:v>
      </x:c>
      <x:c r="E116" s="6" t="str">
        <x:v>Coherent</x:v>
      </x:c>
      <x:c r="F116" s="6" t="str">
        <x:v>2026-08-12</x:v>
      </x:c>
      <x:c r="G116" s="6" t="str">
        <x:v>Company earnings</x:v>
      </x:c>
      <x:c r="H116" s="6" t="str">
        <x:v>Fiscal-year endpoint and business context.</x:v>
      </x:c>
      <x:c r="I116" s="6" t="str">
        <x:v>https://ir.coherent.com/news-releases/news-release-details/coherent-corp-reports-fourth-quarter-and-full-year-fiscal-2026</x:v>
      </x:c>
    </x:row>
    <x:row r="117" ht="15" hidden="0" customHeight="1">
      <x:c r="A117" s="12" t="n">
        <x:v>8</x:v>
      </x:c>
      <x:c r="B117" s="6" t="str">
        <x:v>Silicon photonics and optical interconnects</x:v>
      </x:c>
      <x:c r="C117" s="6" t="str">
        <x:v>a08_c1</x:v>
      </x:c>
      <x:c r="D117" s="6" t="str">
        <x:v>Broadcom: product portfolio, company or investor information</x:v>
      </x:c>
      <x:c r="E117" s="6" t="str">
        <x:v>Broadcom</x:v>
      </x:c>
      <x:c r="F117" s="6" t="str"/>
      <x:c r="G117" s="6" t="str">
        <x:v>Company information</x:v>
      </x:c>
      <x:c r="H117" s="6" t="str">
        <x:v>Company portfolio and status context. Its potential economic exposure to this trend is an analyst classification, not a forecast of investment returns.</x:v>
      </x:c>
      <x:c r="I117" s="6" t="str">
        <x:v>https://investors.broadcom.com/</x:v>
      </x:c>
    </x:row>
    <x:row r="118" ht="15" hidden="0" customHeight="1">
      <x:c r="A118" s="12" t="n">
        <x:v>8</x:v>
      </x:c>
      <x:c r="B118" s="6" t="str">
        <x:v>Silicon photonics and optical interconnects</x:v>
      </x:c>
      <x:c r="C118" s="6" t="str">
        <x:v>a08_c2</x:v>
      </x:c>
      <x:c r="D118" s="6" t="str">
        <x:v>Marvell: product portfolio, company or investor information</x:v>
      </x:c>
      <x:c r="E118" s="6" t="str">
        <x:v>Marvell</x:v>
      </x:c>
      <x:c r="F118" s="6" t="str"/>
      <x:c r="G118" s="6" t="str">
        <x:v>Company information</x:v>
      </x:c>
      <x:c r="H118" s="6" t="str">
        <x:v>Company portfolio and status context. Its potential economic exposure to this trend is an analyst classification, not a forecast of investment returns.</x:v>
      </x:c>
      <x:c r="I118" s="6" t="str">
        <x:v>https://investor.marvell.com/</x:v>
      </x:c>
    </x:row>
    <x:row r="119" ht="15" hidden="0" customHeight="1">
      <x:c r="A119" s="12" t="n">
        <x:v>8</x:v>
      </x:c>
      <x:c r="B119" s="6" t="str">
        <x:v>Silicon photonics and optical interconnects</x:v>
      </x:c>
      <x:c r="C119" s="6" t="str">
        <x:v>a08_c3</x:v>
      </x:c>
      <x:c r="D119" s="6" t="str">
        <x:v>Coherent: product portfolio, company or investor information</x:v>
      </x:c>
      <x:c r="E119" s="6" t="str">
        <x:v>Coherent</x:v>
      </x:c>
      <x:c r="F119" s="6" t="str"/>
      <x:c r="G119" s="6" t="str">
        <x:v>Company information</x:v>
      </x:c>
      <x:c r="H119" s="6" t="str">
        <x:v>Company portfolio and status context. Its potential economic exposure to this trend is an analyst classification, not a forecast of investment returns.</x:v>
      </x:c>
      <x:c r="I119" s="6" t="str">
        <x:v>https://ir.coherent.com/</x:v>
      </x:c>
    </x:row>
    <x:row r="120" ht="15" hidden="0" customHeight="1">
      <x:c r="A120" s="12" t="n">
        <x:v>8</x:v>
      </x:c>
      <x:c r="B120" s="6" t="str">
        <x:v>Silicon photonics and optical interconnects</x:v>
      </x:c>
      <x:c r="C120" s="6" t="str">
        <x:v>a08_c4</x:v>
      </x:c>
      <x:c r="D120" s="6" t="str">
        <x:v>Lumentum: product portfolio, company or investor information</x:v>
      </x:c>
      <x:c r="E120" s="6" t="str">
        <x:v>Lumentum</x:v>
      </x:c>
      <x:c r="F120" s="6" t="str"/>
      <x:c r="G120" s="6" t="str">
        <x:v>Company information</x:v>
      </x:c>
      <x:c r="H120" s="6" t="str">
        <x:v>Company portfolio and status context. Its potential economic exposure to this trend is an analyst classification, not a forecast of investment returns.</x:v>
      </x:c>
      <x:c r="I120" s="6" t="str">
        <x:v>https://investor.lumentum.com/</x:v>
      </x:c>
    </x:row>
    <x:row r="121" ht="15" hidden="0" customHeight="1">
      <x:c r="A121" s="12" t="n">
        <x:v>8</x:v>
      </x:c>
      <x:c r="B121" s="6" t="str">
        <x:v>Silicon photonics and optical interconnects</x:v>
      </x:c>
      <x:c r="C121" s="6" t="str">
        <x:v>a08_c5</x:v>
      </x:c>
      <x:c r="D121" s="6" t="str">
        <x:v>Intel: product portfolio, company or investor information</x:v>
      </x:c>
      <x:c r="E121" s="6" t="str">
        <x:v>Intel</x:v>
      </x:c>
      <x:c r="F121" s="6" t="str"/>
      <x:c r="G121" s="6" t="str">
        <x:v>Company information</x:v>
      </x:c>
      <x:c r="H121" s="6" t="str">
        <x:v>Company portfolio and status context. Its potential economic exposure to this trend is an analyst classification, not a forecast of investment returns.</x:v>
      </x:c>
      <x:c r="I121" s="6" t="str">
        <x:v>https://www.intc.com/</x:v>
      </x:c>
    </x:row>
    <x:row r="122" ht="15" hidden="0" customHeight="1">
      <x:c r="A122" s="12" t="n">
        <x:v>8</x:v>
      </x:c>
      <x:c r="B122" s="6" t="str">
        <x:v>Silicon photonics and optical interconnects</x:v>
      </x:c>
      <x:c r="C122" s="6" t="str">
        <x:v>a08_c6</x:v>
      </x:c>
      <x:c r="D122" s="6" t="str">
        <x:v>Cisco: product portfolio, company or investor information</x:v>
      </x:c>
      <x:c r="E122" s="6" t="str">
        <x:v>Cisco</x:v>
      </x:c>
      <x:c r="F122" s="6" t="str"/>
      <x:c r="G122" s="6" t="str">
        <x:v>Company information</x:v>
      </x:c>
      <x:c r="H122" s="6" t="str">
        <x:v>Company portfolio and status context. Its potential economic exposure to this trend is an analyst classification, not a forecast of investment returns.</x:v>
      </x:c>
      <x:c r="I122" s="6" t="str">
        <x:v>https://investor.cisco.com/</x:v>
      </x:c>
    </x:row>
    <x:row r="123" ht="15" hidden="0" customHeight="1">
      <x:c r="A123" s="12" t="n">
        <x:v>8</x:v>
      </x:c>
      <x:c r="B123" s="6" t="str">
        <x:v>Silicon photonics and optical interconnects</x:v>
      </x:c>
      <x:c r="C123" s="6" t="str">
        <x:v>a08_c7</x:v>
      </x:c>
      <x:c r="D123" s="6" t="str">
        <x:v>TSMC: product portfolio, company or investor information</x:v>
      </x:c>
      <x:c r="E123" s="6" t="str">
        <x:v>TSMC</x:v>
      </x:c>
      <x:c r="F123" s="6" t="str"/>
      <x:c r="G123" s="6" t="str">
        <x:v>Company information</x:v>
      </x:c>
      <x:c r="H123" s="6" t="str">
        <x:v>Company portfolio and status context. Its potential economic exposure to this trend is an analyst classification, not a forecast of investment returns.</x:v>
      </x:c>
      <x:c r="I123" s="6" t="str">
        <x:v>https://investor.tsmc.com/</x:v>
      </x:c>
    </x:row>
    <x:row r="124" ht="15" hidden="0" customHeight="1">
      <x:c r="A124" s="12" t="n">
        <x:v>8</x:v>
      </x:c>
      <x:c r="B124" s="6" t="str">
        <x:v>Silicon photonics and optical interconnects</x:v>
      </x:c>
      <x:c r="C124" s="6" t="str">
        <x:v>a08_c8</x:v>
      </x:c>
      <x:c r="D124" s="6" t="str">
        <x:v>NVIDIA: product portfolio, company or investor information</x:v>
      </x:c>
      <x:c r="E124" s="6" t="str">
        <x:v>NVIDIA</x:v>
      </x:c>
      <x:c r="F124" s="6" t="str"/>
      <x:c r="G124" s="6" t="str">
        <x:v>Company information</x:v>
      </x:c>
      <x:c r="H124" s="6" t="str">
        <x:v>Company portfolio and status context. Its potential economic exposure to this trend is an analyst classification, not a forecast of investment returns.</x:v>
      </x:c>
      <x:c r="I124" s="6" t="str">
        <x:v>https://investor.nvidia.com/</x:v>
      </x:c>
    </x:row>
    <x:row r="125" ht="15" hidden="0" customHeight="1">
      <x:c r="A125" s="12" t="n">
        <x:v>8</x:v>
      </x:c>
      <x:c r="B125" s="6" t="str">
        <x:v>Silicon photonics and optical interconnects</x:v>
      </x:c>
      <x:c r="C125" s="6" t="str">
        <x:v>a08_c9</x:v>
      </x:c>
      <x:c r="D125" s="6" t="str">
        <x:v>Ayar Labs: product portfolio, company or investor information</x:v>
      </x:c>
      <x:c r="E125" s="6" t="str">
        <x:v>Ayar Labs</x:v>
      </x:c>
      <x:c r="F125" s="6" t="str"/>
      <x:c r="G125" s="6" t="str">
        <x:v>Company information</x:v>
      </x:c>
      <x:c r="H125" s="6" t="str">
        <x:v>Company portfolio and status context. Its potential economic exposure to this trend is an analyst classification, not a forecast of investment returns.</x:v>
      </x:c>
      <x:c r="I125" s="6" t="str">
        <x:v>https://ayarlabs.com/news/ayar-labs-expands-2026-funding-to-650-million/</x:v>
      </x:c>
    </x:row>
    <x:row r="126" ht="15" hidden="0" customHeight="1">
      <x:c r="A126" s="12" t="n">
        <x:v>8</x:v>
      </x:c>
      <x:c r="B126" s="6" t="str">
        <x:v>Silicon photonics and optical interconnects</x:v>
      </x:c>
      <x:c r="C126" s="6" t="str">
        <x:v>a08_c10</x:v>
      </x:c>
      <x:c r="D126" s="6" t="str">
        <x:v>Eliyan: product portfolio, company or investor information</x:v>
      </x:c>
      <x:c r="E126" s="6" t="str">
        <x:v>Eliyan</x:v>
      </x:c>
      <x:c r="F126" s="6" t="str"/>
      <x:c r="G126" s="6" t="str">
        <x:v>Company information</x:v>
      </x:c>
      <x:c r="H126" s="6" t="str">
        <x:v>Company portfolio and status context. Its potential economic exposure to this trend is an analyst classification, not a forecast of investment returns.</x:v>
      </x:c>
      <x:c r="I126" s="6" t="str">
        <x:v>https://eliyan.com/news/eliyan-achieves-unicorn-status-with-145-million-series-c/</x:v>
      </x:c>
    </x:row>
    <x:row r="127" ht="15" hidden="0" customHeight="1">
      <x:c r="A127" s="12" t="n">
        <x:v>9</x:v>
      </x:c>
      <x:c r="B127" s="6" t="str">
        <x:v>Post-quantum cryptography</x:v>
      </x:c>
      <x:c r="C127" s="6" t="str">
        <x:v>a09_s1</x:v>
      </x:c>
      <x:c r="D127" s="6" t="str">
        <x:v>NIST releases first three finalized post-quantum encryption standards</x:v>
      </x:c>
      <x:c r="E127" s="6" t="str">
        <x:v>NIST</x:v>
      </x:c>
      <x:c r="F127" s="6" t="str">
        <x:v>2024-08-13</x:v>
      </x:c>
      <x:c r="G127" s="6" t="str">
        <x:v>Standards body</x:v>
      </x:c>
      <x:c r="H127" s="6" t="str">
        <x:v>Final standards provide a deployment foundation.</x:v>
      </x:c>
      <x:c r="I127" s="6" t="str">
        <x:v>https://www.nist.gov/news-events/news/2024/08/nist-releases-first-3-finalized-post-quantum-encryption-standards</x:v>
      </x:c>
    </x:row>
    <x:row r="128" ht="15" hidden="0" customHeight="1">
      <x:c r="A128" s="12" t="n">
        <x:v>9</x:v>
      </x:c>
      <x:c r="B128" s="6" t="str">
        <x:v>Post-quantum cryptography</x:v>
      </x:c>
      <x:c r="C128" s="6" t="str">
        <x:v>a09_s2</x:v>
      </x:c>
      <x:c r="D128" s="6" t="str">
        <x:v>Post-quantum cryptography in 2025</x:v>
      </x:c>
      <x:c r="E128" s="6" t="str">
        <x:v>Cloudflare</x:v>
      </x:c>
      <x:c r="F128" s="6" t="str">
        <x:v>2025-10-28</x:v>
      </x:c>
      <x:c r="G128" s="6" t="str">
        <x:v>Vendor technical measurement</x:v>
      </x:c>
      <x:c r="H128" s="6" t="str">
        <x:v>More than 50% of human HTTPS traffic protected by PQC.</x:v>
      </x:c>
      <x:c r="I128" s="6" t="str">
        <x:v>https://blog.cloudflare.com/pq-2025/</x:v>
      </x:c>
    </x:row>
    <x:row r="129" ht="15" hidden="0" customHeight="1">
      <x:c r="A129" s="12" t="n">
        <x:v>9</x:v>
      </x:c>
      <x:c r="B129" s="6" t="str">
        <x:v>Post-quantum cryptography</x:v>
      </x:c>
      <x:c r="C129" s="6" t="str">
        <x:v>a09_s3</x:v>
      </x:c>
      <x:c r="D129" s="6" t="str">
        <x:v>Cloudflare post-quantum roadmap</x:v>
      </x:c>
      <x:c r="E129" s="6" t="str">
        <x:v>Cloudflare</x:v>
      </x:c>
      <x:c r="F129" s="6" t="str">
        <x:v>2026-04-07</x:v>
      </x:c>
      <x:c r="G129" s="6" t="str">
        <x:v>Vendor technical measurement</x:v>
      </x:c>
      <x:c r="H129" s="6" t="str">
        <x:v>More than 65% human HTTPS traffic and a 2029 roadmap.</x:v>
      </x:c>
      <x:c r="I129" s="6" t="str">
        <x:v>https://blog.cloudflare.com/post-quantum-roadmap/</x:v>
      </x:c>
    </x:row>
    <x:row r="130" ht="15" hidden="0" customHeight="1">
      <x:c r="A130" s="12" t="n">
        <x:v>9</x:v>
      </x:c>
      <x:c r="B130" s="6" t="str">
        <x:v>Post-quantum cryptography</x:v>
      </x:c>
      <x:c r="C130" s="6" t="str">
        <x:v>a09_s4</x:v>
      </x:c>
      <x:c r="D130" s="6" t="str">
        <x:v>Post-quantum cryptography project</x:v>
      </x:c>
      <x:c r="E130" s="6" t="str">
        <x:v>NIST</x:v>
      </x:c>
      <x:c r="F130" s="6" t="str"/>
      <x:c r="G130" s="6" t="str">
        <x:v>Standards body</x:v>
      </x:c>
      <x:c r="H130" s="6" t="str">
        <x:v>Standardization history and ongoing work.</x:v>
      </x:c>
      <x:c r="I130" s="6" t="str">
        <x:v>https://csrc.nist.gov/Projects/Post-Quantum-Cryptography</x:v>
      </x:c>
    </x:row>
    <x:row r="131" ht="15" hidden="0" customHeight="1">
      <x:c r="A131" s="12" t="n">
        <x:v>9</x:v>
      </x:c>
      <x:c r="B131" s="6" t="str">
        <x:v>Post-quantum cryptography</x:v>
      </x:c>
      <x:c r="C131" s="6" t="str">
        <x:v>a09_c1</x:v>
      </x:c>
      <x:c r="D131" s="6" t="str">
        <x:v>Cloudflare: product portfolio, company or investor information</x:v>
      </x:c>
      <x:c r="E131" s="6" t="str">
        <x:v>Cloudflare</x:v>
      </x:c>
      <x:c r="F131" s="6" t="str"/>
      <x:c r="G131" s="6" t="str">
        <x:v>Company information</x:v>
      </x:c>
      <x:c r="H131" s="6" t="str">
        <x:v>Company portfolio and status context. Its potential economic exposure to this trend is an analyst classification, not a forecast of investment returns.</x:v>
      </x:c>
      <x:c r="I131" s="6" t="str">
        <x:v>https://blog.cloudflare.com/post-quantum-roadmap/</x:v>
      </x:c>
    </x:row>
    <x:row r="132" ht="15" hidden="0" customHeight="1">
      <x:c r="A132" s="12" t="n">
        <x:v>9</x:v>
      </x:c>
      <x:c r="B132" s="6" t="str">
        <x:v>Post-quantum cryptography</x:v>
      </x:c>
      <x:c r="C132" s="6" t="str">
        <x:v>a09_c2</x:v>
      </x:c>
      <x:c r="D132" s="6" t="str">
        <x:v>IBM: product portfolio, company or investor information</x:v>
      </x:c>
      <x:c r="E132" s="6" t="str">
        <x:v>IBM</x:v>
      </x:c>
      <x:c r="F132" s="6" t="str"/>
      <x:c r="G132" s="6" t="str">
        <x:v>Company information</x:v>
      </x:c>
      <x:c r="H132" s="6" t="str">
        <x:v>Company portfolio and status context. Its potential economic exposure to this trend is an analyst classification, not a forecast of investment returns.</x:v>
      </x:c>
      <x:c r="I132" s="6" t="str">
        <x:v>https://www.ibm.com/</x:v>
      </x:c>
    </x:row>
    <x:row r="133" ht="15" hidden="0" customHeight="1">
      <x:c r="A133" s="12" t="n">
        <x:v>9</x:v>
      </x:c>
      <x:c r="B133" s="6" t="str">
        <x:v>Post-quantum cryptography</x:v>
      </x:c>
      <x:c r="C133" s="6" t="str">
        <x:v>a09_c3</x:v>
      </x:c>
      <x:c r="D133" s="6" t="str">
        <x:v>Alphabet: product portfolio, company or investor information</x:v>
      </x:c>
      <x:c r="E133" s="6" t="str">
        <x:v>Alphabet</x:v>
      </x:c>
      <x:c r="F133" s="6" t="str"/>
      <x:c r="G133" s="6" t="str">
        <x:v>Company information</x:v>
      </x:c>
      <x:c r="H133" s="6" t="str">
        <x:v>Company portfolio and status context. Its potential economic exposure to this trend is an analyst classification, not a forecast of investment returns.</x:v>
      </x:c>
      <x:c r="I133" s="6" t="str">
        <x:v>https://abc.xyz/investor/</x:v>
      </x:c>
    </x:row>
    <x:row r="134" ht="15" hidden="0" customHeight="1">
      <x:c r="A134" s="12" t="n">
        <x:v>9</x:v>
      </x:c>
      <x:c r="B134" s="6" t="str">
        <x:v>Post-quantum cryptography</x:v>
      </x:c>
      <x:c r="C134" s="6" t="str">
        <x:v>a09_c4</x:v>
      </x:c>
      <x:c r="D134" s="6" t="str">
        <x:v>Microsoft: product portfolio, company or investor information</x:v>
      </x:c>
      <x:c r="E134" s="6" t="str">
        <x:v>Microsoft</x:v>
      </x:c>
      <x:c r="F134" s="6" t="str"/>
      <x:c r="G134" s="6" t="str">
        <x:v>Company information</x:v>
      </x:c>
      <x:c r="H134" s="6" t="str">
        <x:v>Company portfolio and status context. Its potential economic exposure to this trend is an analyst classification, not a forecast of investment returns.</x:v>
      </x:c>
      <x:c r="I134" s="6" t="str">
        <x:v>https://www.microsoft.com/investor/reports/ar25/</x:v>
      </x:c>
    </x:row>
    <x:row r="135" ht="15" hidden="0" customHeight="1">
      <x:c r="A135" s="12" t="n">
        <x:v>9</x:v>
      </x:c>
      <x:c r="B135" s="6" t="str">
        <x:v>Post-quantum cryptography</x:v>
      </x:c>
      <x:c r="C135" s="6" t="str">
        <x:v>a09_c5</x:v>
      </x:c>
      <x:c r="D135" s="6" t="str">
        <x:v>Amazon: product portfolio, company or investor information</x:v>
      </x:c>
      <x:c r="E135" s="6" t="str">
        <x:v>Amazon</x:v>
      </x:c>
      <x:c r="F135" s="6" t="str"/>
      <x:c r="G135" s="6" t="str">
        <x:v>Company information</x:v>
      </x:c>
      <x:c r="H135" s="6" t="str">
        <x:v>Company portfolio and status context. Its potential economic exposure to this trend is an analyst classification, not a forecast of investment returns.</x:v>
      </x:c>
      <x:c r="I135" s="6" t="str">
        <x:v>https://ir.aboutamazon.com/</x:v>
      </x:c>
    </x:row>
    <x:row r="136" ht="15" hidden="0" customHeight="1">
      <x:c r="A136" s="12" t="n">
        <x:v>9</x:v>
      </x:c>
      <x:c r="B136" s="6" t="str">
        <x:v>Post-quantum cryptography</x:v>
      </x:c>
      <x:c r="C136" s="6" t="str">
        <x:v>a09_c6</x:v>
      </x:c>
      <x:c r="D136" s="6" t="str">
        <x:v>Cisco: product portfolio, company or investor information</x:v>
      </x:c>
      <x:c r="E136" s="6" t="str">
        <x:v>Cisco</x:v>
      </x:c>
      <x:c r="F136" s="6" t="str"/>
      <x:c r="G136" s="6" t="str">
        <x:v>Company information</x:v>
      </x:c>
      <x:c r="H136" s="6" t="str">
        <x:v>Company portfolio and status context. Its potential economic exposure to this trend is an analyst classification, not a forecast of investment returns.</x:v>
      </x:c>
      <x:c r="I136" s="6" t="str">
        <x:v>https://investor.cisco.com/</x:v>
      </x:c>
    </x:row>
    <x:row r="137" ht="15" hidden="0" customHeight="1">
      <x:c r="A137" s="12" t="n">
        <x:v>9</x:v>
      </x:c>
      <x:c r="B137" s="6" t="str">
        <x:v>Post-quantum cryptography</x:v>
      </x:c>
      <x:c r="C137" s="6" t="str">
        <x:v>a09_c7</x:v>
      </x:c>
      <x:c r="D137" s="6" t="str">
        <x:v>Thales: product portfolio, company or investor information</x:v>
      </x:c>
      <x:c r="E137" s="6" t="str">
        <x:v>Thales</x:v>
      </x:c>
      <x:c r="F137" s="6" t="str"/>
      <x:c r="G137" s="6" t="str">
        <x:v>Company information</x:v>
      </x:c>
      <x:c r="H137" s="6" t="str">
        <x:v>Company portfolio and status context. Its potential economic exposure to this trend is an analyst classification, not a forecast of investment returns.</x:v>
      </x:c>
      <x:c r="I137" s="6" t="str">
        <x:v>https://www.thalesgroup.com/</x:v>
      </x:c>
    </x:row>
    <x:row r="138" ht="15" hidden="0" customHeight="1">
      <x:c r="A138" s="12" t="n">
        <x:v>9</x:v>
      </x:c>
      <x:c r="B138" s="6" t="str">
        <x:v>Post-quantum cryptography</x:v>
      </x:c>
      <x:c r="C138" s="6" t="str">
        <x:v>a09_c8</x:v>
      </x:c>
      <x:c r="D138" s="6" t="str">
        <x:v>NXP: product portfolio, company or investor information</x:v>
      </x:c>
      <x:c r="E138" s="6" t="str">
        <x:v>NXP</x:v>
      </x:c>
      <x:c r="F138" s="6" t="str"/>
      <x:c r="G138" s="6" t="str">
        <x:v>Company information</x:v>
      </x:c>
      <x:c r="H138" s="6" t="str">
        <x:v>Company portfolio and status context. Its potential economic exposure to this trend is an analyst classification, not a forecast of investment returns.</x:v>
      </x:c>
      <x:c r="I138" s="6" t="str">
        <x:v>https://www.nxp.com/</x:v>
      </x:c>
    </x:row>
    <x:row r="139" ht="15" hidden="0" customHeight="1">
      <x:c r="A139" s="12" t="n">
        <x:v>9</x:v>
      </x:c>
      <x:c r="B139" s="6" t="str">
        <x:v>Post-quantum cryptography</x:v>
      </x:c>
      <x:c r="C139" s="6" t="str">
        <x:v>a09_c9</x:v>
      </x:c>
      <x:c r="D139" s="6" t="str">
        <x:v>PQShield: product portfolio, company or investor information</x:v>
      </x:c>
      <x:c r="E139" s="6" t="str">
        <x:v>PQShield</x:v>
      </x:c>
      <x:c r="F139" s="6" t="str"/>
      <x:c r="G139" s="6" t="str">
        <x:v>Company information</x:v>
      </x:c>
      <x:c r="H139" s="6" t="str">
        <x:v>Company portfolio and status context. Its potential economic exposure to this trend is an analyst classification, not a forecast of investment returns.</x:v>
      </x:c>
      <x:c r="I139" s="6" t="str">
        <x:v>https://pqshield.com/</x:v>
      </x:c>
    </x:row>
    <x:row r="140" ht="15" hidden="0" customHeight="1">
      <x:c r="A140" s="12" t="n">
        <x:v>9</x:v>
      </x:c>
      <x:c r="B140" s="6" t="str">
        <x:v>Post-quantum cryptography</x:v>
      </x:c>
      <x:c r="C140" s="6" t="str">
        <x:v>a09_c10</x:v>
      </x:c>
      <x:c r="D140" s="6" t="str">
        <x:v>QuSecure: product portfolio, company or investor information</x:v>
      </x:c>
      <x:c r="E140" s="6" t="str">
        <x:v>QuSecure</x:v>
      </x:c>
      <x:c r="F140" s="6" t="str"/>
      <x:c r="G140" s="6" t="str">
        <x:v>Company information</x:v>
      </x:c>
      <x:c r="H140" s="6" t="str">
        <x:v>Company portfolio and status context. Its potential economic exposure to this trend is an analyst classification, not a forecast of investment returns.</x:v>
      </x:c>
      <x:c r="I140" s="6" t="str">
        <x:v>https://www.qusecure.com/</x:v>
      </x:c>
    </x:row>
    <x:row r="141" ht="15" hidden="0" customHeight="1">
      <x:c r="A141" s="12" t="n">
        <x:v>9</x:v>
      </x:c>
      <x:c r="B141" s="6" t="str">
        <x:v>Post-quantum cryptography</x:v>
      </x:c>
      <x:c r="C141" s="6" t="str">
        <x:v>a09_c11</x:v>
      </x:c>
      <x:c r="D141" s="6" t="str">
        <x:v>ISARA: product portfolio, company or investor information</x:v>
      </x:c>
      <x:c r="E141" s="6" t="str">
        <x:v>ISARA</x:v>
      </x:c>
      <x:c r="F141" s="6" t="str"/>
      <x:c r="G141" s="6" t="str">
        <x:v>Company information</x:v>
      </x:c>
      <x:c r="H141" s="6" t="str">
        <x:v>Company portfolio and status context. Its potential economic exposure to this trend is an analyst classification, not a forecast of investment returns.</x:v>
      </x:c>
      <x:c r="I141" s="6" t="str">
        <x:v>https://www.isara.com/</x:v>
      </x:c>
    </x:row>
    <x:row r="142" ht="15" hidden="0" customHeight="1">
      <x:c r="A142" s="12" t="n">
        <x:v>10</x:v>
      </x:c>
      <x:c r="B142" s="6" t="str">
        <x:v>Confidential computing and privacy-preserving AI</x:v>
      </x:c>
      <x:c r="C142" s="6" t="str">
        <x:v>a10_s1</x:v>
      </x:c>
      <x:c r="D142" s="6" t="str">
        <x:v>IDC survey on confidential-computing adoption</x:v>
      </x:c>
      <x:c r="E142" s="6" t="str">
        <x:v>Confidential Computing Consortium / IDC</x:v>
      </x:c>
      <x:c r="F142" s="6" t="str">
        <x:v>2025-12-03</x:v>
      </x:c>
      <x:c r="G142" s="6" t="str">
        <x:v>Commissioned primary research</x:v>
      </x:c>
      <x:c r="H142" s="6" t="str">
        <x:v>Survey of 600 IT leaders: 18% full production and 57% pilots.</x:v>
      </x:c>
      <x:c r="I142" s="6" t="str">
        <x:v>https://confidentialcomputing.io/2025/</x:v>
      </x:c>
    </x:row>
    <x:row r="143" ht="15" hidden="0" customHeight="1">
      <x:c r="A143" s="12" t="n">
        <x:v>10</x:v>
      </x:c>
      <x:c r="B143" s="6" t="str">
        <x:v>Confidential computing and privacy-preserving AI</x:v>
      </x:c>
      <x:c r="C143" s="6" t="str">
        <x:v>a10_s2</x:v>
      </x:c>
      <x:c r="D143" s="6" t="str">
        <x:v>Private Cloud Compute: a new frontier for AI privacy in the cloud</x:v>
      </x:c>
      <x:c r="E143" s="6" t="str">
        <x:v>Apple Security Research</x:v>
      </x:c>
      <x:c r="F143" s="6" t="str">
        <x:v>2024-06-10</x:v>
      </x:c>
      <x:c r="G143" s="6" t="str">
        <x:v>Primary technical disclosure</x:v>
      </x:c>
      <x:c r="H143" s="6" t="str">
        <x:v>Architecture and threat-model example.</x:v>
      </x:c>
      <x:c r="I143" s="6" t="str">
        <x:v>https://security.apple.com/blog/private-cloud-compute/</x:v>
      </x:c>
    </x:row>
    <x:row r="144" ht="15" hidden="0" customHeight="1">
      <x:c r="A144" s="12" t="n">
        <x:v>10</x:v>
      </x:c>
      <x:c r="B144" s="6" t="str">
        <x:v>Confidential computing and privacy-preserving AI</x:v>
      </x:c>
      <x:c r="C144" s="6" t="str">
        <x:v>a10_s3</x:v>
      </x:c>
      <x:c r="D144" s="6" t="str">
        <x:v>CCC outlook for 2026</x:v>
      </x:c>
      <x:c r="E144" s="6" t="str">
        <x:v>Confidential Computing Consortium</x:v>
      </x:c>
      <x:c r="F144" s="6" t="str">
        <x:v>2026-01-06</x:v>
      </x:c>
      <x:c r="G144" s="6" t="str">
        <x:v>Industry association</x:v>
      </x:c>
      <x:c r="H144" s="6" t="str">
        <x:v>Attestation, AI and deployment priorities.</x:v>
      </x:c>
      <x:c r="I144" s="6" t="str">
        <x:v>https://confidentialcomputing.io/2026/01/06/ccc-outlook-for-2026-a-message-from-executive-director-mike-bursell/</x:v>
      </x:c>
    </x:row>
    <x:row r="145" ht="15" hidden="0" customHeight="1">
      <x:c r="A145" s="12" t="n">
        <x:v>10</x:v>
      </x:c>
      <x:c r="B145" s="6" t="str">
        <x:v>Confidential computing and privacy-preserving AI</x:v>
      </x:c>
      <x:c r="C145" s="6" t="str">
        <x:v>a10_s4</x:v>
      </x:c>
      <x:c r="D145" s="6" t="str">
        <x:v>The Confidential Computing Consortium year in review 2021</x:v>
      </x:c>
      <x:c r="E145" s="6" t="str">
        <x:v>Confidential Computing Consortium</x:v>
      </x:c>
      <x:c r="F145" s="6" t="str">
        <x:v>2021-10-06</x:v>
      </x:c>
      <x:c r="G145" s="6" t="str">
        <x:v>Industry association</x:v>
      </x:c>
      <x:c r="H145" s="6" t="str">
        <x:v>Membership, projects and attestation progress.</x:v>
      </x:c>
      <x:c r="I145" s="6" t="str">
        <x:v>https://confidentialcomputing.io/2021/10/06/the-confidential-computing-consortium-year-in-review-2021/</x:v>
      </x:c>
    </x:row>
    <x:row r="146" ht="15" hidden="0" customHeight="1">
      <x:c r="A146" s="12" t="n">
        <x:v>10</x:v>
      </x:c>
      <x:c r="B146" s="6" t="str">
        <x:v>Confidential computing and privacy-preserving AI</x:v>
      </x:c>
      <x:c r="C146" s="6" t="str">
        <x:v>a10_s5</x:v>
      </x:c>
      <x:c r="D146" s="6" t="str">
        <x:v>CCC welcomes new members and Gramine project after Q4 2021</x:v>
      </x:c>
      <x:c r="E146" s="6" t="str">
        <x:v>Confidential Computing Consortium</x:v>
      </x:c>
      <x:c r="F146" s="6" t="str">
        <x:v>2022-01-25</x:v>
      </x:c>
      <x:c r="G146" s="6" t="str">
        <x:v>Industry association</x:v>
      </x:c>
      <x:c r="H146" s="6" t="str">
        <x:v>36 corporate members, four nonprofits and six projects.</x:v>
      </x:c>
      <x:c r="I146" s="6" t="str">
        <x:v>https://confidentialcomputing.io/2022/01/25/the-ccc-welcomes-5-new-general-members-and-gramine-project-during-final-quarter-of-2021/</x:v>
      </x:c>
    </x:row>
    <x:row r="147" ht="15" hidden="0" customHeight="1">
      <x:c r="A147" s="12" t="n">
        <x:v>10</x:v>
      </x:c>
      <x:c r="B147" s="6" t="str">
        <x:v>Confidential computing and privacy-preserving AI</x:v>
      </x:c>
      <x:c r="C147" s="6" t="str">
        <x:v>a10_c1</x:v>
      </x:c>
      <x:c r="D147" s="6" t="str">
        <x:v>AMD: product portfolio, company or investor information</x:v>
      </x:c>
      <x:c r="E147" s="6" t="str">
        <x:v>AMD</x:v>
      </x:c>
      <x:c r="F147" s="6" t="str"/>
      <x:c r="G147" s="6" t="str">
        <x:v>Company information</x:v>
      </x:c>
      <x:c r="H147" s="6" t="str">
        <x:v>Company portfolio and status context. Its potential economic exposure to this trend is an analyst classification, not a forecast of investment returns.</x:v>
      </x:c>
      <x:c r="I147" s="6" t="str">
        <x:v>https://ir.amd.com/</x:v>
      </x:c>
    </x:row>
    <x:row r="148" ht="15" hidden="0" customHeight="1">
      <x:c r="A148" s="12" t="n">
        <x:v>10</x:v>
      </x:c>
      <x:c r="B148" s="6" t="str">
        <x:v>Confidential computing and privacy-preserving AI</x:v>
      </x:c>
      <x:c r="C148" s="6" t="str">
        <x:v>a10_c2</x:v>
      </x:c>
      <x:c r="D148" s="6" t="str">
        <x:v>Intel: product portfolio, company or investor information</x:v>
      </x:c>
      <x:c r="E148" s="6" t="str">
        <x:v>Intel</x:v>
      </x:c>
      <x:c r="F148" s="6" t="str"/>
      <x:c r="G148" s="6" t="str">
        <x:v>Company information</x:v>
      </x:c>
      <x:c r="H148" s="6" t="str">
        <x:v>Company portfolio and status context. Its potential economic exposure to this trend is an analyst classification, not a forecast of investment returns.</x:v>
      </x:c>
      <x:c r="I148" s="6" t="str">
        <x:v>https://www.intc.com/</x:v>
      </x:c>
    </x:row>
    <x:row r="149" ht="15" hidden="0" customHeight="1">
      <x:c r="A149" s="12" t="n">
        <x:v>10</x:v>
      </x:c>
      <x:c r="B149" s="6" t="str">
        <x:v>Confidential computing and privacy-preserving AI</x:v>
      </x:c>
      <x:c r="C149" s="6" t="str">
        <x:v>a10_c3</x:v>
      </x:c>
      <x:c r="D149" s="6" t="str">
        <x:v>NVIDIA: product portfolio, company or investor information</x:v>
      </x:c>
      <x:c r="E149" s="6" t="str">
        <x:v>NVIDIA</x:v>
      </x:c>
      <x:c r="F149" s="6" t="str"/>
      <x:c r="G149" s="6" t="str">
        <x:v>Company information</x:v>
      </x:c>
      <x:c r="H149" s="6" t="str">
        <x:v>Company portfolio and status context. Its potential economic exposure to this trend is an analyst classification, not a forecast of investment returns.</x:v>
      </x:c>
      <x:c r="I149" s="6" t="str">
        <x:v>https://investor.nvidia.com/</x:v>
      </x:c>
    </x:row>
    <x:row r="150" ht="15" hidden="0" customHeight="1">
      <x:c r="A150" s="12" t="n">
        <x:v>10</x:v>
      </x:c>
      <x:c r="B150" s="6" t="str">
        <x:v>Confidential computing and privacy-preserving AI</x:v>
      </x:c>
      <x:c r="C150" s="6" t="str">
        <x:v>a10_c4</x:v>
      </x:c>
      <x:c r="D150" s="6" t="str">
        <x:v>Microsoft: product portfolio, company or investor information</x:v>
      </x:c>
      <x:c r="E150" s="6" t="str">
        <x:v>Microsoft</x:v>
      </x:c>
      <x:c r="F150" s="6" t="str"/>
      <x:c r="G150" s="6" t="str">
        <x:v>Company information</x:v>
      </x:c>
      <x:c r="H150" s="6" t="str">
        <x:v>Company portfolio and status context. Its potential economic exposure to this trend is an analyst classification, not a forecast of investment returns.</x:v>
      </x:c>
      <x:c r="I150" s="6" t="str">
        <x:v>https://www.microsoft.com/investor/reports/ar25/</x:v>
      </x:c>
    </x:row>
    <x:row r="151" ht="15" hidden="0" customHeight="1">
      <x:c r="A151" s="12" t="n">
        <x:v>10</x:v>
      </x:c>
      <x:c r="B151" s="6" t="str">
        <x:v>Confidential computing and privacy-preserving AI</x:v>
      </x:c>
      <x:c r="C151" s="6" t="str">
        <x:v>a10_c5</x:v>
      </x:c>
      <x:c r="D151" s="6" t="str">
        <x:v>Alphabet: product portfolio, company or investor information</x:v>
      </x:c>
      <x:c r="E151" s="6" t="str">
        <x:v>Alphabet</x:v>
      </x:c>
      <x:c r="F151" s="6" t="str"/>
      <x:c r="G151" s="6" t="str">
        <x:v>Company information</x:v>
      </x:c>
      <x:c r="H151" s="6" t="str">
        <x:v>Company portfolio and status context. Its potential economic exposure to this trend is an analyst classification, not a forecast of investment returns.</x:v>
      </x:c>
      <x:c r="I151" s="6" t="str">
        <x:v>https://abc.xyz/investor/</x:v>
      </x:c>
    </x:row>
    <x:row r="152" ht="15" hidden="0" customHeight="1">
      <x:c r="A152" s="12" t="n">
        <x:v>10</x:v>
      </x:c>
      <x:c r="B152" s="6" t="str">
        <x:v>Confidential computing and privacy-preserving AI</x:v>
      </x:c>
      <x:c r="C152" s="6" t="str">
        <x:v>a10_c6</x:v>
      </x:c>
      <x:c r="D152" s="6" t="str">
        <x:v>Amazon: product portfolio, company or investor information</x:v>
      </x:c>
      <x:c r="E152" s="6" t="str">
        <x:v>Amazon</x:v>
      </x:c>
      <x:c r="F152" s="6" t="str"/>
      <x:c r="G152" s="6" t="str">
        <x:v>Company information</x:v>
      </x:c>
      <x:c r="H152" s="6" t="str">
        <x:v>Company portfolio and status context. Its potential economic exposure to this trend is an analyst classification, not a forecast of investment returns.</x:v>
      </x:c>
      <x:c r="I152" s="6" t="str">
        <x:v>https://ir.aboutamazon.com/</x:v>
      </x:c>
    </x:row>
    <x:row r="153" ht="15" hidden="0" customHeight="1">
      <x:c r="A153" s="12" t="n">
        <x:v>10</x:v>
      </x:c>
      <x:c r="B153" s="6" t="str">
        <x:v>Confidential computing and privacy-preserving AI</x:v>
      </x:c>
      <x:c r="C153" s="6" t="str">
        <x:v>a10_c7</x:v>
      </x:c>
      <x:c r="D153" s="6" t="str">
        <x:v>IBM: product portfolio, company or investor information</x:v>
      </x:c>
      <x:c r="E153" s="6" t="str">
        <x:v>IBM</x:v>
      </x:c>
      <x:c r="F153" s="6" t="str"/>
      <x:c r="G153" s="6" t="str">
        <x:v>Company information</x:v>
      </x:c>
      <x:c r="H153" s="6" t="str">
        <x:v>Company portfolio and status context. Its potential economic exposure to this trend is an analyst classification, not a forecast of investment returns.</x:v>
      </x:c>
      <x:c r="I153" s="6" t="str">
        <x:v>https://www.ibm.com/</x:v>
      </x:c>
    </x:row>
    <x:row r="154" ht="15" hidden="0" customHeight="1">
      <x:c r="A154" s="12" t="n">
        <x:v>10</x:v>
      </x:c>
      <x:c r="B154" s="6" t="str">
        <x:v>Confidential computing and privacy-preserving AI</x:v>
      </x:c>
      <x:c r="C154" s="6" t="str">
        <x:v>a10_c8</x:v>
      </x:c>
      <x:c r="D154" s="6" t="str">
        <x:v>Fortanix: product portfolio, company or investor information</x:v>
      </x:c>
      <x:c r="E154" s="6" t="str">
        <x:v>Fortanix</x:v>
      </x:c>
      <x:c r="F154" s="6" t="str"/>
      <x:c r="G154" s="6" t="str">
        <x:v>Company information</x:v>
      </x:c>
      <x:c r="H154" s="6" t="str">
        <x:v>Company portfolio and status context. Its potential economic exposure to this trend is an analyst classification, not a forecast of investment returns.</x:v>
      </x:c>
      <x:c r="I154" s="6" t="str">
        <x:v>https://www.fortanix.com/</x:v>
      </x:c>
    </x:row>
    <x:row r="155" ht="15" hidden="0" customHeight="1">
      <x:c r="A155" s="12" t="n">
        <x:v>10</x:v>
      </x:c>
      <x:c r="B155" s="6" t="str">
        <x:v>Confidential computing and privacy-preserving AI</x:v>
      </x:c>
      <x:c r="C155" s="6" t="str">
        <x:v>a10_c9</x:v>
      </x:c>
      <x:c r="D155" s="6" t="str">
        <x:v>Edgeless Systems: product portfolio, company or investor information</x:v>
      </x:c>
      <x:c r="E155" s="6" t="str">
        <x:v>Edgeless Systems</x:v>
      </x:c>
      <x:c r="F155" s="6" t="str"/>
      <x:c r="G155" s="6" t="str">
        <x:v>Company information</x:v>
      </x:c>
      <x:c r="H155" s="6" t="str">
        <x:v>Company portfolio and status context. Its potential economic exposure to this trend is an analyst classification, not a forecast of investment returns.</x:v>
      </x:c>
      <x:c r="I155" s="6" t="str">
        <x:v>https://www.edgeless.systems/</x:v>
      </x:c>
    </x:row>
    <x:row r="156" ht="15" hidden="0" customHeight="1">
      <x:c r="A156" s="12" t="n">
        <x:v>10</x:v>
      </x:c>
      <x:c r="B156" s="6" t="str">
        <x:v>Confidential computing and privacy-preserving AI</x:v>
      </x:c>
      <x:c r="C156" s="6" t="str">
        <x:v>a10_c10</x:v>
      </x:c>
      <x:c r="D156" s="6" t="str">
        <x:v>Anjuna: product portfolio, company or investor information</x:v>
      </x:c>
      <x:c r="E156" s="6" t="str">
        <x:v>Anjuna</x:v>
      </x:c>
      <x:c r="F156" s="6" t="str"/>
      <x:c r="G156" s="6" t="str">
        <x:v>Company information</x:v>
      </x:c>
      <x:c r="H156" s="6" t="str">
        <x:v>Company portfolio and status context. Its potential economic exposure to this trend is an analyst classification, not a forecast of investment returns.</x:v>
      </x:c>
      <x:c r="I156" s="6" t="str">
        <x:v>https://www.anjuna.io/</x:v>
      </x:c>
    </x:row>
    <x:row r="157" ht="15" hidden="0" customHeight="1">
      <x:c r="A157" s="12" t="n">
        <x:v>10</x:v>
      </x:c>
      <x:c r="B157" s="6" t="str">
        <x:v>Confidential computing and privacy-preserving AI</x:v>
      </x:c>
      <x:c r="C157" s="6" t="str">
        <x:v>a10_c11</x:v>
      </x:c>
      <x:c r="D157" s="6" t="str">
        <x:v>Decentriq: product portfolio, company or investor information</x:v>
      </x:c>
      <x:c r="E157" s="6" t="str">
        <x:v>Decentriq</x:v>
      </x:c>
      <x:c r="F157" s="6" t="str"/>
      <x:c r="G157" s="6" t="str">
        <x:v>Company information</x:v>
      </x:c>
      <x:c r="H157" s="6" t="str">
        <x:v>Company portfolio and status context. Its potential economic exposure to this trend is an analyst classification, not a forecast of investment returns.</x:v>
      </x:c>
      <x:c r="I157" s="6" t="str">
        <x:v>https://www.decentriq.com/</x:v>
      </x:c>
    </x:row>
    <x:row r="158" ht="15" hidden="0" customHeight="1">
      <x:c r="A158" s="12" t="n">
        <x:v>11</x:v>
      </x:c>
      <x:c r="B158" s="6" t="str">
        <x:v>Private 5G and industrial wireless</x:v>
      </x:c>
      <x:c r="C158" s="6" t="str">
        <x:v>a11_s1</x:v>
      </x:c>
      <x:c r="D158" s="6" t="str">
        <x:v>Over 1,000 organizations now deploying private mobile networks</x:v>
      </x:c>
      <x:c r="E158" s="6" t="str">
        <x:v>GSA</x:v>
      </x:c>
      <x:c r="F158" s="6" t="str">
        <x:v>2023-02</x:v>
      </x:c>
      <x:c r="G158" s="6" t="str">
        <x:v>Industry research</x:v>
      </x:c>
      <x:c r="H158" s="6" t="str">
        <x:v>1,077 customer organizations at end 2022.</x:v>
      </x:c>
      <x:c r="I158" s="6" t="str">
        <x:v>https://gsacom.com/press-release/over-1000-organisations-now-deploying-private-mobile-networks/</x:v>
      </x:c>
    </x:row>
    <x:row r="159" ht="15" hidden="0" customHeight="1">
      <x:c r="A159" s="12" t="n">
        <x:v>11</x:v>
      </x:c>
      <x:c r="B159" s="6" t="str">
        <x:v>Private 5G and industrial wireless</x:v>
      </x:c>
      <x:c r="C159" s="6" t="str">
        <x:v>a11_s2</x:v>
      </x:c>
      <x:c r="D159" s="6" t="str">
        <x:v>Private mobile networks: February 2024 summary</x:v>
      </x:c>
      <x:c r="E159" s="6" t="str">
        <x:v>GSA</x:v>
      </x:c>
      <x:c r="F159" s="6" t="str">
        <x:v>2024-02</x:v>
      </x:c>
      <x:c r="G159" s="6" t="str">
        <x:v>Industry research</x:v>
      </x:c>
      <x:c r="H159" s="6" t="str">
        <x:v>1,384 customer organizations at end 2023.</x:v>
      </x:c>
      <x:c r="I159" s="6" t="str">
        <x:v>https://gsacom.com/paper/private-mobile-networks-summary-february-2024/</x:v>
      </x:c>
    </x:row>
    <x:row r="160" ht="15" hidden="0" customHeight="1">
      <x:c r="A160" s="12" t="n">
        <x:v>11</x:v>
      </x:c>
      <x:c r="B160" s="6" t="str">
        <x:v>Private 5G and industrial wireless</x:v>
      </x:c>
      <x:c r="C160" s="6" t="str">
        <x:v>a11_s3</x:v>
      </x:c>
      <x:c r="D160" s="6" t="str">
        <x:v>Private mobile networks: September 2026</x:v>
      </x:c>
      <x:c r="E160" s="6" t="str">
        <x:v>GSA</x:v>
      </x:c>
      <x:c r="F160" s="6" t="str">
        <x:v>2026-09-22</x:v>
      </x:c>
      <x:c r="G160" s="6" t="str">
        <x:v>Industry research</x:v>
      </x:c>
      <x:c r="H160" s="6" t="str">
        <x:v>2,031 customer organizations in 88 countries by Q2 2026; scope and trend.</x:v>
      </x:c>
      <x:c r="I160" s="6" t="str">
        <x:v>https://gsacom.com/paper/private-mobile-networks-september-2026-2/</x:v>
      </x:c>
    </x:row>
    <x:row r="161" ht="15" hidden="0" customHeight="1">
      <x:c r="A161" s="12" t="n">
        <x:v>11</x:v>
      </x:c>
      <x:c r="B161" s="6" t="str">
        <x:v>Private 5G and industrial wireless</x:v>
      </x:c>
      <x:c r="C161" s="6" t="str">
        <x:v>a11_s4</x:v>
      </x:c>
      <x:c r="D161" s="6" t="str">
        <x:v>Private mobile networks: June 2024 summary</x:v>
      </x:c>
      <x:c r="E161" s="6" t="str">
        <x:v>GSA</x:v>
      </x:c>
      <x:c r="F161" s="6" t="str">
        <x:v>2024-06</x:v>
      </x:c>
      <x:c r="G161" s="6" t="str">
        <x:v>Industry research</x:v>
      </x:c>
      <x:c r="H161" s="6" t="str">
        <x:v>1,427 customer organizations at end Q1 2024.</x:v>
      </x:c>
      <x:c r="I161" s="6" t="str">
        <x:v>https://gsacom.com/paper/privatemobilenetworks-june-2024-summary/</x:v>
      </x:c>
    </x:row>
    <x:row r="162" ht="15" hidden="0" customHeight="1">
      <x:c r="A162" s="12" t="n">
        <x:v>11</x:v>
      </x:c>
      <x:c r="B162" s="6" t="str">
        <x:v>Private 5G and industrial wireless</x:v>
      </x:c>
      <x:c r="C162" s="6" t="str">
        <x:v>a11_s5</x:v>
      </x:c>
      <x:c r="D162" s="6" t="str">
        <x:v>Nokia to sell Enterprise Campus Edge business to AURELIUS</x:v>
      </x:c>
      <x:c r="E162" s="6" t="str">
        <x:v>Nokia</x:v>
      </x:c>
      <x:c r="F162" s="6" t="str">
        <x:v>2026-10-13</x:v>
      </x:c>
      <x:c r="G162" s="6" t="str">
        <x:v>Company announcement</x:v>
      </x:c>
      <x:c r="H162" s="6" t="str">
        <x:v>Agreed sale with expected H1 2027 closing; business remains Nokia’s at cutoff.</x:v>
      </x:c>
      <x:c r="I162" s="6" t="str">
        <x:v>https://www.nokia.com/newsroom/nokia-to-sell-enterprise-campus-edge-business-to-aurelius/</x:v>
      </x:c>
    </x:row>
    <x:row r="163" ht="15" hidden="0" customHeight="1">
      <x:c r="A163" s="12" t="n">
        <x:v>11</x:v>
      </x:c>
      <x:c r="B163" s="6" t="str">
        <x:v>Private 5G and industrial wireless</x:v>
      </x:c>
      <x:c r="C163" s="6" t="str">
        <x:v>a11_c1</x:v>
      </x:c>
      <x:c r="D163" s="6" t="str">
        <x:v>Nokia: product portfolio, company or investor information</x:v>
      </x:c>
      <x:c r="E163" s="6" t="str">
        <x:v>Nokia</x:v>
      </x:c>
      <x:c r="F163" s="6" t="str"/>
      <x:c r="G163" s="6" t="str">
        <x:v>Company information</x:v>
      </x:c>
      <x:c r="H163" s="6" t="str">
        <x:v>Company portfolio and status context. Its potential economic exposure to this trend is an analyst classification, not a forecast of investment returns.</x:v>
      </x:c>
      <x:c r="I163" s="6" t="str">
        <x:v>https://www.nokia.com/newsroom/nokia-to-sell-enterprise-campus-edge-business-to-aurelius/</x:v>
      </x:c>
    </x:row>
    <x:row r="164" ht="15" hidden="0" customHeight="1">
      <x:c r="A164" s="12" t="n">
        <x:v>11</x:v>
      </x:c>
      <x:c r="B164" s="6" t="str">
        <x:v>Private 5G and industrial wireless</x:v>
      </x:c>
      <x:c r="C164" s="6" t="str">
        <x:v>a11_c2</x:v>
      </x:c>
      <x:c r="D164" s="6" t="str">
        <x:v>Ericsson: product portfolio, company or investor information</x:v>
      </x:c>
      <x:c r="E164" s="6" t="str">
        <x:v>Ericsson</x:v>
      </x:c>
      <x:c r="F164" s="6" t="str"/>
      <x:c r="G164" s="6" t="str">
        <x:v>Company information</x:v>
      </x:c>
      <x:c r="H164" s="6" t="str">
        <x:v>Company portfolio and status context. Its potential economic exposure to this trend is an analyst classification, not a forecast of investment returns.</x:v>
      </x:c>
      <x:c r="I164" s="6" t="str">
        <x:v>https://www.ericsson.com/</x:v>
      </x:c>
    </x:row>
    <x:row r="165" ht="15" hidden="0" customHeight="1">
      <x:c r="A165" s="12" t="n">
        <x:v>11</x:v>
      </x:c>
      <x:c r="B165" s="6" t="str">
        <x:v>Private 5G and industrial wireless</x:v>
      </x:c>
      <x:c r="C165" s="6" t="str">
        <x:v>a11_c3</x:v>
      </x:c>
      <x:c r="D165" s="6" t="str">
        <x:v>Hewlett Packard Enterprise: product portfolio, company or investor information</x:v>
      </x:c>
      <x:c r="E165" s="6" t="str">
        <x:v>Hewlett Packard Enterprise</x:v>
      </x:c>
      <x:c r="F165" s="6" t="str"/>
      <x:c r="G165" s="6" t="str">
        <x:v>Company information</x:v>
      </x:c>
      <x:c r="H165" s="6" t="str">
        <x:v>Company portfolio and status context. Its potential economic exposure to this trend is an analyst classification, not a forecast of investment returns.</x:v>
      </x:c>
      <x:c r="I165" s="6" t="str">
        <x:v>https://www.hpe.com/</x:v>
      </x:c>
    </x:row>
    <x:row r="166" ht="15" hidden="0" customHeight="1">
      <x:c r="A166" s="12" t="n">
        <x:v>11</x:v>
      </x:c>
      <x:c r="B166" s="6" t="str">
        <x:v>Private 5G and industrial wireless</x:v>
      </x:c>
      <x:c r="C166" s="6" t="str">
        <x:v>a11_c4</x:v>
      </x:c>
      <x:c r="D166" s="6" t="str">
        <x:v>Cisco: product portfolio, company or investor information</x:v>
      </x:c>
      <x:c r="E166" s="6" t="str">
        <x:v>Cisco</x:v>
      </x:c>
      <x:c r="F166" s="6" t="str"/>
      <x:c r="G166" s="6" t="str">
        <x:v>Company information</x:v>
      </x:c>
      <x:c r="H166" s="6" t="str">
        <x:v>Company portfolio and status context. Its potential economic exposure to this trend is an analyst classification, not a forecast of investment returns.</x:v>
      </x:c>
      <x:c r="I166" s="6" t="str">
        <x:v>https://investor.cisco.com/</x:v>
      </x:c>
    </x:row>
    <x:row r="167" ht="15" hidden="0" customHeight="1">
      <x:c r="A167" s="12" t="n">
        <x:v>11</x:v>
      </x:c>
      <x:c r="B167" s="6" t="str">
        <x:v>Private 5G and industrial wireless</x:v>
      </x:c>
      <x:c r="C167" s="6" t="str">
        <x:v>a11_c5</x:v>
      </x:c>
      <x:c r="D167" s="6" t="str">
        <x:v>Samsung Electronics: product portfolio, company or investor information</x:v>
      </x:c>
      <x:c r="E167" s="6" t="str">
        <x:v>Samsung Electronics</x:v>
      </x:c>
      <x:c r="F167" s="6" t="str"/>
      <x:c r="G167" s="6" t="str">
        <x:v>Company information</x:v>
      </x:c>
      <x:c r="H167" s="6" t="str">
        <x:v>Company portfolio and status context. Its potential economic exposure to this trend is an analyst classification, not a forecast of investment returns.</x:v>
      </x:c>
      <x:c r="I167" s="6" t="str">
        <x:v>https://www.samsung.com/global/ir/</x:v>
      </x:c>
    </x:row>
    <x:row r="168" ht="15" hidden="0" customHeight="1">
      <x:c r="A168" s="12" t="n">
        <x:v>11</x:v>
      </x:c>
      <x:c r="B168" s="6" t="str">
        <x:v>Private 5G and industrial wireless</x:v>
      </x:c>
      <x:c r="C168" s="6" t="str">
        <x:v>a11_c6</x:v>
      </x:c>
      <x:c r="D168" s="6" t="str">
        <x:v>Qualcomm: product portfolio, company or investor information</x:v>
      </x:c>
      <x:c r="E168" s="6" t="str">
        <x:v>Qualcomm</x:v>
      </x:c>
      <x:c r="F168" s="6" t="str"/>
      <x:c r="G168" s="6" t="str">
        <x:v>Company information</x:v>
      </x:c>
      <x:c r="H168" s="6" t="str">
        <x:v>Company portfolio and status context. Its potential economic exposure to this trend is an analyst classification, not a forecast of investment returns.</x:v>
      </x:c>
      <x:c r="I168" s="6" t="str">
        <x:v>https://investor.qualcomm.com/</x:v>
      </x:c>
    </x:row>
    <x:row r="169" ht="15" hidden="0" customHeight="1">
      <x:c r="A169" s="12" t="n">
        <x:v>11</x:v>
      </x:c>
      <x:c r="B169" s="6" t="str">
        <x:v>Private 5G and industrial wireless</x:v>
      </x:c>
      <x:c r="C169" s="6" t="str">
        <x:v>a11_c7</x:v>
      </x:c>
      <x:c r="D169" s="6" t="str">
        <x:v>Siemens: product portfolio, company or investor information</x:v>
      </x:c>
      <x:c r="E169" s="6" t="str">
        <x:v>Siemens</x:v>
      </x:c>
      <x:c r="F169" s="6" t="str"/>
      <x:c r="G169" s="6" t="str">
        <x:v>Company information</x:v>
      </x:c>
      <x:c r="H169" s="6" t="str">
        <x:v>Company portfolio and status context. Its potential economic exposure to this trend is an analyst classification, not a forecast of investment returns.</x:v>
      </x:c>
      <x:c r="I169" s="6" t="str">
        <x:v>https://www.siemens.com/</x:v>
      </x:c>
    </x:row>
    <x:row r="170" ht="15" hidden="0" customHeight="1">
      <x:c r="A170" s="12" t="n">
        <x:v>11</x:v>
      </x:c>
      <x:c r="B170" s="6" t="str">
        <x:v>Private 5G and industrial wireless</x:v>
      </x:c>
      <x:c r="C170" s="6" t="str">
        <x:v>a11_c8</x:v>
      </x:c>
      <x:c r="D170" s="6" t="str">
        <x:v>NTT: product portfolio, company or investor information</x:v>
      </x:c>
      <x:c r="E170" s="6" t="str">
        <x:v>NTT</x:v>
      </x:c>
      <x:c r="F170" s="6" t="str"/>
      <x:c r="G170" s="6" t="str">
        <x:v>Company information</x:v>
      </x:c>
      <x:c r="H170" s="6" t="str">
        <x:v>Company portfolio and status context. Its potential economic exposure to this trend is an analyst classification, not a forecast of investment returns.</x:v>
      </x:c>
      <x:c r="I170" s="6" t="str">
        <x:v>https://group.ntt/en/</x:v>
      </x:c>
    </x:row>
    <x:row r="171" ht="15" hidden="0" customHeight="1">
      <x:c r="A171" s="12" t="n">
        <x:v>11</x:v>
      </x:c>
      <x:c r="B171" s="6" t="str">
        <x:v>Private 5G and industrial wireless</x:v>
      </x:c>
      <x:c r="C171" s="6" t="str">
        <x:v>a11_c9</x:v>
      </x:c>
      <x:c r="D171" s="6" t="str">
        <x:v>Celona: product portfolio, company or investor information</x:v>
      </x:c>
      <x:c r="E171" s="6" t="str">
        <x:v>Celona</x:v>
      </x:c>
      <x:c r="F171" s="6" t="str"/>
      <x:c r="G171" s="6" t="str">
        <x:v>Company information</x:v>
      </x:c>
      <x:c r="H171" s="6" t="str">
        <x:v>Company portfolio and status context. Its potential economic exposure to this trend is an analyst classification, not a forecast of investment returns.</x:v>
      </x:c>
      <x:c r="I171" s="6" t="str">
        <x:v>https://celona.io/</x:v>
      </x:c>
    </x:row>
    <x:row r="172" ht="15" hidden="0" customHeight="1">
      <x:c r="A172" s="12" t="n">
        <x:v>11</x:v>
      </x:c>
      <x:c r="B172" s="6" t="str">
        <x:v>Private 5G and industrial wireless</x:v>
      </x:c>
      <x:c r="C172" s="6" t="str">
        <x:v>a11_c10</x:v>
      </x:c>
      <x:c r="D172" s="6" t="str">
        <x:v>Ataya: product portfolio, company or investor information</x:v>
      </x:c>
      <x:c r="E172" s="6" t="str">
        <x:v>Ataya</x:v>
      </x:c>
      <x:c r="F172" s="6" t="str"/>
      <x:c r="G172" s="6" t="str">
        <x:v>Company information</x:v>
      </x:c>
      <x:c r="H172" s="6" t="str">
        <x:v>Company portfolio and status context. Its potential economic exposure to this trend is an analyst classification, not a forecast of investment returns.</x:v>
      </x:c>
      <x:c r="I172" s="6" t="str">
        <x:v>https://www.ataya.io/</x:v>
      </x:c>
    </x:row>
    <x:row r="173" ht="15" hidden="0" customHeight="1">
      <x:c r="A173" s="12" t="n">
        <x:v>11</x:v>
      </x:c>
      <x:c r="B173" s="6" t="str">
        <x:v>Private 5G and industrial wireless</x:v>
      </x:c>
      <x:c r="C173" s="6" t="str">
        <x:v>a11_c11</x:v>
      </x:c>
      <x:c r="D173" s="6" t="str">
        <x:v>Expeto: product portfolio, company or investor information</x:v>
      </x:c>
      <x:c r="E173" s="6" t="str">
        <x:v>Expeto</x:v>
      </x:c>
      <x:c r="F173" s="6" t="str"/>
      <x:c r="G173" s="6" t="str">
        <x:v>Company information</x:v>
      </x:c>
      <x:c r="H173" s="6" t="str">
        <x:v>Company portfolio and status context. Its potential economic exposure to this trend is an analyst classification, not a forecast of investment returns.</x:v>
      </x:c>
      <x:c r="I173" s="6" t="str">
        <x:v>https://www.expeto.io/</x:v>
      </x:c>
    </x:row>
    <x:row r="174" ht="15" hidden="0" customHeight="1">
      <x:c r="A174" s="12" t="n">
        <x:v>12</x:v>
      </x:c>
      <x:c r="B174" s="6" t="str">
        <x:v>Direct-to-device satellite connectivity</x:v>
      </x:c>
      <x:c r="C174" s="6" t="str">
        <x:v>a12_s1</x:v>
      </x:c>
      <x:c r="D174" s="6" t="str">
        <x:v>Emergency SOS available in France, Germany, Ireland and the UK</x:v>
      </x:c>
      <x:c r="E174" s="6" t="str">
        <x:v>Apple</x:v>
      </x:c>
      <x:c r="F174" s="6" t="str">
        <x:v>2022-12-13</x:v>
      </x:c>
      <x:c r="G174" s="6" t="str">
        <x:v>Company announcement</x:v>
      </x:c>
      <x:c r="H174" s="6" t="str">
        <x:v>Four additions after U.S./Canada launch imply six markets.</x:v>
      </x:c>
      <x:c r="I174" s="6" t="str">
        <x:v>https://www.apple.com/uk/newsroom/2022/12/emergency-sos-via-satellite-available-in-france-germany-ireland-and-the-uk/</x:v>
      </x:c>
    </x:row>
    <x:row r="175" ht="15" hidden="0" customHeight="1">
      <x:c r="A175" s="12" t="n">
        <x:v>12</x:v>
      </x:c>
      <x:c r="B175" s="6" t="str">
        <x:v>Direct-to-device satellite connectivity</x:v>
      </x:c>
      <x:c r="C175" s="6" t="str">
        <x:v>a12_s2</x:v>
      </x:c>
      <x:c r="D175" s="6" t="str">
        <x:v>Apple extends Emergency SOS via satellite for an additional free year</x:v>
      </x:c>
      <x:c r="E175" s="6" t="str">
        <x:v>Apple</x:v>
      </x:c>
      <x:c r="F175" s="6" t="str">
        <x:v>2023-11-15</x:v>
      </x:c>
      <x:c r="G175" s="6" t="str">
        <x:v>Company announcement</x:v>
      </x:c>
      <x:c r="H175" s="6" t="str">
        <x:v>Service available in 16 countries/regions.</x:v>
      </x:c>
      <x:c r="I175" s="6" t="str">
        <x:v>https://www.apple.com/newsroom/2023/11/apple-extends-emergency-sos-via-satellite-for-an-additional-free-year/</x:v>
      </x:c>
    </x:row>
    <x:row r="176" ht="15" hidden="0" customHeight="1">
      <x:c r="A176" s="12" t="n">
        <x:v>12</x:v>
      </x:c>
      <x:c r="B176" s="6" t="str">
        <x:v>Direct-to-device satellite connectivity</x:v>
      </x:c>
      <x:c r="C176" s="6" t="str">
        <x:v>a12_s3</x:v>
      </x:c>
      <x:c r="D176" s="6" t="str">
        <x:v>Use Emergency SOS via satellite on your iPhone</x:v>
      </x:c>
      <x:c r="E176" s="6" t="str">
        <x:v>Apple Support</x:v>
      </x:c>
      <x:c r="F176" s="6" t="str">
        <x:v>2026-10-05</x:v>
      </x:c>
      <x:c r="G176" s="6" t="str">
        <x:v>Primary product documentation</x:v>
      </x:c>
      <x:c r="H176" s="6" t="str">
        <x:v>Current availability list contains 21 country/region names; requirements and network provider.</x:v>
      </x:c>
      <x:c r="I176" s="6" t="str">
        <x:v>https://support.apple.com/en-us/101573</x:v>
      </x:c>
    </x:row>
    <x:row r="177" ht="15" hidden="0" customHeight="1">
      <x:c r="A177" s="12" t="n">
        <x:v>12</x:v>
      </x:c>
      <x:c r="B177" s="6" t="str">
        <x:v>Direct-to-device satellite connectivity</x:v>
      </x:c>
      <x:c r="C177" s="6" t="str">
        <x:v>a12_s4</x:v>
      </x:c>
      <x:c r="D177" s="6" t="str">
        <x:v>Emergency SOS via satellite available on iPhone 14</x:v>
      </x:c>
      <x:c r="E177" s="6" t="str">
        <x:v>Apple</x:v>
      </x:c>
      <x:c r="F177" s="6" t="str">
        <x:v>2022-11-15</x:v>
      </x:c>
      <x:c r="G177" s="6" t="str">
        <x:v>Company announcement</x:v>
      </x:c>
      <x:c r="H177" s="6" t="str">
        <x:v>Initial U.S./Canada service launch.</x:v>
      </x:c>
      <x:c r="I177" s="6" t="str">
        <x:v>https://www.apple.com/newsroom/2022/11/emergency-sos-via-satellite-available-today-on-iphone-14-lineup/</x:v>
      </x:c>
    </x:row>
    <x:row r="178" ht="15" hidden="0" customHeight="1">
      <x:c r="A178" s="12" t="n">
        <x:v>12</x:v>
      </x:c>
      <x:c r="B178" s="6" t="str">
        <x:v>Direct-to-device satellite connectivity</x:v>
      </x:c>
      <x:c r="C178" s="6" t="str">
        <x:v>a12_s5</x:v>
      </x:c>
      <x:c r="D178" s="6" t="str">
        <x:v>T-Satellite service and coverage</x:v>
      </x:c>
      <x:c r="E178" s="6" t="str">
        <x:v>T-Mobile</x:v>
      </x:c>
      <x:c r="F178" s="6" t="str"/>
      <x:c r="G178" s="6" t="str">
        <x:v>Primary product documentation</x:v>
      </x:c>
      <x:c r="H178" s="6" t="str">
        <x:v>Current commercial offer, selected data apps and service limitations.</x:v>
      </x:c>
      <x:c r="I178" s="6" t="str">
        <x:v>https://www.t-mobile.com/coverage/satellite-phone-service</x:v>
      </x:c>
    </x:row>
    <x:row r="179" ht="15" hidden="0" customHeight="1">
      <x:c r="A179" s="12" t="n">
        <x:v>12</x:v>
      </x:c>
      <x:c r="B179" s="6" t="str">
        <x:v>Direct-to-device satellite connectivity</x:v>
      </x:c>
      <x:c r="C179" s="6" t="str">
        <x:v>a12_s6</x:v>
      </x:c>
      <x:c r="D179" s="6" t="str">
        <x:v>Starlink updates: first direct-to-cell text messages</x:v>
      </x:c>
      <x:c r="E179" s="6" t="str">
        <x:v>SpaceX / Starlink</x:v>
      </x:c>
      <x:c r="F179" s="6" t="str">
        <x:v>2024-01-10</x:v>
      </x:c>
      <x:c r="G179" s="6" t="str">
        <x:v>Company technical update</x:v>
      </x:c>
      <x:c r="H179" s="6" t="str">
        <x:v>January 2024 direct-to-cell text milestone.</x:v>
      </x:c>
      <x:c r="I179" s="6" t="str">
        <x:v>https://starlink.com/sb/updates</x:v>
      </x:c>
    </x:row>
    <x:row r="180" ht="15" hidden="0" customHeight="1">
      <x:c r="A180" s="12" t="n">
        <x:v>12</x:v>
      </x:c>
      <x:c r="B180" s="6" t="str">
        <x:v>Direct-to-device satellite connectivity</x:v>
      </x:c>
      <x:c r="C180" s="6" t="str">
        <x:v>a12_c1</x:v>
      </x:c>
      <x:c r="D180" s="6" t="str">
        <x:v>SpaceX: product portfolio, company or investor information</x:v>
      </x:c>
      <x:c r="E180" s="6" t="str">
        <x:v>SpaceX</x:v>
      </x:c>
      <x:c r="F180" s="6" t="str"/>
      <x:c r="G180" s="6" t="str">
        <x:v>Company information</x:v>
      </x:c>
      <x:c r="H180" s="6" t="str">
        <x:v>Company portfolio and status context. Its potential economic exposure to this trend is an analyst classification, not a forecast of investment returns.</x:v>
      </x:c>
      <x:c r="I180" s="6" t="str">
        <x:v>https://ir.spacex.com/faqs-and-contact/</x:v>
      </x:c>
    </x:row>
    <x:row r="181" ht="15" hidden="0" customHeight="1">
      <x:c r="A181" s="12" t="n">
        <x:v>12</x:v>
      </x:c>
      <x:c r="B181" s="6" t="str">
        <x:v>Direct-to-device satellite connectivity</x:v>
      </x:c>
      <x:c r="C181" s="6" t="str">
        <x:v>a12_c2</x:v>
      </x:c>
      <x:c r="D181" s="6" t="str">
        <x:v>AST SpaceMobile: product portfolio, company or investor information</x:v>
      </x:c>
      <x:c r="E181" s="6" t="str">
        <x:v>AST SpaceMobile</x:v>
      </x:c>
      <x:c r="F181" s="6" t="str"/>
      <x:c r="G181" s="6" t="str">
        <x:v>Company information</x:v>
      </x:c>
      <x:c r="H181" s="6" t="str">
        <x:v>Company portfolio and status context. Its potential economic exposure to this trend is an analyst classification, not a forecast of investment returns.</x:v>
      </x:c>
      <x:c r="I181" s="6" t="str">
        <x:v>https://ast-science.com/next-gen-bluebird/</x:v>
      </x:c>
    </x:row>
    <x:row r="182" ht="15" hidden="0" customHeight="1">
      <x:c r="A182" s="12" t="n">
        <x:v>12</x:v>
      </x:c>
      <x:c r="B182" s="6" t="str">
        <x:v>Direct-to-device satellite connectivity</x:v>
      </x:c>
      <x:c r="C182" s="6" t="str">
        <x:v>a12_c3</x:v>
      </x:c>
      <x:c r="D182" s="6" t="str">
        <x:v>Globalstar: product portfolio, company or investor information</x:v>
      </x:c>
      <x:c r="E182" s="6" t="str">
        <x:v>Globalstar</x:v>
      </x:c>
      <x:c r="F182" s="6" t="str"/>
      <x:c r="G182" s="6" t="str">
        <x:v>Company information</x:v>
      </x:c>
      <x:c r="H182" s="6" t="str">
        <x:v>Company portfolio and status context. Its potential economic exposure to this trend is an analyst classification, not a forecast of investment returns.</x:v>
      </x:c>
      <x:c r="I182" s="6" t="str">
        <x:v>https://www.globalstar.com/</x:v>
      </x:c>
    </x:row>
    <x:row r="183" ht="15" hidden="0" customHeight="1">
      <x:c r="A183" s="12" t="n">
        <x:v>12</x:v>
      </x:c>
      <x:c r="B183" s="6" t="str">
        <x:v>Direct-to-device satellite connectivity</x:v>
      </x:c>
      <x:c r="C183" s="6" t="str">
        <x:v>a12_c4</x:v>
      </x:c>
      <x:c r="D183" s="6" t="str">
        <x:v>Iridium: product portfolio, company or investor information</x:v>
      </x:c>
      <x:c r="E183" s="6" t="str">
        <x:v>Iridium</x:v>
      </x:c>
      <x:c r="F183" s="6" t="str"/>
      <x:c r="G183" s="6" t="str">
        <x:v>Company information</x:v>
      </x:c>
      <x:c r="H183" s="6" t="str">
        <x:v>Company portfolio and status context. Its potential economic exposure to this trend is an analyst classification, not a forecast of investment returns.</x:v>
      </x:c>
      <x:c r="I183" s="6" t="str">
        <x:v>https://www.iridium.com/</x:v>
      </x:c>
    </x:row>
    <x:row r="184" ht="15" hidden="0" customHeight="1">
      <x:c r="A184" s="12" t="n">
        <x:v>12</x:v>
      </x:c>
      <x:c r="B184" s="6" t="str">
        <x:v>Direct-to-device satellite connectivity</x:v>
      </x:c>
      <x:c r="C184" s="6" t="str">
        <x:v>a12_c5</x:v>
      </x:c>
      <x:c r="D184" s="6" t="str">
        <x:v>Apple: product portfolio, company or investor information</x:v>
      </x:c>
      <x:c r="E184" s="6" t="str">
        <x:v>Apple</x:v>
      </x:c>
      <x:c r="F184" s="6" t="str"/>
      <x:c r="G184" s="6" t="str">
        <x:v>Company information</x:v>
      </x:c>
      <x:c r="H184" s="6" t="str">
        <x:v>Company portfolio and status context. Its potential economic exposure to this trend is an analyst classification, not a forecast of investment returns.</x:v>
      </x:c>
      <x:c r="I184" s="6" t="str">
        <x:v>https://investor.apple.com/</x:v>
      </x:c>
    </x:row>
    <x:row r="185" ht="15" hidden="0" customHeight="1">
      <x:c r="A185" s="12" t="n">
        <x:v>12</x:v>
      </x:c>
      <x:c r="B185" s="6" t="str">
        <x:v>Direct-to-device satellite connectivity</x:v>
      </x:c>
      <x:c r="C185" s="6" t="str">
        <x:v>a12_c6</x:v>
      </x:c>
      <x:c r="D185" s="6" t="str">
        <x:v>T-Mobile US: product portfolio, company or investor information</x:v>
      </x:c>
      <x:c r="E185" s="6" t="str">
        <x:v>T-Mobile US</x:v>
      </x:c>
      <x:c r="F185" s="6" t="str"/>
      <x:c r="G185" s="6" t="str">
        <x:v>Company information</x:v>
      </x:c>
      <x:c r="H185" s="6" t="str">
        <x:v>Company portfolio and status context. Its potential economic exposure to this trend is an analyst classification, not a forecast of investment returns.</x:v>
      </x:c>
      <x:c r="I185" s="6" t="str">
        <x:v>https://www.t-mobile.com/coverage/satellite-phone-service</x:v>
      </x:c>
    </x:row>
    <x:row r="186" ht="15" hidden="0" customHeight="1">
      <x:c r="A186" s="12" t="n">
        <x:v>12</x:v>
      </x:c>
      <x:c r="B186" s="6" t="str">
        <x:v>Direct-to-device satellite connectivity</x:v>
      </x:c>
      <x:c r="C186" s="6" t="str">
        <x:v>a12_c7</x:v>
      </x:c>
      <x:c r="D186" s="6" t="str">
        <x:v>AT&amp;T: product portfolio, company or investor information</x:v>
      </x:c>
      <x:c r="E186" s="6" t="str">
        <x:v>AT&amp;T</x:v>
      </x:c>
      <x:c r="F186" s="6" t="str"/>
      <x:c r="G186" s="6" t="str">
        <x:v>Company information</x:v>
      </x:c>
      <x:c r="H186" s="6" t="str">
        <x:v>Company portfolio and status context. Its potential economic exposure to this trend is an analyst classification, not a forecast of investment returns.</x:v>
      </x:c>
      <x:c r="I186" s="6" t="str">
        <x:v>https://www.att.com/</x:v>
      </x:c>
    </x:row>
    <x:row r="187" ht="15" hidden="0" customHeight="1">
      <x:c r="A187" s="12" t="n">
        <x:v>12</x:v>
      </x:c>
      <x:c r="B187" s="6" t="str">
        <x:v>Direct-to-device satellite connectivity</x:v>
      </x:c>
      <x:c r="C187" s="6" t="str">
        <x:v>a12_c8</x:v>
      </x:c>
      <x:c r="D187" s="6" t="str">
        <x:v>Vodafone: product portfolio, company or investor information</x:v>
      </x:c>
      <x:c r="E187" s="6" t="str">
        <x:v>Vodafone</x:v>
      </x:c>
      <x:c r="F187" s="6" t="str"/>
      <x:c r="G187" s="6" t="str">
        <x:v>Company information</x:v>
      </x:c>
      <x:c r="H187" s="6" t="str">
        <x:v>Company portfolio and status context. Its potential economic exposure to this trend is an analyst classification, not a forecast of investment returns.</x:v>
      </x:c>
      <x:c r="I187" s="6" t="str">
        <x:v>https://www.vodafone.com/</x:v>
      </x:c>
    </x:row>
    <x:row r="188" ht="15" hidden="0" customHeight="1">
      <x:c r="A188" s="12" t="n">
        <x:v>12</x:v>
      </x:c>
      <x:c r="B188" s="6" t="str">
        <x:v>Direct-to-device satellite connectivity</x:v>
      </x:c>
      <x:c r="C188" s="6" t="str">
        <x:v>a12_c9</x:v>
      </x:c>
      <x:c r="D188" s="6" t="str">
        <x:v>Qualcomm: product portfolio, company or investor information</x:v>
      </x:c>
      <x:c r="E188" s="6" t="str">
        <x:v>Qualcomm</x:v>
      </x:c>
      <x:c r="F188" s="6" t="str"/>
      <x:c r="G188" s="6" t="str">
        <x:v>Company information</x:v>
      </x:c>
      <x:c r="H188" s="6" t="str">
        <x:v>Company portfolio and status context. Its potential economic exposure to this trend is an analyst classification, not a forecast of investment returns.</x:v>
      </x:c>
      <x:c r="I188" s="6" t="str">
        <x:v>https://investor.qualcomm.com/</x:v>
      </x:c>
    </x:row>
    <x:row r="189" ht="15" hidden="0" customHeight="1">
      <x:c r="A189" s="12" t="n">
        <x:v>12</x:v>
      </x:c>
      <x:c r="B189" s="6" t="str">
        <x:v>Direct-to-device satellite connectivity</x:v>
      </x:c>
      <x:c r="C189" s="6" t="str">
        <x:v>a12_c10</x:v>
      </x:c>
      <x:c r="D189" s="6" t="str">
        <x:v>Skylo: product portfolio, company or investor information</x:v>
      </x:c>
      <x:c r="E189" s="6" t="str">
        <x:v>Skylo</x:v>
      </x:c>
      <x:c r="F189" s="6" t="str"/>
      <x:c r="G189" s="6" t="str">
        <x:v>Company information</x:v>
      </x:c>
      <x:c r="H189" s="6" t="str">
        <x:v>Company portfolio and status context. Its potential economic exposure to this trend is an analyst classification, not a forecast of investment returns.</x:v>
      </x:c>
      <x:c r="I189" s="6" t="str">
        <x:v>https://www.skylo.tech/</x:v>
      </x:c>
    </x:row>
    <x:row r="190" ht="15" hidden="0" customHeight="1">
      <x:c r="A190" s="12" t="n">
        <x:v>12</x:v>
      </x:c>
      <x:c r="B190" s="6" t="str">
        <x:v>Direct-to-device satellite connectivity</x:v>
      </x:c>
      <x:c r="C190" s="6" t="str">
        <x:v>a12_c11</x:v>
      </x:c>
      <x:c r="D190" s="6" t="str">
        <x:v>Sateliot: product portfolio, company or investor information</x:v>
      </x:c>
      <x:c r="E190" s="6" t="str">
        <x:v>Sateliot</x:v>
      </x:c>
      <x:c r="F190" s="6" t="str"/>
      <x:c r="G190" s="6" t="str">
        <x:v>Company information</x:v>
      </x:c>
      <x:c r="H190" s="6" t="str">
        <x:v>Company portfolio and status context. Its potential economic exposure to this trend is an analyst classification, not a forecast of investment returns.</x:v>
      </x:c>
      <x:c r="I190" s="6" t="str">
        <x:v>https://sateliot.space/</x:v>
      </x:c>
    </x:row>
    <x:row r="191" ht="15" hidden="0" customHeight="1">
      <x:c r="A191" s="12" t="n">
        <x:v>13</x:v>
      </x:c>
      <x:c r="B191" s="6" t="str">
        <x:v>Industrial IoT and predictive maintenance</x:v>
      </x:c>
      <x:c r="C191" s="6" t="str">
        <x:v>a13_s1</x:v>
      </x:c>
      <x:c r="D191" s="6" t="str">
        <x:v>Number of connected IoT devices and forecast</x:v>
      </x:c>
      <x:c r="E191" s="6" t="str">
        <x:v>IoT Analytics</x:v>
      </x:c>
      <x:c r="F191" s="6" t="str">
        <x:v>2025-10</x:v>
      </x:c>
      <x:c r="G191" s="6" t="str">
        <x:v>Industry research</x:v>
      </x:c>
      <x:c r="H191" s="6" t="str">
        <x:v>Revised 2024 estimate of 18.5 billion; forecasts of 39 billion in 2030 and over 50 billion in 2035.</x:v>
      </x:c>
      <x:c r="I191" s="6" t="str">
        <x:v>https://iot-analytics.com/number-connected-iot-devices/</x:v>
      </x:c>
    </x:row>
    <x:row r="192" ht="15" hidden="0" customHeight="1">
      <x:c r="A192" s="12" t="n">
        <x:v>13</x:v>
      </x:c>
      <x:c r="B192" s="6" t="str">
        <x:v>Industrial IoT and predictive maintenance</x:v>
      </x:c>
      <x:c r="C192" s="6" t="str">
        <x:v>a13_s2</x:v>
      </x:c>
      <x:c r="D192" s="6" t="str">
        <x:v>State of enterprise IoT: from IoT to autonomous connected operations</x:v>
      </x:c>
      <x:c r="E192" s="6" t="str">
        <x:v>IoT Analytics</x:v>
      </x:c>
      <x:c r="F192" s="6" t="str">
        <x:v>2026-02-04</x:v>
      </x:c>
      <x:c r="G192" s="6" t="str">
        <x:v>Industry research</x:v>
      </x:c>
      <x:c r="H192" s="6" t="str">
        <x:v>21.1 billion devices at end 2025; enterprise operational shift.</x:v>
      </x:c>
      <x:c r="I192" s="6" t="str">
        <x:v>https://iot-analytics.com/state-of-enterprise-iot-from-iot-autonomous-connected-operations/</x:v>
      </x:c>
    </x:row>
    <x:row r="193" ht="15" hidden="0" customHeight="1">
      <x:c r="A193" s="12" t="n">
        <x:v>13</x:v>
      </x:c>
      <x:c r="B193" s="6" t="str">
        <x:v>Industrial IoT and predictive maintenance</x:v>
      </x:c>
      <x:c r="C193" s="6" t="str">
        <x:v>a13_s3</x:v>
      </x:c>
      <x:c r="D193" s="6" t="str">
        <x:v>PTC completes divestiture of Kepware and ThingWorx businesses</x:v>
      </x:c>
      <x:c r="E193" s="6" t="str">
        <x:v>PTC</x:v>
      </x:c>
      <x:c r="F193" s="6" t="str">
        <x:v>2026-03-16</x:v>
      </x:c>
      <x:c r="G193" s="6" t="str">
        <x:v>Company announcement</x:v>
      </x:c>
      <x:c r="H193" s="6" t="str">
        <x:v>ThingWorx and Kepware no longer owned by PTC.</x:v>
      </x:c>
      <x:c r="I193" s="6" t="str">
        <x:v>https://www.ptc.com/en/news/2026/ptc-completes-divestiture-of-kepware-and-thingworx-businesses</x:v>
      </x:c>
    </x:row>
    <x:row r="194" ht="15" hidden="0" customHeight="1">
      <x:c r="A194" s="12" t="n">
        <x:v>13</x:v>
      </x:c>
      <x:c r="B194" s="6" t="str">
        <x:v>Industrial IoT and predictive maintenance</x:v>
      </x:c>
      <x:c r="C194" s="6" t="str">
        <x:v>a13_s4</x:v>
      </x:c>
      <x:c r="D194" s="6" t="str">
        <x:v>Augury industrial AI platform</x:v>
      </x:c>
      <x:c r="E194" s="6" t="str">
        <x:v>Augury</x:v>
      </x:c>
      <x:c r="F194" s="6" t="str"/>
      <x:c r="G194" s="6" t="str">
        <x:v>Company product documentation</x:v>
      </x:c>
      <x:c r="H194" s="6" t="str">
        <x:v>Machine-health and industrial analytics product exposure.</x:v>
      </x:c>
      <x:c r="I194" s="6" t="str">
        <x:v>https://www.augury.com/</x:v>
      </x:c>
    </x:row>
    <x:row r="195" ht="15" hidden="0" customHeight="1">
      <x:c r="A195" s="12" t="n">
        <x:v>13</x:v>
      </x:c>
      <x:c r="B195" s="6" t="str">
        <x:v>Industrial IoT and predictive maintenance</x:v>
      </x:c>
      <x:c r="C195" s="6" t="str">
        <x:v>a13_c1</x:v>
      </x:c>
      <x:c r="D195" s="6" t="str">
        <x:v>Siemens: product portfolio, company or investor information</x:v>
      </x:c>
      <x:c r="E195" s="6" t="str">
        <x:v>Siemens</x:v>
      </x:c>
      <x:c r="F195" s="6" t="str"/>
      <x:c r="G195" s="6" t="str">
        <x:v>Company information</x:v>
      </x:c>
      <x:c r="H195" s="6" t="str">
        <x:v>Company portfolio and status context. Its potential economic exposure to this trend is an analyst classification, not a forecast of investment returns.</x:v>
      </x:c>
      <x:c r="I195" s="6" t="str">
        <x:v>https://www.siemens.com/</x:v>
      </x:c>
    </x:row>
    <x:row r="196" ht="15" hidden="0" customHeight="1">
      <x:c r="A196" s="12" t="n">
        <x:v>13</x:v>
      </x:c>
      <x:c r="B196" s="6" t="str">
        <x:v>Industrial IoT and predictive maintenance</x:v>
      </x:c>
      <x:c r="C196" s="6" t="str">
        <x:v>a13_c2</x:v>
      </x:c>
      <x:c r="D196" s="6" t="str">
        <x:v>Schneider Electric: product portfolio, company or investor information</x:v>
      </x:c>
      <x:c r="E196" s="6" t="str">
        <x:v>Schneider Electric</x:v>
      </x:c>
      <x:c r="F196" s="6" t="str"/>
      <x:c r="G196" s="6" t="str">
        <x:v>Company information</x:v>
      </x:c>
      <x:c r="H196" s="6" t="str">
        <x:v>Company portfolio and status context. Its potential economic exposure to this trend is an analyst classification, not a forecast of investment returns.</x:v>
      </x:c>
      <x:c r="I196" s="6" t="str">
        <x:v>https://www.se.com/</x:v>
      </x:c>
    </x:row>
    <x:row r="197" ht="15" hidden="0" customHeight="1">
      <x:c r="A197" s="12" t="n">
        <x:v>13</x:v>
      </x:c>
      <x:c r="B197" s="6" t="str">
        <x:v>Industrial IoT and predictive maintenance</x:v>
      </x:c>
      <x:c r="C197" s="6" t="str">
        <x:v>a13_c3</x:v>
      </x:c>
      <x:c r="D197" s="6" t="str">
        <x:v>Rockwell Automation: product portfolio, company or investor information</x:v>
      </x:c>
      <x:c r="E197" s="6" t="str">
        <x:v>Rockwell Automation</x:v>
      </x:c>
      <x:c r="F197" s="6" t="str"/>
      <x:c r="G197" s="6" t="str">
        <x:v>Company information</x:v>
      </x:c>
      <x:c r="H197" s="6" t="str">
        <x:v>Company portfolio and status context. Its potential economic exposure to this trend is an analyst classification, not a forecast of investment returns.</x:v>
      </x:c>
      <x:c r="I197" s="6" t="str">
        <x:v>https://www.rockwellautomation.com/</x:v>
      </x:c>
    </x:row>
    <x:row r="198" ht="15" hidden="0" customHeight="1">
      <x:c r="A198" s="12" t="n">
        <x:v>13</x:v>
      </x:c>
      <x:c r="B198" s="6" t="str">
        <x:v>Industrial IoT and predictive maintenance</x:v>
      </x:c>
      <x:c r="C198" s="6" t="str">
        <x:v>a13_c4</x:v>
      </x:c>
      <x:c r="D198" s="6" t="str">
        <x:v>ABB: product portfolio, company or investor information</x:v>
      </x:c>
      <x:c r="E198" s="6" t="str">
        <x:v>ABB</x:v>
      </x:c>
      <x:c r="F198" s="6" t="str"/>
      <x:c r="G198" s="6" t="str">
        <x:v>Company information</x:v>
      </x:c>
      <x:c r="H198" s="6" t="str">
        <x:v>Company portfolio and status context. Its potential economic exposure to this trend is an analyst classification, not a forecast of investment returns.</x:v>
      </x:c>
      <x:c r="I198" s="6" t="str">
        <x:v>https://new.abb.com/news/detail/129685/abb-to-divest-robotics-division-to-softbank-group</x:v>
      </x:c>
    </x:row>
    <x:row r="199" ht="15" hidden="0" customHeight="1">
      <x:c r="A199" s="12" t="n">
        <x:v>13</x:v>
      </x:c>
      <x:c r="B199" s="6" t="str">
        <x:v>Industrial IoT and predictive maintenance</x:v>
      </x:c>
      <x:c r="C199" s="6" t="str">
        <x:v>a13_c5</x:v>
      </x:c>
      <x:c r="D199" s="6" t="str">
        <x:v>Honeywell: product portfolio, company or investor information</x:v>
      </x:c>
      <x:c r="E199" s="6" t="str">
        <x:v>Honeywell</x:v>
      </x:c>
      <x:c r="F199" s="6" t="str"/>
      <x:c r="G199" s="6" t="str">
        <x:v>Company information</x:v>
      </x:c>
      <x:c r="H199" s="6" t="str">
        <x:v>Company portfolio and status context. Its potential economic exposure to this trend is an analyst classification, not a forecast of investment returns.</x:v>
      </x:c>
      <x:c r="I199" s="6" t="str">
        <x:v>https://www.honeywell.com/</x:v>
      </x:c>
    </x:row>
    <x:row r="200" ht="15" hidden="0" customHeight="1">
      <x:c r="A200" s="12" t="n">
        <x:v>13</x:v>
      </x:c>
      <x:c r="B200" s="6" t="str">
        <x:v>Industrial IoT and predictive maintenance</x:v>
      </x:c>
      <x:c r="C200" s="6" t="str">
        <x:v>a13_c6</x:v>
      </x:c>
      <x:c r="D200" s="6" t="str">
        <x:v>Samsara: product portfolio, company or investor information</x:v>
      </x:c>
      <x:c r="E200" s="6" t="str">
        <x:v>Samsara</x:v>
      </x:c>
      <x:c r="F200" s="6" t="str"/>
      <x:c r="G200" s="6" t="str">
        <x:v>Company information</x:v>
      </x:c>
      <x:c r="H200" s="6" t="str">
        <x:v>Company portfolio and status context. Its potential economic exposure to this trend is an analyst classification, not a forecast of investment returns.</x:v>
      </x:c>
      <x:c r="I200" s="6" t="str">
        <x:v>https://www.samsara.com/</x:v>
      </x:c>
    </x:row>
    <x:row r="201" ht="15" hidden="0" customHeight="1">
      <x:c r="A201" s="12" t="n">
        <x:v>13</x:v>
      </x:c>
      <x:c r="B201" s="6" t="str">
        <x:v>Industrial IoT and predictive maintenance</x:v>
      </x:c>
      <x:c r="C201" s="6" t="str">
        <x:v>a13_c7</x:v>
      </x:c>
      <x:c r="D201" s="6" t="str">
        <x:v>Caterpillar: product portfolio, company or investor information</x:v>
      </x:c>
      <x:c r="E201" s="6" t="str">
        <x:v>Caterpillar</x:v>
      </x:c>
      <x:c r="F201" s="6" t="str"/>
      <x:c r="G201" s="6" t="str">
        <x:v>Company information</x:v>
      </x:c>
      <x:c r="H201" s="6" t="str">
        <x:v>Company portfolio and status context. Its potential economic exposure to this trend is an analyst classification, not a forecast of investment returns.</x:v>
      </x:c>
      <x:c r="I201" s="6" t="str">
        <x:v>https://www.caterpillar.com/</x:v>
      </x:c>
    </x:row>
    <x:row r="202" ht="15" hidden="0" customHeight="1">
      <x:c r="A202" s="12" t="n">
        <x:v>13</x:v>
      </x:c>
      <x:c r="B202" s="6" t="str">
        <x:v>Industrial IoT and predictive maintenance</x:v>
      </x:c>
      <x:c r="C202" s="6" t="str">
        <x:v>a13_c8</x:v>
      </x:c>
      <x:c r="D202" s="6" t="str">
        <x:v>Advantech: product portfolio, company or investor information</x:v>
      </x:c>
      <x:c r="E202" s="6" t="str">
        <x:v>Advantech</x:v>
      </x:c>
      <x:c r="F202" s="6" t="str"/>
      <x:c r="G202" s="6" t="str">
        <x:v>Company information</x:v>
      </x:c>
      <x:c r="H202" s="6" t="str">
        <x:v>Company portfolio and status context. Its potential economic exposure to this trend is an analyst classification, not a forecast of investment returns.</x:v>
      </x:c>
      <x:c r="I202" s="6" t="str">
        <x:v>https://www.advantech.com/</x:v>
      </x:c>
    </x:row>
    <x:row r="203" ht="15" hidden="0" customHeight="1">
      <x:c r="A203" s="12" t="n">
        <x:v>13</x:v>
      </x:c>
      <x:c r="B203" s="6" t="str">
        <x:v>Industrial IoT and predictive maintenance</x:v>
      </x:c>
      <x:c r="C203" s="6" t="str">
        <x:v>a13_c9</x:v>
      </x:c>
      <x:c r="D203" s="6" t="str">
        <x:v>Augury: product portfolio, company or investor information</x:v>
      </x:c>
      <x:c r="E203" s="6" t="str">
        <x:v>Augury</x:v>
      </x:c>
      <x:c r="F203" s="6" t="str"/>
      <x:c r="G203" s="6" t="str">
        <x:v>Company information</x:v>
      </x:c>
      <x:c r="H203" s="6" t="str">
        <x:v>Company portfolio and status context. Its potential economic exposure to this trend is an analyst classification, not a forecast of investment returns.</x:v>
      </x:c>
      <x:c r="I203" s="6" t="str">
        <x:v>https://www.augury.com/</x:v>
      </x:c>
    </x:row>
    <x:row r="204" ht="15" hidden="0" customHeight="1">
      <x:c r="A204" s="12" t="n">
        <x:v>13</x:v>
      </x:c>
      <x:c r="B204" s="6" t="str">
        <x:v>Industrial IoT and predictive maintenance</x:v>
      </x:c>
      <x:c r="C204" s="6" t="str">
        <x:v>a13_c10</x:v>
      </x:c>
      <x:c r="D204" s="6" t="str">
        <x:v>Seeq: product portfolio, company or investor information</x:v>
      </x:c>
      <x:c r="E204" s="6" t="str">
        <x:v>Seeq</x:v>
      </x:c>
      <x:c r="F204" s="6" t="str"/>
      <x:c r="G204" s="6" t="str">
        <x:v>Company information</x:v>
      </x:c>
      <x:c r="H204" s="6" t="str">
        <x:v>Company portfolio and status context. Its potential economic exposure to this trend is an analyst classification, not a forecast of investment returns.</x:v>
      </x:c>
      <x:c r="I204" s="6" t="str">
        <x:v>https://www.seeq.com/</x:v>
      </x:c>
    </x:row>
    <x:row r="205" ht="15" hidden="0" customHeight="1">
      <x:c r="A205" s="12" t="n">
        <x:v>13</x:v>
      </x:c>
      <x:c r="B205" s="6" t="str">
        <x:v>Industrial IoT and predictive maintenance</x:v>
      </x:c>
      <x:c r="C205" s="6" t="str">
        <x:v>a13_c11</x:v>
      </x:c>
      <x:c r="D205" s="6" t="str">
        <x:v>TwinThread: product portfolio, company or investor information</x:v>
      </x:c>
      <x:c r="E205" s="6" t="str">
        <x:v>TwinThread</x:v>
      </x:c>
      <x:c r="F205" s="6" t="str"/>
      <x:c r="G205" s="6" t="str">
        <x:v>Company information</x:v>
      </x:c>
      <x:c r="H205" s="6" t="str">
        <x:v>Company portfolio and status context. Its potential economic exposure to this trend is an analyst classification, not a forecast of investment returns.</x:v>
      </x:c>
      <x:c r="I205" s="6" t="str">
        <x:v>https://www.twinthread.com/</x:v>
      </x:c>
    </x:row>
    <x:row r="206" ht="15" hidden="0" customHeight="1">
      <x:c r="A206" s="12" t="n">
        <x:v>14</x:v>
      </x:c>
      <x:c r="B206" s="6" t="str">
        <x:v>Industrial digital twins</x:v>
      </x:c>
      <x:c r="C206" s="6" t="str">
        <x:v>a14_s1</x:v>
      </x:c>
      <x:c r="D206" s="6" t="str">
        <x:v>Lighthouses and sustainable manufacturing</x:v>
      </x:c>
      <x:c r="E206" s="6" t="str">
        <x:v>World Economic Forum</x:v>
      </x:c>
      <x:c r="F206" s="6" t="str">
        <x:v>2021-10</x:v>
      </x:c>
      <x:c r="G206" s="6" t="str">
        <x:v>Industry initiative</x:v>
      </x:c>
      <x:c r="H206" s="6" t="str">
        <x:v>Network reached 90 sites in September 2021.</x:v>
      </x:c>
      <x:c r="I206" s="6" t="str">
        <x:v>https://www.weforum.org/stories/2021/10/lighthouses-sustainability-manufacturing-4ir-technologies/</x:v>
      </x:c>
    </x:row>
    <x:row r="207" ht="15" hidden="0" customHeight="1">
      <x:c r="A207" s="12" t="n">
        <x:v>14</x:v>
      </x:c>
      <x:c r="B207" s="6" t="str">
        <x:v>Industrial digital twins</x:v>
      </x:c>
      <x:c r="C207" s="6" t="str">
        <x:v>a14_s2</x:v>
      </x:c>
      <x:c r="D207" s="6" t="str">
        <x:v>Annual report 2022–2023: our centres</x:v>
      </x:c>
      <x:c r="E207" s="6" t="str">
        <x:v>World Economic Forum</x:v>
      </x:c>
      <x:c r="F207" s="6" t="str">
        <x:v>2023</x:v>
      </x:c>
      <x:c r="G207" s="6" t="str">
        <x:v>Annual report</x:v>
      </x:c>
      <x:c r="H207" s="6" t="str">
        <x:v>132 recognized lighthouses.</x:v>
      </x:c>
      <x:c r="I207" s="6" t="str">
        <x:v>https://www.weforum.org/publications/annual-report-2022-2023/in-full/our-centres/</x:v>
      </x:c>
    </x:row>
    <x:row r="208" ht="15" hidden="0" customHeight="1">
      <x:c r="A208" s="12" t="n">
        <x:v>14</x:v>
      </x:c>
      <x:c r="B208" s="6" t="str">
        <x:v>Industrial digital twins</x:v>
      </x:c>
      <x:c r="C208" s="6" t="str">
        <x:v>a14_s3</x:v>
      </x:c>
      <x:c r="D208" s="6" t="str">
        <x:v>Global Lighthouse Network 2025 announcement</x:v>
      </x:c>
      <x:c r="E208" s="6" t="str">
        <x:v>World Economic Forum</x:v>
      </x:c>
      <x:c r="F208" s="6" t="str">
        <x:v>2025-01-14</x:v>
      </x:c>
      <x:c r="G208" s="6" t="str">
        <x:v>Industry initiative</x:v>
      </x:c>
      <x:c r="H208" s="6" t="str">
        <x:v>189 recognized sites.</x:v>
      </x:c>
      <x:c r="I208" s="6" t="str">
        <x:v>https://www.weforum.org/media/global-lighthouse-network-2025-world-economic-forum-recognizes-companies-transforming-manufacturing-through-innovation/</x:v>
      </x:c>
    </x:row>
    <x:row r="209" ht="15" hidden="0" customHeight="1">
      <x:c r="A209" s="12" t="n">
        <x:v>14</x:v>
      </x:c>
      <x:c r="B209" s="6" t="str">
        <x:v>Industrial digital twins</x:v>
      </x:c>
      <x:c r="C209" s="6" t="str">
        <x:v>a14_s4</x:v>
      </x:c>
      <x:c r="D209" s="6" t="str">
        <x:v>Global Lighthouse Network: rewiring operations for resilience and impact at scale</x:v>
      </x:c>
      <x:c r="E209" s="6" t="str">
        <x:v>World Economic Forum</x:v>
      </x:c>
      <x:c r="F209" s="6" t="str">
        <x:v>2026-01-15</x:v>
      </x:c>
      <x:c r="G209" s="6" t="str">
        <x:v>Industry initiative</x:v>
      </x:c>
      <x:c r="H209" s="6" t="str">
        <x:v>223 recognized sites.</x:v>
      </x:c>
      <x:c r="I209" s="6" t="str">
        <x:v>https://www.weforum.org/publications/global-lighthouse-network-rewiring-operations-for-resilience-and-impact-at-scale/</x:v>
      </x:c>
    </x:row>
    <x:row r="210" ht="15" hidden="0" customHeight="1">
      <x:c r="A210" s="12" t="n">
        <x:v>14</x:v>
      </x:c>
      <x:c r="B210" s="6" t="str">
        <x:v>Industrial digital twins</x:v>
      </x:c>
      <x:c r="C210" s="6" t="str">
        <x:v>a14_s5</x:v>
      </x:c>
      <x:c r="D210" s="6" t="str">
        <x:v>Siemens and NVIDIA to enable the industrial metaverse</x:v>
      </x:c>
      <x:c r="E210" s="6" t="str">
        <x:v>NVIDIA / Siemens</x:v>
      </x:c>
      <x:c r="F210" s="6" t="str">
        <x:v>2022-06-29</x:v>
      </x:c>
      <x:c r="G210" s="6" t="str">
        <x:v>Company announcement</x:v>
      </x:c>
      <x:c r="H210" s="6" t="str">
        <x:v>Partnership connecting industrial software and simulation.</x:v>
      </x:c>
      <x:c r="I210" s="6" t="str">
        <x:v>https://nvidianews.nvidia.com/news/siemens-and-nvidia-to-enable-industrial-metaverse</x:v>
      </x:c>
    </x:row>
    <x:row r="211" ht="15" hidden="0" customHeight="1">
      <x:c r="A211" s="12" t="n">
        <x:v>14</x:v>
      </x:c>
      <x:c r="B211" s="6" t="str">
        <x:v>Industrial digital twins</x:v>
      </x:c>
      <x:c r="C211" s="6" t="str">
        <x:v>a14_s6</x:v>
      </x:c>
      <x:c r="D211" s="6" t="str">
        <x:v>Schneider Electric to acquire PTC</x:v>
      </x:c>
      <x:c r="E211" s="6" t="str">
        <x:v>PTC / Schneider Electric</x:v>
      </x:c>
      <x:c r="F211" s="6" t="str">
        <x:v>2026-10-05</x:v>
      </x:c>
      <x:c r="G211" s="6" t="str">
        <x:v>Company announcement</x:v>
      </x:c>
      <x:c r="H211" s="6" t="str">
        <x:v>PTC transaction pending Q3 2027; proposed Cognite acquisition referenced.</x:v>
      </x:c>
      <x:c r="I211" s="6" t="str">
        <x:v>https://www.ptc.com/en/news/2026/schneider-electric-to-acquire-ptc</x:v>
      </x:c>
    </x:row>
    <x:row r="212" ht="15" hidden="0" customHeight="1">
      <x:c r="A212" s="12" t="n">
        <x:v>14</x:v>
      </x:c>
      <x:c r="B212" s="6" t="str">
        <x:v>Industrial digital twins</x:v>
      </x:c>
      <x:c r="C212" s="6" t="str">
        <x:v>a14_c1</x:v>
      </x:c>
      <x:c r="D212" s="6" t="str">
        <x:v>Siemens: product portfolio, company or investor information</x:v>
      </x:c>
      <x:c r="E212" s="6" t="str">
        <x:v>Siemens</x:v>
      </x:c>
      <x:c r="F212" s="6" t="str"/>
      <x:c r="G212" s="6" t="str">
        <x:v>Company information</x:v>
      </x:c>
      <x:c r="H212" s="6" t="str">
        <x:v>Company portfolio and status context. Its potential economic exposure to this trend is an analyst classification, not a forecast of investment returns.</x:v>
      </x:c>
      <x:c r="I212" s="6" t="str">
        <x:v>https://www.siemens.com/</x:v>
      </x:c>
    </x:row>
    <x:row r="213" ht="15" hidden="0" customHeight="1">
      <x:c r="A213" s="12" t="n">
        <x:v>14</x:v>
      </x:c>
      <x:c r="B213" s="6" t="str">
        <x:v>Industrial digital twins</x:v>
      </x:c>
      <x:c r="C213" s="6" t="str">
        <x:v>a14_c2</x:v>
      </x:c>
      <x:c r="D213" s="6" t="str">
        <x:v>Dassault Systèmes: product portfolio, company or investor information</x:v>
      </x:c>
      <x:c r="E213" s="6" t="str">
        <x:v>Dassault Systèmes</x:v>
      </x:c>
      <x:c r="F213" s="6" t="str"/>
      <x:c r="G213" s="6" t="str">
        <x:v>Company information</x:v>
      </x:c>
      <x:c r="H213" s="6" t="str">
        <x:v>Company portfolio and status context. Its potential economic exposure to this trend is an analyst classification, not a forecast of investment returns.</x:v>
      </x:c>
      <x:c r="I213" s="6" t="str">
        <x:v>https://www.3ds.com/</x:v>
      </x:c>
    </x:row>
    <x:row r="214" ht="15" hidden="0" customHeight="1">
      <x:c r="A214" s="12" t="n">
        <x:v>14</x:v>
      </x:c>
      <x:c r="B214" s="6" t="str">
        <x:v>Industrial digital twins</x:v>
      </x:c>
      <x:c r="C214" s="6" t="str">
        <x:v>a14_c3</x:v>
      </x:c>
      <x:c r="D214" s="6" t="str">
        <x:v>Schneider Electric: product portfolio, company or investor information</x:v>
      </x:c>
      <x:c r="E214" s="6" t="str">
        <x:v>Schneider Electric</x:v>
      </x:c>
      <x:c r="F214" s="6" t="str"/>
      <x:c r="G214" s="6" t="str">
        <x:v>Company information</x:v>
      </x:c>
      <x:c r="H214" s="6" t="str">
        <x:v>Company portfolio and status context. Its potential economic exposure to this trend is an analyst classification, not a forecast of investment returns.</x:v>
      </x:c>
      <x:c r="I214" s="6" t="str">
        <x:v>https://www.se.com/</x:v>
      </x:c>
    </x:row>
    <x:row r="215" ht="15" hidden="0" customHeight="1">
      <x:c r="A215" s="12" t="n">
        <x:v>14</x:v>
      </x:c>
      <x:c r="B215" s="6" t="str">
        <x:v>Industrial digital twins</x:v>
      </x:c>
      <x:c r="C215" s="6" t="str">
        <x:v>a14_c4</x:v>
      </x:c>
      <x:c r="D215" s="6" t="str">
        <x:v>Bentley Systems: product portfolio, company or investor information</x:v>
      </x:c>
      <x:c r="E215" s="6" t="str">
        <x:v>Bentley Systems</x:v>
      </x:c>
      <x:c r="F215" s="6" t="str"/>
      <x:c r="G215" s="6" t="str">
        <x:v>Company information</x:v>
      </x:c>
      <x:c r="H215" s="6" t="str">
        <x:v>Company portfolio and status context. Its potential economic exposure to this trend is an analyst classification, not a forecast of investment returns.</x:v>
      </x:c>
      <x:c r="I215" s="6" t="str">
        <x:v>https://investors.bentley.com/</x:v>
      </x:c>
    </x:row>
    <x:row r="216" ht="15" hidden="0" customHeight="1">
      <x:c r="A216" s="12" t="n">
        <x:v>14</x:v>
      </x:c>
      <x:c r="B216" s="6" t="str">
        <x:v>Industrial digital twins</x:v>
      </x:c>
      <x:c r="C216" s="6" t="str">
        <x:v>a14_c5</x:v>
      </x:c>
      <x:c r="D216" s="6" t="str">
        <x:v>Autodesk: product portfolio, company or investor information</x:v>
      </x:c>
      <x:c r="E216" s="6" t="str">
        <x:v>Autodesk</x:v>
      </x:c>
      <x:c r="F216" s="6" t="str"/>
      <x:c r="G216" s="6" t="str">
        <x:v>Company information</x:v>
      </x:c>
      <x:c r="H216" s="6" t="str">
        <x:v>Company portfolio and status context. Its potential economic exposure to this trend is an analyst classification, not a forecast of investment returns.</x:v>
      </x:c>
      <x:c r="I216" s="6" t="str">
        <x:v>https://www.autodesk.com/</x:v>
      </x:c>
    </x:row>
    <x:row r="217" ht="15" hidden="0" customHeight="1">
      <x:c r="A217" s="12" t="n">
        <x:v>14</x:v>
      </x:c>
      <x:c r="B217" s="6" t="str">
        <x:v>Industrial digital twins</x:v>
      </x:c>
      <x:c r="C217" s="6" t="str">
        <x:v>a14_c6</x:v>
      </x:c>
      <x:c r="D217" s="6" t="str">
        <x:v>Hexagon: product portfolio, company or investor information</x:v>
      </x:c>
      <x:c r="E217" s="6" t="str">
        <x:v>Hexagon</x:v>
      </x:c>
      <x:c r="F217" s="6" t="str"/>
      <x:c r="G217" s="6" t="str">
        <x:v>Company information</x:v>
      </x:c>
      <x:c r="H217" s="6" t="str">
        <x:v>Company portfolio and status context. Its potential economic exposure to this trend is an analyst classification, not a forecast of investment returns.</x:v>
      </x:c>
      <x:c r="I217" s="6" t="str">
        <x:v>https://hexagon.com/</x:v>
      </x:c>
    </x:row>
    <x:row r="218" ht="15" hidden="0" customHeight="1">
      <x:c r="A218" s="12" t="n">
        <x:v>14</x:v>
      </x:c>
      <x:c r="B218" s="6" t="str">
        <x:v>Industrial digital twins</x:v>
      </x:c>
      <x:c r="C218" s="6" t="str">
        <x:v>a14_c7</x:v>
      </x:c>
      <x:c r="D218" s="6" t="str">
        <x:v>NVIDIA: product portfolio, company or investor information</x:v>
      </x:c>
      <x:c r="E218" s="6" t="str">
        <x:v>NVIDIA</x:v>
      </x:c>
      <x:c r="F218" s="6" t="str"/>
      <x:c r="G218" s="6" t="str">
        <x:v>Company information</x:v>
      </x:c>
      <x:c r="H218" s="6" t="str">
        <x:v>Company portfolio and status context. Its potential economic exposure to this trend is an analyst classification, not a forecast of investment returns.</x:v>
      </x:c>
      <x:c r="I218" s="6" t="str">
        <x:v>https://investor.nvidia.com/</x:v>
      </x:c>
    </x:row>
    <x:row r="219" ht="15" hidden="0" customHeight="1">
      <x:c r="A219" s="12" t="n">
        <x:v>14</x:v>
      </x:c>
      <x:c r="B219" s="6" t="str">
        <x:v>Industrial digital twins</x:v>
      </x:c>
      <x:c r="C219" s="6" t="str">
        <x:v>a14_c8</x:v>
      </x:c>
      <x:c r="D219" s="6" t="str">
        <x:v>Synopsys: product portfolio, company or investor information</x:v>
      </x:c>
      <x:c r="E219" s="6" t="str">
        <x:v>Synopsys</x:v>
      </x:c>
      <x:c r="F219" s="6" t="str"/>
      <x:c r="G219" s="6" t="str">
        <x:v>Company information</x:v>
      </x:c>
      <x:c r="H219" s="6" t="str">
        <x:v>Company portfolio and status context. Its potential economic exposure to this trend is an analyst classification, not a forecast of investment returns.</x:v>
      </x:c>
      <x:c r="I219" s="6" t="str">
        <x:v>https://investor.synopsys.com/</x:v>
      </x:c>
    </x:row>
    <x:row r="220" ht="15" hidden="0" customHeight="1">
      <x:c r="A220" s="12" t="n">
        <x:v>14</x:v>
      </x:c>
      <x:c r="B220" s="6" t="str">
        <x:v>Industrial digital twins</x:v>
      </x:c>
      <x:c r="C220" s="6" t="str">
        <x:v>a14_c9</x:v>
      </x:c>
      <x:c r="D220" s="6" t="str">
        <x:v>PTC: product portfolio, company or investor information</x:v>
      </x:c>
      <x:c r="E220" s="6" t="str">
        <x:v>PTC</x:v>
      </x:c>
      <x:c r="F220" s="6" t="str"/>
      <x:c r="G220" s="6" t="str">
        <x:v>Company information</x:v>
      </x:c>
      <x:c r="H220" s="6" t="str">
        <x:v>Company portfolio and status context. Its potential economic exposure to this trend is an analyst classification, not a forecast of investment returns.</x:v>
      </x:c>
      <x:c r="I220" s="6" t="str">
        <x:v>https://www.ptc.com/en/news/2026/schneider-electric-to-acquire-ptc</x:v>
      </x:c>
    </x:row>
    <x:row r="221" ht="15" hidden="0" customHeight="1">
      <x:c r="A221" s="12" t="n">
        <x:v>14</x:v>
      </x:c>
      <x:c r="B221" s="6" t="str">
        <x:v>Industrial digital twins</x:v>
      </x:c>
      <x:c r="C221" s="6" t="str">
        <x:v>a14_c10</x:v>
      </x:c>
      <x:c r="D221" s="6" t="str">
        <x:v>TwinThread: product portfolio, company or investor information</x:v>
      </x:c>
      <x:c r="E221" s="6" t="str">
        <x:v>TwinThread</x:v>
      </x:c>
      <x:c r="F221" s="6" t="str"/>
      <x:c r="G221" s="6" t="str">
        <x:v>Company information</x:v>
      </x:c>
      <x:c r="H221" s="6" t="str">
        <x:v>Company portfolio and status context. Its potential economic exposure to this trend is an analyst classification, not a forecast of investment returns.</x:v>
      </x:c>
      <x:c r="I221" s="6" t="str">
        <x:v>https://www.twinthread.com/</x:v>
      </x:c>
    </x:row>
    <x:row r="222" ht="15" hidden="0" customHeight="1">
      <x:c r="A222" s="12" t="n">
        <x:v>14</x:v>
      </x:c>
      <x:c r="B222" s="6" t="str">
        <x:v>Industrial digital twins</x:v>
      </x:c>
      <x:c r="C222" s="6" t="str">
        <x:v>a14_c11</x:v>
      </x:c>
      <x:c r="D222" s="6" t="str">
        <x:v>Cognite: product portfolio, company or investor information</x:v>
      </x:c>
      <x:c r="E222" s="6" t="str">
        <x:v>Cognite</x:v>
      </x:c>
      <x:c r="F222" s="6" t="str"/>
      <x:c r="G222" s="6" t="str">
        <x:v>Company information</x:v>
      </x:c>
      <x:c r="H222" s="6" t="str">
        <x:v>Company portfolio and status context. Its potential economic exposure to this trend is an analyst classification, not a forecast of investment returns.</x:v>
      </x:c>
      <x:c r="I222" s="6" t="str">
        <x:v>https://www.cognite.com/</x:v>
      </x:c>
    </x:row>
    <x:row r="223" ht="15" hidden="0" customHeight="1">
      <x:c r="A223" s="12" t="n">
        <x:v>15</x:v>
      </x:c>
      <x:c r="B223" s="6" t="str">
        <x:v>Enterprise spatial computing</x:v>
      </x:c>
      <x:c r="C223" s="6" t="str">
        <x:v>a15_s1</x:v>
      </x:c>
      <x:c r="D223" s="6" t="str">
        <x:v>Meta 2025 segment revenue disclosure</x:v>
      </x:c>
      <x:c r="E223" s="6" t="str">
        <x:v>Meta / SEC</x:v>
      </x:c>
      <x:c r="F223" s="6" t="str">
        <x:v>2026-01-29</x:v>
      </x:c>
      <x:c r="G223" s="6" t="str">
        <x:v>Company annual report</x:v>
      </x:c>
      <x:c r="H223" s="6" t="str">
        <x:v>Reality Labs revenue in 2023, 2024 and 2025.</x:v>
      </x:c>
      <x:c r="I223" s="6" t="str">
        <x:v>https://www.sec.gov/Archives/edgar/data/1326801/000162828026003942/R11.htm</x:v>
      </x:c>
    </x:row>
    <x:row r="224" ht="15" hidden="0" customHeight="1">
      <x:c r="A224" s="12" t="n">
        <x:v>15</x:v>
      </x:c>
      <x:c r="B224" s="6" t="str">
        <x:v>Enterprise spatial computing</x:v>
      </x:c>
      <x:c r="C224" s="6" t="str">
        <x:v>a15_s2</x:v>
      </x:c>
      <x:c r="D224" s="6" t="str">
        <x:v>Meta 2025 Form 10-K</x:v>
      </x:c>
      <x:c r="E224" s="6" t="str">
        <x:v>Meta / SEC</x:v>
      </x:c>
      <x:c r="F224" s="6" t="str">
        <x:v>2026-01-29</x:v>
      </x:c>
      <x:c r="G224" s="6" t="str">
        <x:v>Company annual report</x:v>
      </x:c>
      <x:c r="H224" s="6" t="str">
        <x:v>Reality Labs product definition and planned 2026 spending mix.</x:v>
      </x:c>
      <x:c r="I224" s="6" t="str">
        <x:v>https://www.sec.gov/Archives/edgar/data/1326801/000162828026003942/meta-20251231.htm</x:v>
      </x:c>
    </x:row>
    <x:row r="225" ht="15" hidden="0" customHeight="1">
      <x:c r="A225" s="12" t="n">
        <x:v>15</x:v>
      </x:c>
      <x:c r="B225" s="6" t="str">
        <x:v>Enterprise spatial computing</x:v>
      </x:c>
      <x:c r="C225" s="6" t="str">
        <x:v>a15_s3</x:v>
      </x:c>
      <x:c r="D225" s="6" t="str">
        <x:v>Apple Vision Pro available in the U.S. on February 2</x:v>
      </x:c>
      <x:c r="E225" s="6" t="str">
        <x:v>Apple</x:v>
      </x:c>
      <x:c r="F225" s="6" t="str">
        <x:v>2024-01-08</x:v>
      </x:c>
      <x:c r="G225" s="6" t="str">
        <x:v>Company announcement</x:v>
      </x:c>
      <x:c r="H225" s="6" t="str">
        <x:v>2024 commercial-launch milestone.</x:v>
      </x:c>
      <x:c r="I225" s="6" t="str">
        <x:v>https://www.apple.com/newsroom/2024/01/apple-vision-pro-available-in-the-us-on-february-2/</x:v>
      </x:c>
    </x:row>
    <x:row r="226" ht="15" hidden="0" customHeight="1">
      <x:c r="A226" s="12" t="n">
        <x:v>15</x:v>
      </x:c>
      <x:c r="B226" s="6" t="str">
        <x:v>Enterprise spatial computing</x:v>
      </x:c>
      <x:c r="C226" s="6" t="str">
        <x:v>a15_s4</x:v>
      </x:c>
      <x:c r="D226" s="6" t="str">
        <x:v>Varjo simulation training products</x:v>
      </x:c>
      <x:c r="E226" s="6" t="str">
        <x:v>Varjo</x:v>
      </x:c>
      <x:c r="F226" s="6" t="str"/>
      <x:c r="G226" s="6" t="str">
        <x:v>Company product documentation</x:v>
      </x:c>
      <x:c r="H226" s="6" t="str">
        <x:v>Current specialist enterprise VR/XR hardware and simulation focus.</x:v>
      </x:c>
      <x:c r="I226" s="6" t="str">
        <x:v>https://varjo.com/</x:v>
      </x:c>
    </x:row>
    <x:row r="227" ht="15" hidden="0" customHeight="1">
      <x:c r="A227" s="12" t="n">
        <x:v>15</x:v>
      </x:c>
      <x:c r="B227" s="6" t="str">
        <x:v>Enterprise spatial computing</x:v>
      </x:c>
      <x:c r="C227" s="6" t="str">
        <x:v>a15_c1</x:v>
      </x:c>
      <x:c r="D227" s="6" t="str">
        <x:v>Apple: product portfolio, company or investor information</x:v>
      </x:c>
      <x:c r="E227" s="6" t="str">
        <x:v>Apple</x:v>
      </x:c>
      <x:c r="F227" s="6" t="str"/>
      <x:c r="G227" s="6" t="str">
        <x:v>Company information</x:v>
      </x:c>
      <x:c r="H227" s="6" t="str">
        <x:v>Company portfolio and status context. Its potential economic exposure to this trend is an analyst classification, not a forecast of investment returns.</x:v>
      </x:c>
      <x:c r="I227" s="6" t="str">
        <x:v>https://investor.apple.com/</x:v>
      </x:c>
    </x:row>
    <x:row r="228" ht="15" hidden="0" customHeight="1">
      <x:c r="A228" s="12" t="n">
        <x:v>15</x:v>
      </x:c>
      <x:c r="B228" s="6" t="str">
        <x:v>Enterprise spatial computing</x:v>
      </x:c>
      <x:c r="C228" s="6" t="str">
        <x:v>a15_c2</x:v>
      </x:c>
      <x:c r="D228" s="6" t="str">
        <x:v>Meta Platforms: product portfolio, company or investor information</x:v>
      </x:c>
      <x:c r="E228" s="6" t="str">
        <x:v>Meta Platforms</x:v>
      </x:c>
      <x:c r="F228" s="6" t="str"/>
      <x:c r="G228" s="6" t="str">
        <x:v>Company information</x:v>
      </x:c>
      <x:c r="H228" s="6" t="str">
        <x:v>Company portfolio and status context. Its potential economic exposure to this trend is an analyst classification, not a forecast of investment returns.</x:v>
      </x:c>
      <x:c r="I228" s="6" t="str">
        <x:v>https://investor.atmeta.com/</x:v>
      </x:c>
    </x:row>
    <x:row r="229" ht="15" hidden="0" customHeight="1">
      <x:c r="A229" s="12" t="n">
        <x:v>15</x:v>
      </x:c>
      <x:c r="B229" s="6" t="str">
        <x:v>Enterprise spatial computing</x:v>
      </x:c>
      <x:c r="C229" s="6" t="str">
        <x:v>a15_c3</x:v>
      </x:c>
      <x:c r="D229" s="6" t="str">
        <x:v>Samsung Electronics: product portfolio, company or investor information</x:v>
      </x:c>
      <x:c r="E229" s="6" t="str">
        <x:v>Samsung Electronics</x:v>
      </x:c>
      <x:c r="F229" s="6" t="str"/>
      <x:c r="G229" s="6" t="str">
        <x:v>Company information</x:v>
      </x:c>
      <x:c r="H229" s="6" t="str">
        <x:v>Company portfolio and status context. Its potential economic exposure to this trend is an analyst classification, not a forecast of investment returns.</x:v>
      </x:c>
      <x:c r="I229" s="6" t="str">
        <x:v>https://www.samsung.com/global/ir/</x:v>
      </x:c>
    </x:row>
    <x:row r="230" ht="15" hidden="0" customHeight="1">
      <x:c r="A230" s="12" t="n">
        <x:v>15</x:v>
      </x:c>
      <x:c r="B230" s="6" t="str">
        <x:v>Enterprise spatial computing</x:v>
      </x:c>
      <x:c r="C230" s="6" t="str">
        <x:v>a15_c4</x:v>
      </x:c>
      <x:c r="D230" s="6" t="str">
        <x:v>HTC: product portfolio, company or investor information</x:v>
      </x:c>
      <x:c r="E230" s="6" t="str">
        <x:v>HTC</x:v>
      </x:c>
      <x:c r="F230" s="6" t="str"/>
      <x:c r="G230" s="6" t="str">
        <x:v>Company information</x:v>
      </x:c>
      <x:c r="H230" s="6" t="str">
        <x:v>Company portfolio and status context. Its potential economic exposure to this trend is an analyst classification, not a forecast of investment returns.</x:v>
      </x:c>
      <x:c r="I230" s="6" t="str">
        <x:v>https://www.vive.com/</x:v>
      </x:c>
    </x:row>
    <x:row r="231" ht="15" hidden="0" customHeight="1">
      <x:c r="A231" s="12" t="n">
        <x:v>15</x:v>
      </x:c>
      <x:c r="B231" s="6" t="str">
        <x:v>Enterprise spatial computing</x:v>
      </x:c>
      <x:c r="C231" s="6" t="str">
        <x:v>a15_c5</x:v>
      </x:c>
      <x:c r="D231" s="6" t="str">
        <x:v>Sony: product portfolio, company or investor information</x:v>
      </x:c>
      <x:c r="E231" s="6" t="str">
        <x:v>Sony</x:v>
      </x:c>
      <x:c r="F231" s="6" t="str"/>
      <x:c r="G231" s="6" t="str">
        <x:v>Company information</x:v>
      </x:c>
      <x:c r="H231" s="6" t="str">
        <x:v>Company portfolio and status context. Its potential economic exposure to this trend is an analyst classification, not a forecast of investment returns.</x:v>
      </x:c>
      <x:c r="I231" s="6" t="str">
        <x:v>https://www.sony.com/</x:v>
      </x:c>
    </x:row>
    <x:row r="232" ht="15" hidden="0" customHeight="1">
      <x:c r="A232" s="12" t="n">
        <x:v>15</x:v>
      </x:c>
      <x:c r="B232" s="6" t="str">
        <x:v>Enterprise spatial computing</x:v>
      </x:c>
      <x:c r="C232" s="6" t="str">
        <x:v>a15_c6</x:v>
      </x:c>
      <x:c r="D232" s="6" t="str">
        <x:v>Qualcomm: product portfolio, company or investor information</x:v>
      </x:c>
      <x:c r="E232" s="6" t="str">
        <x:v>Qualcomm</x:v>
      </x:c>
      <x:c r="F232" s="6" t="str"/>
      <x:c r="G232" s="6" t="str">
        <x:v>Company information</x:v>
      </x:c>
      <x:c r="H232" s="6" t="str">
        <x:v>Company portfolio and status context. Its potential economic exposure to this trend is an analyst classification, not a forecast of investment returns.</x:v>
      </x:c>
      <x:c r="I232" s="6" t="str">
        <x:v>https://investor.qualcomm.com/</x:v>
      </x:c>
    </x:row>
    <x:row r="233" ht="15" hidden="0" customHeight="1">
      <x:c r="A233" s="12" t="n">
        <x:v>15</x:v>
      </x:c>
      <x:c r="B233" s="6" t="str">
        <x:v>Enterprise spatial computing</x:v>
      </x:c>
      <x:c r="C233" s="6" t="str">
        <x:v>a15_c7</x:v>
      </x:c>
      <x:c r="D233" s="6" t="str">
        <x:v>NVIDIA: product portfolio, company or investor information</x:v>
      </x:c>
      <x:c r="E233" s="6" t="str">
        <x:v>NVIDIA</x:v>
      </x:c>
      <x:c r="F233" s="6" t="str"/>
      <x:c r="G233" s="6" t="str">
        <x:v>Company information</x:v>
      </x:c>
      <x:c r="H233" s="6" t="str">
        <x:v>Company portfolio and status context. Its potential economic exposure to this trend is an analyst classification, not a forecast of investment returns.</x:v>
      </x:c>
      <x:c r="I233" s="6" t="str">
        <x:v>https://investor.nvidia.com/</x:v>
      </x:c>
    </x:row>
    <x:row r="234" ht="15" hidden="0" customHeight="1">
      <x:c r="A234" s="12" t="n">
        <x:v>15</x:v>
      </x:c>
      <x:c r="B234" s="6" t="str">
        <x:v>Enterprise spatial computing</x:v>
      </x:c>
      <x:c r="C234" s="6" t="str">
        <x:v>a15_c8</x:v>
      </x:c>
      <x:c r="D234" s="6" t="str">
        <x:v>Unity: product portfolio, company or investor information</x:v>
      </x:c>
      <x:c r="E234" s="6" t="str">
        <x:v>Unity</x:v>
      </x:c>
      <x:c r="F234" s="6" t="str"/>
      <x:c r="G234" s="6" t="str">
        <x:v>Company information</x:v>
      </x:c>
      <x:c r="H234" s="6" t="str">
        <x:v>Company portfolio and status context. Its potential economic exposure to this trend is an analyst classification, not a forecast of investment returns.</x:v>
      </x:c>
      <x:c r="I234" s="6" t="str">
        <x:v>https://unity.com/</x:v>
      </x:c>
    </x:row>
    <x:row r="235" ht="15" hidden="0" customHeight="1">
      <x:c r="A235" s="12" t="n">
        <x:v>15</x:v>
      </x:c>
      <x:c r="B235" s="6" t="str">
        <x:v>Enterprise spatial computing</x:v>
      </x:c>
      <x:c r="C235" s="6" t="str">
        <x:v>a15_c9</x:v>
      </x:c>
      <x:c r="D235" s="6" t="str">
        <x:v>Varjo: product portfolio, company or investor information</x:v>
      </x:c>
      <x:c r="E235" s="6" t="str">
        <x:v>Varjo</x:v>
      </x:c>
      <x:c r="F235" s="6" t="str"/>
      <x:c r="G235" s="6" t="str">
        <x:v>Company information</x:v>
      </x:c>
      <x:c r="H235" s="6" t="str">
        <x:v>Company portfolio and status context. Its potential economic exposure to this trend is an analyst classification, not a forecast of investment returns.</x:v>
      </x:c>
      <x:c r="I235" s="6" t="str">
        <x:v>https://varjo.com/</x:v>
      </x:c>
    </x:row>
    <x:row r="236" ht="15" hidden="0" customHeight="1">
      <x:c r="A236" s="12" t="n">
        <x:v>15</x:v>
      </x:c>
      <x:c r="B236" s="6" t="str">
        <x:v>Enterprise spatial computing</x:v>
      </x:c>
      <x:c r="C236" s="6" t="str">
        <x:v>a15_c10</x:v>
      </x:c>
      <x:c r="D236" s="6" t="str">
        <x:v>Magic Leap: product portfolio, company or investor information</x:v>
      </x:c>
      <x:c r="E236" s="6" t="str">
        <x:v>Magic Leap</x:v>
      </x:c>
      <x:c r="F236" s="6" t="str"/>
      <x:c r="G236" s="6" t="str">
        <x:v>Company information</x:v>
      </x:c>
      <x:c r="H236" s="6" t="str">
        <x:v>Company portfolio and status context. Its potential economic exposure to this trend is an analyst classification, not a forecast of investment returns.</x:v>
      </x:c>
      <x:c r="I236" s="6" t="str">
        <x:v>https://www.magicleap.com/</x:v>
      </x:c>
    </x:row>
    <x:row r="237" ht="15" hidden="0" customHeight="1">
      <x:c r="A237" s="12" t="n">
        <x:v>15</x:v>
      </x:c>
      <x:c r="B237" s="6" t="str">
        <x:v>Enterprise spatial computing</x:v>
      </x:c>
      <x:c r="C237" s="6" t="str">
        <x:v>a15_c11</x:v>
      </x:c>
      <x:c r="D237" s="6" t="str">
        <x:v>Strivr: product portfolio, company or investor information</x:v>
      </x:c>
      <x:c r="E237" s="6" t="str">
        <x:v>Strivr</x:v>
      </x:c>
      <x:c r="F237" s="6" t="str"/>
      <x:c r="G237" s="6" t="str">
        <x:v>Company information</x:v>
      </x:c>
      <x:c r="H237" s="6" t="str">
        <x:v>Company portfolio and status context. Its potential economic exposure to this trend is an analyst classification, not a forecast of investment returns.</x:v>
      </x:c>
      <x:c r="I237" s="6" t="str">
        <x:v>https://www.strivr.com/</x:v>
      </x:c>
    </x:row>
    <x:row r="238" ht="15" hidden="0" customHeight="1">
      <x:c r="A238" s="12" t="n">
        <x:v>16</x:v>
      </x:c>
      <x:c r="B238" s="6" t="str">
        <x:v>Collaborative robots and autonomous mobile robots</x:v>
      </x:c>
      <x:c r="C238" s="6" t="str">
        <x:v>a16_s1</x:v>
      </x:c>
      <x:c r="D238" s="6" t="str">
        <x:v>Amazon operations unveils European innovation lab</x:v>
      </x:c>
      <x:c r="E238" s="6" t="str">
        <x:v>Amazon</x:v>
      </x:c>
      <x:c r="F238" s="6" t="str">
        <x:v>2021-05-20</x:v>
      </x:c>
      <x:c r="G238" s="6" t="str">
        <x:v>Company disclosure</x:v>
      </x:c>
      <x:c r="H238" s="6" t="str">
        <x:v>More than 350,000 robotic drive units.</x:v>
      </x:c>
      <x:c r="I238" s="6" t="str">
        <x:v>https://press.aboutamazon.com/uk/2021/5/amazon-operations-unveils-european-innovation-lab-developing-new-technologies-that-enhance-employee-safety-and-wellbeing</x:v>
      </x:c>
    </x:row>
    <x:row r="239" ht="15" hidden="0" customHeight="1">
      <x:c r="A239" s="12" t="n">
        <x:v>16</x:v>
      </x:c>
      <x:c r="B239" s="6" t="str">
        <x:v>Collaborative robots and autonomous mobile robots</x:v>
      </x:c>
      <x:c r="C239" s="6" t="str">
        <x:v>a16_s2</x:v>
      </x:c>
      <x:c r="D239" s="6" t="str">
        <x:v>Ten years of Amazon Robotics</x:v>
      </x:c>
      <x:c r="E239" s="6" t="str">
        <x:v>Amazon</x:v>
      </x:c>
      <x:c r="F239" s="6" t="str">
        <x:v>2022-06-21</x:v>
      </x:c>
      <x:c r="G239" s="6" t="str">
        <x:v>Company disclosure</x:v>
      </x:c>
      <x:c r="H239" s="6" t="str">
        <x:v>More than 520,000 drive units and Proteus launch.</x:v>
      </x:c>
      <x:c r="I239" s="6" t="str">
        <x:v>https://www.aboutamazon.com/news/operations/10-years-of-amazon-robotics-how-robots-help-sort-packages-move-product-and-improve-safety</x:v>
      </x:c>
    </x:row>
    <x:row r="240" ht="15" hidden="0" customHeight="1">
      <x:c r="A240" s="12" t="n">
        <x:v>16</x:v>
      </x:c>
      <x:c r="B240" s="6" t="str">
        <x:v>Collaborative robots and autonomous mobile robots</x:v>
      </x:c>
      <x:c r="C240" s="6" t="str">
        <x:v>a16_s3</x:v>
      </x:c>
      <x:c r="D240" s="6" t="str">
        <x:v>Meet Amazon’s Hercules robot</x:v>
      </x:c>
      <x:c r="E240" s="6" t="str">
        <x:v>Amazon</x:v>
      </x:c>
      <x:c r="F240" s="6" t="str">
        <x:v>2023-09-07</x:v>
      </x:c>
      <x:c r="G240" s="6" t="str">
        <x:v>Company disclosure</x:v>
      </x:c>
      <x:c r="H240" s="6" t="str">
        <x:v>More than 750,000 mobile robots.</x:v>
      </x:c>
      <x:c r="I240" s="6" t="str">
        <x:v>https://www.aboutamazon.com/news/operations/amazon-hercules-robot</x:v>
      </x:c>
    </x:row>
    <x:row r="241" ht="15" hidden="0" customHeight="1">
      <x:c r="A241" s="12" t="n">
        <x:v>16</x:v>
      </x:c>
      <x:c r="B241" s="6" t="str">
        <x:v>Collaborative robots and autonomous mobile robots</x:v>
      </x:c>
      <x:c r="C241" s="6" t="str">
        <x:v>a16_s4</x:v>
      </x:c>
      <x:c r="D241" s="6" t="str">
        <x:v>Amazon reaches one million robots</x:v>
      </x:c>
      <x:c r="E241" s="6" t="str">
        <x:v>Amazon</x:v>
      </x:c>
      <x:c r="F241" s="6" t="str">
        <x:v>2025-06-30</x:v>
      </x:c>
      <x:c r="G241" s="6" t="str">
        <x:v>Company disclosure</x:v>
      </x:c>
      <x:c r="H241" s="6" t="str">
        <x:v>One million deployed robots; broader fleet category.</x:v>
      </x:c>
      <x:c r="I241" s="6" t="str">
        <x:v>https://www.aboutamazon.com/news/operations/amazon-million-robots-ai-foundation-model</x:v>
      </x:c>
    </x:row>
    <x:row r="242" ht="15" hidden="0" customHeight="1">
      <x:c r="A242" s="12" t="n">
        <x:v>16</x:v>
      </x:c>
      <x:c r="B242" s="6" t="str">
        <x:v>Collaborative robots and autonomous mobile robots</x:v>
      </x:c>
      <x:c r="C242" s="6" t="str">
        <x:v>a16_s5</x:v>
      </x:c>
      <x:c r="D242" s="6" t="str">
        <x:v>Robot orders increase in Q2 as automation demand broadens</x:v>
      </x:c>
      <x:c r="E242" s="6" t="str">
        <x:v>Association for Advancing Automation</x:v>
      </x:c>
      <x:c r="F242" s="6" t="str">
        <x:v>2026-08-13</x:v>
      </x:c>
      <x:c r="G242" s="6" t="str">
        <x:v>Industry primary statistics</x:v>
      </x:c>
      <x:c r="H242" s="6" t="str">
        <x:v>H1 2026 North American collaborative robot orders of 2,774 units.</x:v>
      </x:c>
      <x:c r="I242" s="6" t="str">
        <x:v>https://www.automate.org/robotics/news/robot-orders-increase-in-q2-as-automation-demand-broadens-across-industries</x:v>
      </x:c>
    </x:row>
    <x:row r="243" ht="15" hidden="0" customHeight="1">
      <x:c r="A243" s="12" t="n">
        <x:v>16</x:v>
      </x:c>
      <x:c r="B243" s="6" t="str">
        <x:v>Collaborative robots and autonomous mobile robots</x:v>
      </x:c>
      <x:c r="C243" s="6" t="str">
        <x:v>a16_s6</x:v>
      </x:c>
      <x:c r="D243" s="6" t="str">
        <x:v>How robots work alongside humans</x:v>
      </x:c>
      <x:c r="E243" s="6" t="str">
        <x:v>International Federation of Robotics</x:v>
      </x:c>
      <x:c r="F243" s="6" t="str">
        <x:v>2024-12-04</x:v>
      </x:c>
      <x:c r="G243" s="6" t="str">
        <x:v>Industry primary statistics</x:v>
      </x:c>
      <x:c r="H243" s="6" t="str">
        <x:v>Collaborative robots accounted for 10.5% of 2023 installations.</x:v>
      </x:c>
      <x:c r="I243" s="6" t="str">
        <x:v>https://ifr.org/ifr-press-releases/news/how-robots-work-alongside-humans</x:v>
      </x:c>
    </x:row>
    <x:row r="244" ht="15" hidden="0" customHeight="1">
      <x:c r="A244" s="12" t="n">
        <x:v>16</x:v>
      </x:c>
      <x:c r="B244" s="6" t="str">
        <x:v>Collaborative robots and autonomous mobile robots</x:v>
      </x:c>
      <x:c r="C244" s="6" t="str">
        <x:v>a16_c1</x:v>
      </x:c>
      <x:c r="D244" s="6" t="str">
        <x:v>Teradyne: product portfolio, company or investor information</x:v>
      </x:c>
      <x:c r="E244" s="6" t="str">
        <x:v>Teradyne</x:v>
      </x:c>
      <x:c r="F244" s="6" t="str"/>
      <x:c r="G244" s="6" t="str">
        <x:v>Company information</x:v>
      </x:c>
      <x:c r="H244" s="6" t="str">
        <x:v>Company portfolio and status context. Its potential economic exposure to this trend is an analyst classification, not a forecast of investment returns.</x:v>
      </x:c>
      <x:c r="I244" s="6" t="str">
        <x:v>https://www.teradyne.com/</x:v>
      </x:c>
    </x:row>
    <x:row r="245" ht="15" hidden="0" customHeight="1">
      <x:c r="A245" s="12" t="n">
        <x:v>16</x:v>
      </x:c>
      <x:c r="B245" s="6" t="str">
        <x:v>Collaborative robots and autonomous mobile robots</x:v>
      </x:c>
      <x:c r="C245" s="6" t="str">
        <x:v>a16_c2</x:v>
      </x:c>
      <x:c r="D245" s="6" t="str">
        <x:v>ABB: product portfolio, company or investor information</x:v>
      </x:c>
      <x:c r="E245" s="6" t="str">
        <x:v>ABB</x:v>
      </x:c>
      <x:c r="F245" s="6" t="str"/>
      <x:c r="G245" s="6" t="str">
        <x:v>Company information</x:v>
      </x:c>
      <x:c r="H245" s="6" t="str">
        <x:v>Company portfolio and status context. Its potential economic exposure to this trend is an analyst classification, not a forecast of investment returns.</x:v>
      </x:c>
      <x:c r="I245" s="6" t="str">
        <x:v>https://new.abb.com/news/detail/129685/abb-to-divest-robotics-division-to-softbank-group</x:v>
      </x:c>
    </x:row>
    <x:row r="246" ht="15" hidden="0" customHeight="1">
      <x:c r="A246" s="12" t="n">
        <x:v>16</x:v>
      </x:c>
      <x:c r="B246" s="6" t="str">
        <x:v>Collaborative robots and autonomous mobile robots</x:v>
      </x:c>
      <x:c r="C246" s="6" t="str">
        <x:v>a16_c3</x:v>
      </x:c>
      <x:c r="D246" s="6" t="str">
        <x:v>FANUC: product portfolio, company or investor information</x:v>
      </x:c>
      <x:c r="E246" s="6" t="str">
        <x:v>FANUC</x:v>
      </x:c>
      <x:c r="F246" s="6" t="str"/>
      <x:c r="G246" s="6" t="str">
        <x:v>Company information</x:v>
      </x:c>
      <x:c r="H246" s="6" t="str">
        <x:v>Company portfolio and status context. Its potential economic exposure to this trend is an analyst classification, not a forecast of investment returns.</x:v>
      </x:c>
      <x:c r="I246" s="6" t="str">
        <x:v>https://www.fanuc.co.jp/en/</x:v>
      </x:c>
    </x:row>
    <x:row r="247" ht="15" hidden="0" customHeight="1">
      <x:c r="A247" s="12" t="n">
        <x:v>16</x:v>
      </x:c>
      <x:c r="B247" s="6" t="str">
        <x:v>Collaborative robots and autonomous mobile robots</x:v>
      </x:c>
      <x:c r="C247" s="6" t="str">
        <x:v>a16_c4</x:v>
      </x:c>
      <x:c r="D247" s="6" t="str">
        <x:v>Yaskawa Electric: product portfolio, company or investor information</x:v>
      </x:c>
      <x:c r="E247" s="6" t="str">
        <x:v>Yaskawa Electric</x:v>
      </x:c>
      <x:c r="F247" s="6" t="str"/>
      <x:c r="G247" s="6" t="str">
        <x:v>Company information</x:v>
      </x:c>
      <x:c r="H247" s="6" t="str">
        <x:v>Company portfolio and status context. Its potential economic exposure to this trend is an analyst classification, not a forecast of investment returns.</x:v>
      </x:c>
      <x:c r="I247" s="6" t="str">
        <x:v>https://www.yaskawa-global.com/</x:v>
      </x:c>
    </x:row>
    <x:row r="248" ht="15" hidden="0" customHeight="1">
      <x:c r="A248" s="12" t="n">
        <x:v>16</x:v>
      </x:c>
      <x:c r="B248" s="6" t="str">
        <x:v>Collaborative robots and autonomous mobile robots</x:v>
      </x:c>
      <x:c r="C248" s="6" t="str">
        <x:v>a16_c5</x:v>
      </x:c>
      <x:c r="D248" s="6" t="str">
        <x:v>KION Group: product portfolio, company or investor information</x:v>
      </x:c>
      <x:c r="E248" s="6" t="str">
        <x:v>KION Group</x:v>
      </x:c>
      <x:c r="F248" s="6" t="str"/>
      <x:c r="G248" s="6" t="str">
        <x:v>Company information</x:v>
      </x:c>
      <x:c r="H248" s="6" t="str">
        <x:v>Company portfolio and status context. Its potential economic exposure to this trend is an analyst classification, not a forecast of investment returns.</x:v>
      </x:c>
      <x:c r="I248" s="6" t="str">
        <x:v>https://www.kiongroup.com/</x:v>
      </x:c>
    </x:row>
    <x:row r="249" ht="15" hidden="0" customHeight="1">
      <x:c r="A249" s="12" t="n">
        <x:v>16</x:v>
      </x:c>
      <x:c r="B249" s="6" t="str">
        <x:v>Collaborative robots and autonomous mobile robots</x:v>
      </x:c>
      <x:c r="C249" s="6" t="str">
        <x:v>a16_c6</x:v>
      </x:c>
      <x:c r="D249" s="6" t="str">
        <x:v>Daifuku: product portfolio, company or investor information</x:v>
      </x:c>
      <x:c r="E249" s="6" t="str">
        <x:v>Daifuku</x:v>
      </x:c>
      <x:c r="F249" s="6" t="str"/>
      <x:c r="G249" s="6" t="str">
        <x:v>Company information</x:v>
      </x:c>
      <x:c r="H249" s="6" t="str">
        <x:v>Company portfolio and status context. Its potential economic exposure to this trend is an analyst classification, not a forecast of investment returns.</x:v>
      </x:c>
      <x:c r="I249" s="6" t="str">
        <x:v>https://www.daifuku.com/</x:v>
      </x:c>
    </x:row>
    <x:row r="250" ht="15" hidden="0" customHeight="1">
      <x:c r="A250" s="12" t="n">
        <x:v>16</x:v>
      </x:c>
      <x:c r="B250" s="6" t="str">
        <x:v>Collaborative robots and autonomous mobile robots</x:v>
      </x:c>
      <x:c r="C250" s="6" t="str">
        <x:v>a16_c7</x:v>
      </x:c>
      <x:c r="D250" s="6" t="str">
        <x:v>Omron: product portfolio, company or investor information</x:v>
      </x:c>
      <x:c r="E250" s="6" t="str">
        <x:v>Omron</x:v>
      </x:c>
      <x:c r="F250" s="6" t="str"/>
      <x:c r="G250" s="6" t="str">
        <x:v>Company information</x:v>
      </x:c>
      <x:c r="H250" s="6" t="str">
        <x:v>Company portfolio and status context. Its potential economic exposure to this trend is an analyst classification, not a forecast of investment returns.</x:v>
      </x:c>
      <x:c r="I250" s="6" t="str">
        <x:v>https://www.omron.com/</x:v>
      </x:c>
    </x:row>
    <x:row r="251" ht="15" hidden="0" customHeight="1">
      <x:c r="A251" s="12" t="n">
        <x:v>16</x:v>
      </x:c>
      <x:c r="B251" s="6" t="str">
        <x:v>Collaborative robots and autonomous mobile robots</x:v>
      </x:c>
      <x:c r="C251" s="6" t="str">
        <x:v>a16_c8</x:v>
      </x:c>
      <x:c r="D251" s="6" t="str">
        <x:v>Amazon: product portfolio, company or investor information</x:v>
      </x:c>
      <x:c r="E251" s="6" t="str">
        <x:v>Amazon</x:v>
      </x:c>
      <x:c r="F251" s="6" t="str"/>
      <x:c r="G251" s="6" t="str">
        <x:v>Company information</x:v>
      </x:c>
      <x:c r="H251" s="6" t="str">
        <x:v>Company portfolio and status context. Its potential economic exposure to this trend is an analyst classification, not a forecast of investment returns.</x:v>
      </x:c>
      <x:c r="I251" s="6" t="str">
        <x:v>https://ir.aboutamazon.com/</x:v>
      </x:c>
    </x:row>
    <x:row r="252" ht="15" hidden="0" customHeight="1">
      <x:c r="A252" s="12" t="n">
        <x:v>16</x:v>
      </x:c>
      <x:c r="B252" s="6" t="str">
        <x:v>Collaborative robots and autonomous mobile robots</x:v>
      </x:c>
      <x:c r="C252" s="6" t="str">
        <x:v>a16_c9</x:v>
      </x:c>
      <x:c r="D252" s="6" t="str">
        <x:v>Locus Robotics: product portfolio, company or investor information</x:v>
      </x:c>
      <x:c r="E252" s="6" t="str">
        <x:v>Locus Robotics</x:v>
      </x:c>
      <x:c r="F252" s="6" t="str"/>
      <x:c r="G252" s="6" t="str">
        <x:v>Company information</x:v>
      </x:c>
      <x:c r="H252" s="6" t="str">
        <x:v>Company portfolio and status context. Its potential economic exposure to this trend is an analyst classification, not a forecast of investment returns.</x:v>
      </x:c>
      <x:c r="I252" s="6" t="str">
        <x:v>https://locusrobotics.com/</x:v>
      </x:c>
    </x:row>
    <x:row r="253" ht="15" hidden="0" customHeight="1">
      <x:c r="A253" s="12" t="n">
        <x:v>16</x:v>
      </x:c>
      <x:c r="B253" s="6" t="str">
        <x:v>Collaborative robots and autonomous mobile robots</x:v>
      </x:c>
      <x:c r="C253" s="6" t="str">
        <x:v>a16_c10</x:v>
      </x:c>
      <x:c r="D253" s="6" t="str">
        <x:v>Stäubli: product portfolio, company or investor information</x:v>
      </x:c>
      <x:c r="E253" s="6" t="str">
        <x:v>Stäubli</x:v>
      </x:c>
      <x:c r="F253" s="6" t="str"/>
      <x:c r="G253" s="6" t="str">
        <x:v>Company information</x:v>
      </x:c>
      <x:c r="H253" s="6" t="str">
        <x:v>Company portfolio and status context. Its potential economic exposure to this trend is an analyst classification, not a forecast of investment returns.</x:v>
      </x:c>
      <x:c r="I253" s="6" t="str">
        <x:v>https://www.staubli.com/</x:v>
      </x:c>
    </x:row>
    <x:row r="254" ht="15" hidden="0" customHeight="1">
      <x:c r="A254" s="12" t="n">
        <x:v>17</x:v>
      </x:c>
      <x:c r="B254" s="6" t="str">
        <x:v>Humanoid robots in structured industrial work</x:v>
      </x:c>
      <x:c r="C254" s="6" t="str">
        <x:v>a17_s1</x:v>
      </x:c>
      <x:c r="D254" s="6" t="str">
        <x:v>UBTECH 2025 Annual Report</x:v>
      </x:c>
      <x:c r="E254" s="6" t="str">
        <x:v>UBTECH / HKEX</x:v>
      </x:c>
      <x:c r="F254" s="6" t="str">
        <x:v>2026-04-14</x:v>
      </x:c>
      <x:c r="G254" s="6" t="str">
        <x:v>Company annual report</x:v>
      </x:c>
      <x:c r="H254" s="6" t="str">
        <x:v>Full-size humanoid products and services revenue: RMB35.6m in 2024 and RMB820.6m in 2025.</x:v>
      </x:c>
      <x:c r="I254" s="6" t="str">
        <x:v>https://www.hkexnews.hk/listedco/listconews/sehk/2026/0414/2026041401168.pdf</x:v>
      </x:c>
    </x:row>
    <x:row r="255" ht="15" hidden="0" customHeight="1">
      <x:c r="A255" s="12" t="n">
        <x:v>17</x:v>
      </x:c>
      <x:c r="B255" s="6" t="str">
        <x:v>Humanoid robots in structured industrial work</x:v>
      </x:c>
      <x:c r="C255" s="6" t="str">
        <x:v>a17_s2</x:v>
      </x:c>
      <x:c r="D255" s="6" t="str">
        <x:v>First humanoid robot introduced in Plant Leipzig</x:v>
      </x:c>
      <x:c r="E255" s="6" t="str">
        <x:v>BMW Group</x:v>
      </x:c>
      <x:c r="F255" s="6" t="str">
        <x:v>2026-09-21</x:v>
      </x:c>
      <x:c r="G255" s="6" t="str">
        <x:v>Customer deployment report</x:v>
      </x:c>
      <x:c r="H255" s="6" t="str">
        <x:v>2026 Leipzig trial and 2025 Figure pilot operating experience.</x:v>
      </x:c>
      <x:c r="I255" s="6" t="str">
        <x:v>https://www.bmwgroup.com/en/news/general/2026/humanoid-robot-in-leipzig.html</x:v>
      </x:c>
    </x:row>
    <x:row r="256" ht="15" hidden="0" customHeight="1">
      <x:c r="A256" s="12" t="n">
        <x:v>17</x:v>
      </x:c>
      <x:c r="B256" s="6" t="str">
        <x:v>Humanoid robots in structured industrial work</x:v>
      </x:c>
      <x:c r="C256" s="6" t="str">
        <x:v>a17_s3</x:v>
      </x:c>
      <x:c r="D256" s="6" t="str">
        <x:v>Agility unveils Digit 5</x:v>
      </x:c>
      <x:c r="E256" s="6" t="str">
        <x:v>Agility Robotics</x:v>
      </x:c>
      <x:c r="F256" s="6" t="str">
        <x:v>2026-09-15</x:v>
      </x:c>
      <x:c r="G256" s="6" t="str">
        <x:v>Company announcement</x:v>
      </x:c>
      <x:c r="H256" s="6" t="str">
        <x:v>New product, conditional orders and RoboFab designed capacity of 10,000 per year.</x:v>
      </x:c>
      <x:c r="I256" s="6" t="str">
        <x:v>https://www.agilityrobotics.com/content/agility-unveils-digit-5-humanoid-robot-built-for-cooperatively-safe-work-at-scale</x:v>
      </x:c>
    </x:row>
    <x:row r="257" ht="24" hidden="0" customHeight="1">
      <x:c r="A257" s="12" t="n">
        <x:v>17</x:v>
      </x:c>
      <x:c r="B257" s="6" t="str">
        <x:v>Humanoid robots in structured industrial work</x:v>
      </x:c>
      <x:c r="C257" s="6" t="str">
        <x:v>a17_s4</x:v>
      </x:c>
      <x:c r="D257" s="6" t="str">
        <x:v>Agility / Churchill XI registration statement declared effective</x:v>
      </x:c>
      <x:c r="E257" s="6" t="str">
        <x:v>Agility Robotics</x:v>
      </x:c>
      <x:c r="F257" s="6" t="str">
        <x:v>2026-10-13</x:v>
      </x:c>
      <x:c r="G257" s="6" t="str">
        <x:v>Company transaction announcement</x:v>
      </x:c>
      <x:c r="H257" s="6" t="str">
        <x:v>Proposed business combination remains pending; not yet an Agility public listing.</x:v>
      </x:c>
      <x:c r="I257" s="6" t="str">
        <x:v>https://www.agilityrobotics.com/content/agility-robotics-and-churchill-capital-corp-xi-s-4-registration-statement-declared-effective-by-sec-in-connection-with-proposed-business-combination</x:v>
      </x:c>
    </x:row>
    <x:row r="258" ht="15" hidden="0" customHeight="1">
      <x:c r="A258" s="12" t="n">
        <x:v>17</x:v>
      </x:c>
      <x:c r="B258" s="6" t="str">
        <x:v>Humanoid robots in structured industrial work</x:v>
      </x:c>
      <x:c r="C258" s="6" t="str">
        <x:v>a17_s5</x:v>
      </x:c>
      <x:c r="D258" s="6" t="str">
        <x:v>Hyundai completes acquisition of Boston Dynamics</x:v>
      </x:c>
      <x:c r="E258" s="6" t="str">
        <x:v>Hyundai Motor Group</x:v>
      </x:c>
      <x:c r="F258" s="6" t="str">
        <x:v>2021-06-21</x:v>
      </x:c>
      <x:c r="G258" s="6" t="str">
        <x:v>Company announcement</x:v>
      </x:c>
      <x:c r="H258" s="6" t="str">
        <x:v>Controlling 80% investment in Boston Dynamics.</x:v>
      </x:c>
      <x:c r="I258" s="6" t="str">
        <x:v>https://www.hyundai.com/worldwide/en/newsroom/detail/0000000516</x:v>
      </x:c>
    </x:row>
    <x:row r="259" ht="15" hidden="0" customHeight="1">
      <x:c r="A259" s="12" t="n">
        <x:v>17</x:v>
      </x:c>
      <x:c r="B259" s="6" t="str">
        <x:v>Humanoid robots in structured industrial work</x:v>
      </x:c>
      <x:c r="C259" s="6" t="str">
        <x:v>a17_s6</x:v>
      </x:c>
      <x:c r="D259" s="6" t="str">
        <x:v>GXO’s automation plans and humanoid deployment constraints</x:v>
      </x:c>
      <x:c r="E259" s="6" t="str">
        <x:v>Association for Advancing Automation</x:v>
      </x:c>
      <x:c r="F259" s="6" t="str">
        <x:v>2026-09</x:v>
      </x:c>
      <x:c r="G259" s="6" t="str">
        <x:v>Industry association analysis</x:v>
      </x:c>
      <x:c r="H259" s="6" t="str">
        <x:v>Buyer perspective distinguishing humanoid pilots from broad production automation.</x:v>
      </x:c>
      <x:c r="I259" s="6" t="str">
        <x:v>https://www.automate.org/robotics/industry-insights/gxo-plans-20-000-robots-in-2026-none-of-them-will-be-humanoids</x:v>
      </x:c>
    </x:row>
    <x:row r="260" ht="15" hidden="0" customHeight="1">
      <x:c r="A260" s="12" t="n">
        <x:v>17</x:v>
      </x:c>
      <x:c r="B260" s="6" t="str">
        <x:v>Humanoid robots in structured industrial work</x:v>
      </x:c>
      <x:c r="C260" s="6" t="str">
        <x:v>a17_c1</x:v>
      </x:c>
      <x:c r="D260" s="6" t="str">
        <x:v>UBTECH: product portfolio, company or investor information</x:v>
      </x:c>
      <x:c r="E260" s="6" t="str">
        <x:v>UBTECH</x:v>
      </x:c>
      <x:c r="F260" s="6" t="str"/>
      <x:c r="G260" s="6" t="str">
        <x:v>Company information</x:v>
      </x:c>
      <x:c r="H260" s="6" t="str">
        <x:v>Company portfolio and status context. Its potential economic exposure to this trend is an analyst classification, not a forecast of investment returns.</x:v>
      </x:c>
      <x:c r="I260" s="6" t="str">
        <x:v>https://www.hkexnews.hk/listedco/listconews/sehk/2026/0414/2026041401168.pdf</x:v>
      </x:c>
    </x:row>
    <x:row r="261" ht="15" hidden="0" customHeight="1">
      <x:c r="A261" s="12" t="n">
        <x:v>17</x:v>
      </x:c>
      <x:c r="B261" s="6" t="str">
        <x:v>Humanoid robots in structured industrial work</x:v>
      </x:c>
      <x:c r="C261" s="6" t="str">
        <x:v>a17_c2</x:v>
      </x:c>
      <x:c r="D261" s="6" t="str">
        <x:v>Tesla: product portfolio, company or investor information</x:v>
      </x:c>
      <x:c r="E261" s="6" t="str">
        <x:v>Tesla</x:v>
      </x:c>
      <x:c r="F261" s="6" t="str"/>
      <x:c r="G261" s="6" t="str">
        <x:v>Company information</x:v>
      </x:c>
      <x:c r="H261" s="6" t="str">
        <x:v>Company portfolio and status context. Its potential economic exposure to this trend is an analyst classification, not a forecast of investment returns.</x:v>
      </x:c>
      <x:c r="I261" s="6" t="str">
        <x:v>https://www.tesla.com/AI</x:v>
      </x:c>
    </x:row>
    <x:row r="262" ht="15" hidden="0" customHeight="1">
      <x:c r="A262" s="12" t="n">
        <x:v>17</x:v>
      </x:c>
      <x:c r="B262" s="6" t="str">
        <x:v>Humanoid robots in structured industrial work</x:v>
      </x:c>
      <x:c r="C262" s="6" t="str">
        <x:v>a17_c3</x:v>
      </x:c>
      <x:c r="D262" s="6" t="str">
        <x:v>Hyundai Motor: product portfolio, company or investor information</x:v>
      </x:c>
      <x:c r="E262" s="6" t="str">
        <x:v>Hyundai Motor</x:v>
      </x:c>
      <x:c r="F262" s="6" t="str"/>
      <x:c r="G262" s="6" t="str">
        <x:v>Company information</x:v>
      </x:c>
      <x:c r="H262" s="6" t="str">
        <x:v>Company portfolio and status context. Its potential economic exposure to this trend is an analyst classification, not a forecast of investment returns.</x:v>
      </x:c>
      <x:c r="I262" s="6" t="str">
        <x:v>https://www.hyundai.com/worldwide/en/newsroom/detail/0000000516</x:v>
      </x:c>
    </x:row>
    <x:row r="263" ht="15" hidden="0" customHeight="1">
      <x:c r="A263" s="12" t="n">
        <x:v>17</x:v>
      </x:c>
      <x:c r="B263" s="6" t="str">
        <x:v>Humanoid robots in structured industrial work</x:v>
      </x:c>
      <x:c r="C263" s="6" t="str">
        <x:v>a17_c4</x:v>
      </x:c>
      <x:c r="D263" s="6" t="str">
        <x:v>NVIDIA: product portfolio, company or investor information</x:v>
      </x:c>
      <x:c r="E263" s="6" t="str">
        <x:v>NVIDIA</x:v>
      </x:c>
      <x:c r="F263" s="6" t="str"/>
      <x:c r="G263" s="6" t="str">
        <x:v>Company information</x:v>
      </x:c>
      <x:c r="H263" s="6" t="str">
        <x:v>Company portfolio and status context. Its potential economic exposure to this trend is an analyst classification, not a forecast of investment returns.</x:v>
      </x:c>
      <x:c r="I263" s="6" t="str">
        <x:v>https://investor.nvidia.com/</x:v>
      </x:c>
    </x:row>
    <x:row r="264" ht="15" hidden="0" customHeight="1">
      <x:c r="A264" s="12" t="n">
        <x:v>17</x:v>
      </x:c>
      <x:c r="B264" s="6" t="str">
        <x:v>Humanoid robots in structured industrial work</x:v>
      </x:c>
      <x:c r="C264" s="6" t="str">
        <x:v>a17_c5</x:v>
      </x:c>
      <x:c r="D264" s="6" t="str">
        <x:v>Harmonic Drive Systems: product portfolio, company or investor information</x:v>
      </x:c>
      <x:c r="E264" s="6" t="str">
        <x:v>Harmonic Drive Systems</x:v>
      </x:c>
      <x:c r="F264" s="6" t="str"/>
      <x:c r="G264" s="6" t="str">
        <x:v>Company information</x:v>
      </x:c>
      <x:c r="H264" s="6" t="str">
        <x:v>Company portfolio and status context. Its potential economic exposure to this trend is an analyst classification, not a forecast of investment returns.</x:v>
      </x:c>
      <x:c r="I264" s="6" t="str">
        <x:v>https://www.hds.co.jp/english/</x:v>
      </x:c>
    </x:row>
    <x:row r="265" ht="15" hidden="0" customHeight="1">
      <x:c r="A265" s="12" t="n">
        <x:v>17</x:v>
      </x:c>
      <x:c r="B265" s="6" t="str">
        <x:v>Humanoid robots in structured industrial work</x:v>
      </x:c>
      <x:c r="C265" s="6" t="str">
        <x:v>a17_c6</x:v>
      </x:c>
      <x:c r="D265" s="6" t="str">
        <x:v>Figure AI: product portfolio, company or investor information</x:v>
      </x:c>
      <x:c r="E265" s="6" t="str">
        <x:v>Figure AI</x:v>
      </x:c>
      <x:c r="F265" s="6" t="str"/>
      <x:c r="G265" s="6" t="str">
        <x:v>Company information</x:v>
      </x:c>
      <x:c r="H265" s="6" t="str">
        <x:v>Company portfolio and status context. Its potential economic exposure to this trend is an analyst classification, not a forecast of investment returns.</x:v>
      </x:c>
      <x:c r="I265" s="6" t="str">
        <x:v>https://www.figure.ai/news/series-c</x:v>
      </x:c>
    </x:row>
    <x:row r="266" ht="24" hidden="0" customHeight="1">
      <x:c r="A266" s="12" t="n">
        <x:v>17</x:v>
      </x:c>
      <x:c r="B266" s="6" t="str">
        <x:v>Humanoid robots in structured industrial work</x:v>
      </x:c>
      <x:c r="C266" s="6" t="str">
        <x:v>a17_c7</x:v>
      </x:c>
      <x:c r="D266" s="6" t="str">
        <x:v>Agility Robotics: product portfolio, company or investor information</x:v>
      </x:c>
      <x:c r="E266" s="6" t="str">
        <x:v>Agility Robotics</x:v>
      </x:c>
      <x:c r="F266" s="6" t="str"/>
      <x:c r="G266" s="6" t="str">
        <x:v>Company information</x:v>
      </x:c>
      <x:c r="H266" s="6" t="str">
        <x:v>Company portfolio and status context. Its potential economic exposure to this trend is an analyst classification, not a forecast of investment returns.</x:v>
      </x:c>
      <x:c r="I266" s="6" t="str">
        <x:v>https://www.agilityrobotics.com/content/agility-robotics-and-churchill-capital-corp-xi-s-4-registration-statement-declared-effective-by-sec-in-connection-with-proposed-business-combination</x:v>
      </x:c>
    </x:row>
    <x:row r="267" ht="15" hidden="0" customHeight="1">
      <x:c r="A267" s="12" t="n">
        <x:v>17</x:v>
      </x:c>
      <x:c r="B267" s="6" t="str">
        <x:v>Humanoid robots in structured industrial work</x:v>
      </x:c>
      <x:c r="C267" s="6" t="str">
        <x:v>a17_c8</x:v>
      </x:c>
      <x:c r="D267" s="6" t="str">
        <x:v>Apptronik: product portfolio, company or investor information</x:v>
      </x:c>
      <x:c r="E267" s="6" t="str">
        <x:v>Apptronik</x:v>
      </x:c>
      <x:c r="F267" s="6" t="str"/>
      <x:c r="G267" s="6" t="str">
        <x:v>Company information</x:v>
      </x:c>
      <x:c r="H267" s="6" t="str">
        <x:v>Company portfolio and status context. Its potential economic exposure to this trend is an analyst classification, not a forecast of investment returns.</x:v>
      </x:c>
      <x:c r="I267" s="6" t="str">
        <x:v>https://apptronik.com/</x:v>
      </x:c>
    </x:row>
    <x:row r="268" ht="15" hidden="0" customHeight="1">
      <x:c r="A268" s="12" t="n">
        <x:v>17</x:v>
      </x:c>
      <x:c r="B268" s="6" t="str">
        <x:v>Humanoid robots in structured industrial work</x:v>
      </x:c>
      <x:c r="C268" s="6" t="str">
        <x:v>a17_c9</x:v>
      </x:c>
      <x:c r="D268" s="6" t="str">
        <x:v>Sanctuary AI: product portfolio, company or investor information</x:v>
      </x:c>
      <x:c r="E268" s="6" t="str">
        <x:v>Sanctuary AI</x:v>
      </x:c>
      <x:c r="F268" s="6" t="str"/>
      <x:c r="G268" s="6" t="str">
        <x:v>Company information</x:v>
      </x:c>
      <x:c r="H268" s="6" t="str">
        <x:v>Company portfolio and status context. Its potential economic exposure to this trend is an analyst classification, not a forecast of investment returns.</x:v>
      </x:c>
      <x:c r="I268" s="6" t="str">
        <x:v>https://sanctuary.ai/</x:v>
      </x:c>
    </x:row>
    <x:row r="269" ht="15" hidden="0" customHeight="1">
      <x:c r="A269" s="12" t="n">
        <x:v>17</x:v>
      </x:c>
      <x:c r="B269" s="6" t="str">
        <x:v>Humanoid robots in structured industrial work</x:v>
      </x:c>
      <x:c r="C269" s="6" t="str">
        <x:v>a17_c10</x:v>
      </x:c>
      <x:c r="D269" s="6" t="str">
        <x:v>SiMa.ai: product portfolio, company or investor information</x:v>
      </x:c>
      <x:c r="E269" s="6" t="str">
        <x:v>SiMa.ai</x:v>
      </x:c>
      <x:c r="F269" s="6" t="str"/>
      <x:c r="G269" s="6" t="str">
        <x:v>Company information</x:v>
      </x:c>
      <x:c r="H269" s="6" t="str">
        <x:v>Company portfolio and status context. Its potential economic exposure to this trend is an analyst classification, not a forecast of investment returns.</x:v>
      </x:c>
      <x:c r="I269" s="6" t="str">
        <x:v>https://sima.ai/press-release/sima-ai-reaches-1-45b-valuation-with-500-million-in-total-funding-to-scale-physical-ai-in-humanoids-automotive-and-drones/</x:v>
      </x:c>
    </x:row>
    <x:row r="270" ht="15" hidden="0" customHeight="1">
      <x:c r="A270" s="12" t="n">
        <x:v>18</x:v>
      </x:c>
      <x:c r="B270" s="6" t="str">
        <x:v>Robotaxis and autonomous driving</x:v>
      </x:c>
      <x:c r="C270" s="6" t="str">
        <x:v>b18s1</x:v>
      </x:c>
      <x:c r="D270" s="6" t="str">
        <x:v>Waymo’s next chapter in San Francisco</x:v>
      </x:c>
      <x:c r="E270" s="6" t="str">
        <x:v>Waymo</x:v>
      </x:c>
      <x:c r="F270" s="6" t="str">
        <x:v>2023-08-10</x:v>
      </x:c>
      <x:c r="G270" s="6" t="str">
        <x:v>Company disclosure</x:v>
      </x:c>
      <x:c r="H270" s="6" t="str">
        <x:v>More than 10,000 weekly public fully driverless rides across San Francisco and Phoenix.</x:v>
      </x:c>
      <x:c r="I270" s="6" t="str">
        <x:v>https://waymo-blog.blogspot.com/2023/08/waymos-next-chapter-in-san-francisco.html</x:v>
      </x:c>
    </x:row>
    <x:row r="271" ht="15" hidden="0" customHeight="1">
      <x:c r="A271" s="12" t="n">
        <x:v>18</x:v>
      </x:c>
      <x:c r="B271" s="6" t="str">
        <x:v>Robotaxis and autonomous driving</x:v>
      </x:c>
      <x:c r="C271" s="6" t="str">
        <x:v>b18s2</x:v>
      </x:c>
      <x:c r="D271" s="6" t="str">
        <x:v>Year in review 2024</x:v>
      </x:c>
      <x:c r="E271" s="6" t="str">
        <x:v>Waymo</x:v>
      </x:c>
      <x:c r="F271" s="6" t="str">
        <x:v>2024-12-18</x:v>
      </x:c>
      <x:c r="G271" s="6" t="str">
        <x:v>Company disclosure</x:v>
      </x:c>
      <x:c r="H271" s="6" t="str">
        <x:v>150,000-plus weekly trips, December snapshot.</x:v>
      </x:c>
      <x:c r="I271" s="6" t="str">
        <x:v>https://waymo.com/blog/2024/12/year-in-review-2024/</x:v>
      </x:c>
    </x:row>
    <x:row r="272" ht="15" hidden="0" customHeight="1">
      <x:c r="A272" s="12" t="n">
        <x:v>18</x:v>
      </x:c>
      <x:c r="B272" s="6" t="str">
        <x:v>Robotaxis and autonomous driving</x:v>
      </x:c>
      <x:c r="C272" s="6" t="str">
        <x:v>b18s3</x:v>
      </x:c>
      <x:c r="D272" s="6" t="str">
        <x:v>Sustainability</x:v>
      </x:c>
      <x:c r="E272" s="6" t="str">
        <x:v>Waymo</x:v>
      </x:c>
      <x:c r="F272" s="6" t="str"/>
      <x:c r="G272" s="6" t="str">
        <x:v>Company disclosure</x:v>
      </x:c>
      <x:c r="H272" s="6" t="str">
        <x:v>500,000-plus fully autonomous EV trips per week, current 2026 page.</x:v>
      </x:c>
      <x:c r="I272" s="6" t="str">
        <x:v>https://blog.waymo.com/sustainability/</x:v>
      </x:c>
    </x:row>
    <x:row r="273" ht="15" hidden="0" customHeight="1">
      <x:c r="A273" s="12" t="n">
        <x:v>18</x:v>
      </x:c>
      <x:c r="B273" s="6" t="str">
        <x:v>Robotaxis and autonomous driving</x:v>
      </x:c>
      <x:c r="C273" s="6" t="str">
        <x:v>b18s4</x:v>
      </x:c>
      <x:c r="D273" s="6" t="str">
        <x:v>2025 year in review</x:v>
      </x:c>
      <x:c r="E273" s="6" t="str">
        <x:v>Waymo</x:v>
      </x:c>
      <x:c r="F273" s="6" t="str"/>
      <x:c r="G273" s="6" t="str">
        <x:v>Company disclosure</x:v>
      </x:c>
      <x:c r="H273" s="6" t="str">
        <x:v>2025 trip growth and one-million-weekly-trip goal for end-2026.</x:v>
      </x:c>
      <x:c r="I273" s="6" t="str">
        <x:v>https://waymo.com/blog/2025/12/2025-year-in-review/</x:v>
      </x:c>
    </x:row>
    <x:row r="274" ht="15" hidden="0" customHeight="1">
      <x:c r="A274" s="12" t="n">
        <x:v>18</x:v>
      </x:c>
      <x:c r="B274" s="6" t="str">
        <x:v>Robotaxis and autonomous driving</x:v>
      </x:c>
      <x:c r="C274" s="6" t="str">
        <x:v>b18s5</x:v>
      </x:c>
      <x:c r="D274" s="6" t="str">
        <x:v>Waymo plans first Canada robotaxi service in Toronto in 2028</x:v>
      </x:c>
      <x:c r="E274" s="6" t="str">
        <x:v>Reuters</x:v>
      </x:c>
      <x:c r="F274" s="6" t="str">
        <x:v>2026-10-16</x:v>
      </x:c>
      <x:c r="G274" s="6" t="str">
        <x:v>News</x:v>
      </x:c>
      <x:c r="H274" s="6" t="str">
        <x:v>Toronto launch is planned for 2028.</x:v>
      </x:c>
      <x:c r="I274" s="6" t="str">
        <x:v>https://www.reuters.com/business/googles-waymo-plans-first-canada-robotaxi-service-toronto-2028-2026-10-16/</x:v>
      </x:c>
    </x:row>
    <x:row r="275" ht="15" hidden="0" customHeight="1">
      <x:c r="A275" s="12" t="n">
        <x:v>18</x:v>
      </x:c>
      <x:c r="B275" s="6" t="str">
        <x:v>Robotaxis and autonomous driving</x:v>
      </x:c>
      <x:c r="C275" s="6" t="str">
        <x:v>b18c1</x:v>
      </x:c>
      <x:c r="D275" s="6" t="str">
        <x:v>Alphabet / Waymo — official company information</x:v>
      </x:c>
      <x:c r="E275" s="6" t="str">
        <x:v>Alphabet / Waymo</x:v>
      </x:c>
      <x:c r="F275" s="6" t="str"/>
      <x:c r="G275" s="6" t="str">
        <x:v>Company website</x:v>
      </x:c>
      <x:c r="H275" s="6" t="str">
        <x:v>Public parent; Waymo supplies the autonomous driver and operates the service.</x:v>
      </x:c>
      <x:c r="I275" s="6" t="str">
        <x:v>https://waymo.com/</x:v>
      </x:c>
    </x:row>
    <x:row r="276" ht="15" hidden="0" customHeight="1">
      <x:c r="A276" s="12" t="n">
        <x:v>18</x:v>
      </x:c>
      <x:c r="B276" s="6" t="str">
        <x:v>Robotaxis and autonomous driving</x:v>
      </x:c>
      <x:c r="C276" s="6" t="str">
        <x:v>b18c2</x:v>
      </x:c>
      <x:c r="D276" s="6" t="str">
        <x:v>Amazon / Zoox — official company information</x:v>
      </x:c>
      <x:c r="E276" s="6" t="str">
        <x:v>Amazon / Zoox</x:v>
      </x:c>
      <x:c r="F276" s="6" t="str"/>
      <x:c r="G276" s="6" t="str">
        <x:v>Company website</x:v>
      </x:c>
      <x:c r="H276" s="6" t="str">
        <x:v>Public parent; Zoox develops a purpose-built autonomous taxi.</x:v>
      </x:c>
      <x:c r="I276" s="6" t="str">
        <x:v>https://zoox.com/</x:v>
      </x:c>
    </x:row>
    <x:row r="277" ht="15" hidden="0" customHeight="1">
      <x:c r="A277" s="12" t="n">
        <x:v>18</x:v>
      </x:c>
      <x:c r="B277" s="6" t="str">
        <x:v>Robotaxis and autonomous driving</x:v>
      </x:c>
      <x:c r="C277" s="6" t="str">
        <x:v>b18c3</x:v>
      </x:c>
      <x:c r="D277" s="6" t="str">
        <x:v>Baidu / Apollo Go — official company information</x:v>
      </x:c>
      <x:c r="E277" s="6" t="str">
        <x:v>Baidu / Apollo Go</x:v>
      </x:c>
      <x:c r="F277" s="6" t="str"/>
      <x:c r="G277" s="6" t="str">
        <x:v>Company website</x:v>
      </x:c>
      <x:c r="H277" s="6" t="str">
        <x:v>Autonomous ride service and driving technology in China.</x:v>
      </x:c>
      <x:c r="I277" s="6" t="str">
        <x:v>https://ir.baidu.com/</x:v>
      </x:c>
    </x:row>
    <x:row r="278" ht="15" hidden="0" customHeight="1">
      <x:c r="A278" s="12" t="n">
        <x:v>18</x:v>
      </x:c>
      <x:c r="B278" s="6" t="str">
        <x:v>Robotaxis and autonomous driving</x:v>
      </x:c>
      <x:c r="C278" s="6" t="str">
        <x:v>b18c4</x:v>
      </x:c>
      <x:c r="D278" s="6" t="str">
        <x:v>Pony.ai — official company information</x:v>
      </x:c>
      <x:c r="E278" s="6" t="str">
        <x:v>Pony.ai</x:v>
      </x:c>
      <x:c r="F278" s="6" t="str"/>
      <x:c r="G278" s="6" t="str">
        <x:v>Company website</x:v>
      </x:c>
      <x:c r="H278" s="6" t="str">
        <x:v>Robotaxi fleets and autonomous-driving systems.</x:v>
      </x:c>
      <x:c r="I278" s="6" t="str">
        <x:v>https://ir.pony.ai/</x:v>
      </x:c>
    </x:row>
    <x:row r="279" ht="15" hidden="0" customHeight="1">
      <x:c r="A279" s="12" t="n">
        <x:v>18</x:v>
      </x:c>
      <x:c r="B279" s="6" t="str">
        <x:v>Robotaxis and autonomous driving</x:v>
      </x:c>
      <x:c r="C279" s="6" t="str">
        <x:v>b18c5</x:v>
      </x:c>
      <x:c r="D279" s="6" t="str">
        <x:v>WeRide — official company information</x:v>
      </x:c>
      <x:c r="E279" s="6" t="str">
        <x:v>WeRide</x:v>
      </x:c>
      <x:c r="F279" s="6" t="str"/>
      <x:c r="G279" s="6" t="str">
        <x:v>Company website</x:v>
      </x:c>
      <x:c r="H279" s="6" t="str">
        <x:v>Robotaxi and other autonomous vehicle platforms.</x:v>
      </x:c>
      <x:c r="I279" s="6" t="str">
        <x:v>https://ir.weride.ai/</x:v>
      </x:c>
    </x:row>
    <x:row r="280" ht="15" hidden="0" customHeight="1">
      <x:c r="A280" s="12" t="n">
        <x:v>18</x:v>
      </x:c>
      <x:c r="B280" s="6" t="str">
        <x:v>Robotaxis and autonomous driving</x:v>
      </x:c>
      <x:c r="C280" s="6" t="str">
        <x:v>b18c6</x:v>
      </x:c>
      <x:c r="D280" s="6" t="str">
        <x:v>Mobileye — official company information</x:v>
      </x:c>
      <x:c r="E280" s="6" t="str">
        <x:v>Mobileye</x:v>
      </x:c>
      <x:c r="F280" s="6" t="str"/>
      <x:c r="G280" s="6" t="str">
        <x:v>Company website</x:v>
      </x:c>
      <x:c r="H280" s="6" t="str">
        <x:v>Driver-assistance and autonomous-driving technology; announced its own robotaxi business.</x:v>
      </x:c>
      <x:c r="I280" s="6" t="str">
        <x:v>https://www.mobileye.com/news/mobileye-to-establish-vertically-integrated-robotaxi-business/</x:v>
      </x:c>
    </x:row>
    <x:row r="281" ht="15" hidden="0" customHeight="1">
      <x:c r="A281" s="12" t="n">
        <x:v>18</x:v>
      </x:c>
      <x:c r="B281" s="6" t="str">
        <x:v>Robotaxis and autonomous driving</x:v>
      </x:c>
      <x:c r="C281" s="6" t="str">
        <x:v>b18c7</x:v>
      </x:c>
      <x:c r="D281" s="6" t="str">
        <x:v>Uber — official company information</x:v>
      </x:c>
      <x:c r="E281" s="6" t="str">
        <x:v>Uber</x:v>
      </x:c>
      <x:c r="F281" s="6" t="str"/>
      <x:c r="G281" s="6" t="str">
        <x:v>Company website</x:v>
      </x:c>
      <x:c r="H281" s="6" t="str">
        <x:v>Demand aggregation and fleet partnerships; indirect exposure to autonomy deployments.</x:v>
      </x:c>
      <x:c r="I281" s="6" t="str">
        <x:v>https://investor.uber.com/</x:v>
      </x:c>
    </x:row>
    <x:row r="282" ht="15" hidden="0" customHeight="1">
      <x:c r="A282" s="12" t="n">
        <x:v>18</x:v>
      </x:c>
      <x:c r="B282" s="6" t="str">
        <x:v>Robotaxis and autonomous driving</x:v>
      </x:c>
      <x:c r="C282" s="6" t="str">
        <x:v>b18c8</x:v>
      </x:c>
      <x:c r="D282" s="6" t="str">
        <x:v>NVIDIA — official company information</x:v>
      </x:c>
      <x:c r="E282" s="6" t="str">
        <x:v>NVIDIA</x:v>
      </x:c>
      <x:c r="F282" s="6" t="str"/>
      <x:c r="G282" s="6" t="str">
        <x:v>Company website</x:v>
      </x:c>
      <x:c r="H282" s="6" t="str">
        <x:v>Vehicle compute and development infrastructure; supplier exposure.</x:v>
      </x:c>
      <x:c r="I282" s="6" t="str">
        <x:v>https://www.nvidia.com/en-us/self-driving-cars/</x:v>
      </x:c>
    </x:row>
    <x:row r="283" ht="15" hidden="0" customHeight="1">
      <x:c r="A283" s="12" t="n">
        <x:v>18</x:v>
      </x:c>
      <x:c r="B283" s="6" t="str">
        <x:v>Robotaxis and autonomous driving</x:v>
      </x:c>
      <x:c r="C283" s="6" t="str">
        <x:v>b18c9</x:v>
      </x:c>
      <x:c r="D283" s="6" t="str">
        <x:v>Wayve — official company information</x:v>
      </x:c>
      <x:c r="E283" s="6" t="str">
        <x:v>Wayve</x:v>
      </x:c>
      <x:c r="F283" s="6" t="str"/>
      <x:c r="G283" s="6" t="str">
        <x:v>Company website</x:v>
      </x:c>
      <x:c r="H283" s="6" t="str">
        <x:v>End-to-end driving models sold through vehicle and mobility partnerships.</x:v>
      </x:c>
      <x:c r="I283" s="6" t="str">
        <x:v>https://wayve.ai/</x:v>
      </x:c>
    </x:row>
    <x:row r="284" ht="15" hidden="0" customHeight="1">
      <x:c r="A284" s="12" t="n">
        <x:v>18</x:v>
      </x:c>
      <x:c r="B284" s="6" t="str">
        <x:v>Robotaxis and autonomous driving</x:v>
      </x:c>
      <x:c r="C284" s="6" t="str">
        <x:v>b18c10</x:v>
      </x:c>
      <x:c r="D284" s="6" t="str">
        <x:v>Nuro — official company information</x:v>
      </x:c>
      <x:c r="E284" s="6" t="str">
        <x:v>Nuro</x:v>
      </x:c>
      <x:c r="F284" s="6" t="str"/>
      <x:c r="G284" s="6" t="str">
        <x:v>Company website</x:v>
      </x:c>
      <x:c r="H284" s="6" t="str">
        <x:v>Autonomous driver licensed for partner vehicles and services.</x:v>
      </x:c>
      <x:c r="I284" s="6" t="str">
        <x:v>https://www.nuro.ai/</x:v>
      </x:c>
    </x:row>
    <x:row r="285" ht="15" hidden="0" customHeight="1">
      <x:c r="A285" s="12" t="n">
        <x:v>19</x:v>
      </x:c>
      <x:c r="B285" s="6" t="str">
        <x:v>Autonomous delivery drones</x:v>
      </x:c>
      <x:c r="C285" s="6" t="str">
        <x:v>b19s1</x:v>
      </x:c>
      <x:c r="D285" s="6" t="str">
        <x:v>Recent study explores drone delivery</x:v>
      </x:c>
      <x:c r="E285" s="6" t="str">
        <x:v>Wing</x:v>
      </x:c>
      <x:c r="F285" s="6" t="str"/>
      <x:c r="G285" s="6" t="str">
        <x:v>Company disclosure</x:v>
      </x:c>
      <x:c r="H285" s="6" t="str">
        <x:v>100,000-delivery milestone in 2021.</x:v>
      </x:c>
      <x:c r="I285" s="6" t="str">
        <x:v>https://wing.com/news/recent-study-explores-what-drone</x:v>
      </x:c>
    </x:row>
    <x:row r="286" ht="15" hidden="0" customHeight="1">
      <x:c r="A286" s="12" t="n">
        <x:v>19</x:v>
      </x:c>
      <x:c r="B286" s="6" t="str">
        <x:v>Autonomous delivery drones</x:v>
      </x:c>
      <x:c r="C286" s="6" t="str">
        <x:v>b19s2</x:v>
      </x:c>
      <x:c r="D286" s="6" t="str">
        <x:v>Dispatches from Australia: supermarket delivery</x:v>
      </x:c>
      <x:c r="E286" s="6" t="str">
        <x:v>Wing</x:v>
      </x:c>
      <x:c r="F286" s="6" t="str">
        <x:v>2022-03-01</x:v>
      </x:c>
      <x:c r="G286" s="6" t="str">
        <x:v>Company disclosure</x:v>
      </x:c>
      <x:c r="H286" s="6" t="str">
        <x:v>200,000-delivery milestone in 2022.</x:v>
      </x:c>
      <x:c r="I286" s="6" t="str">
        <x:v>https://wing.com/news/dispatches-from-australia-supermarket</x:v>
      </x:c>
    </x:row>
    <x:row r="287" ht="15" hidden="0" customHeight="1">
      <x:c r="A287" s="12" t="n">
        <x:v>19</x:v>
      </x:c>
      <x:c r="B287" s="6" t="str">
        <x:v>Autonomous delivery drones</x:v>
      </x:c>
      <x:c r="C287" s="6" t="str">
        <x:v>b19s3</x:v>
      </x:c>
      <x:c r="D287" s="6" t="str">
        <x:v>Wing and Walmart expand to seven new markets</x:v>
      </x:c>
      <x:c r="E287" s="6" t="str">
        <x:v>Wing</x:v>
      </x:c>
      <x:c r="F287" s="6" t="str">
        <x:v>2026-06-08</x:v>
      </x:c>
      <x:c r="G287" s="6" t="str">
        <x:v>Company disclosure</x:v>
      </x:c>
      <x:c r="H287" s="6" t="str">
        <x:v>More than one million cumulative commercial deliveries.</x:v>
      </x:c>
      <x:c r="I287" s="6" t="str">
        <x:v>https://wing.com/news/wing-and-walmart-seven-new-markets-drone-delivery</x:v>
      </x:c>
    </x:row>
    <x:row r="288" ht="15" hidden="0" customHeight="1">
      <x:c r="A288" s="12" t="n">
        <x:v>19</x:v>
      </x:c>
      <x:c r="B288" s="6" t="str">
        <x:v>Autonomous delivery drones</x:v>
      </x:c>
      <x:c r="C288" s="6" t="str">
        <x:v>b19s4</x:v>
      </x:c>
      <x:c r="D288" s="6" t="str">
        <x:v>The Wing Delivery Network</x:v>
      </x:c>
      <x:c r="E288" s="6" t="str">
        <x:v>Wing</x:v>
      </x:c>
      <x:c r="F288" s="6" t="str"/>
      <x:c r="G288" s="6" t="str">
        <x:v>Company disclosure</x:v>
      </x:c>
      <x:c r="H288" s="6" t="str">
        <x:v>Network architecture announced in 2023.</x:v>
      </x:c>
      <x:c r="I288" s="6" t="str">
        <x:v>https://wing.com/news/the-wing-delivery-network</x:v>
      </x:c>
    </x:row>
    <x:row r="289" ht="15" hidden="0" customHeight="1">
      <x:c r="A289" s="12" t="n">
        <x:v>19</x:v>
      </x:c>
      <x:c r="B289" s="6" t="str">
        <x:v>Autonomous delivery drones</x:v>
      </x:c>
      <x:c r="C289" s="6" t="str">
        <x:v>b19s5</x:v>
      </x:c>
      <x:c r="D289" s="6" t="str">
        <x:v>Wing and Walmart announce major drone delivery expansion</x:v>
      </x:c>
      <x:c r="E289" s="6" t="str">
        <x:v>Wing</x:v>
      </x:c>
      <x:c r="F289" s="6" t="str">
        <x:v>2025-06-05</x:v>
      </x:c>
      <x:c r="G289" s="6" t="str">
        <x:v>Company disclosure</x:v>
      </x:c>
      <x:c r="H289" s="6" t="str">
        <x:v>Expansion announced into five metropolitan areas.</x:v>
      </x:c>
      <x:c r="I289" s="6" t="str">
        <x:v>https://wing.com/news/wing-and-walmart-announce-world-s-largest-drone-delivery-expansion-ever</x:v>
      </x:c>
    </x:row>
    <x:row r="290" ht="15" hidden="0" customHeight="1">
      <x:c r="A290" s="12" t="n">
        <x:v>19</x:v>
      </x:c>
      <x:c r="B290" s="6" t="str">
        <x:v>Autonomous delivery drones</x:v>
      </x:c>
      <x:c r="C290" s="6" t="str">
        <x:v>b19c1</x:v>
      </x:c>
      <x:c r="D290" s="6" t="str">
        <x:v>Alphabet / Wing — official company information</x:v>
      </x:c>
      <x:c r="E290" s="6" t="str">
        <x:v>Alphabet / Wing</x:v>
      </x:c>
      <x:c r="F290" s="6" t="str"/>
      <x:c r="G290" s="6" t="str">
        <x:v>Company website</x:v>
      </x:c>
      <x:c r="H290" s="6" t="str">
        <x:v>Public parent; Wing operates automated retail delivery aircraft and networks.</x:v>
      </x:c>
      <x:c r="I290" s="6" t="str">
        <x:v>https://wing.com/about</x:v>
      </x:c>
    </x:row>
    <x:row r="291" ht="15" hidden="0" customHeight="1">
      <x:c r="A291" s="12" t="n">
        <x:v>19</x:v>
      </x:c>
      <x:c r="B291" s="6" t="str">
        <x:v>Autonomous delivery drones</x:v>
      </x:c>
      <x:c r="C291" s="6" t="str">
        <x:v>b19c2</x:v>
      </x:c>
      <x:c r="D291" s="6" t="str">
        <x:v>Amazon / Prime Air — official company information</x:v>
      </x:c>
      <x:c r="E291" s="6" t="str">
        <x:v>Amazon / Prime Air</x:v>
      </x:c>
      <x:c r="F291" s="6" t="str"/>
      <x:c r="G291" s="6" t="str">
        <x:v>Company website</x:v>
      </x:c>
      <x:c r="H291" s="6" t="str">
        <x:v>Public parent; drone delivery integrated with Amazon retail fulfilment.</x:v>
      </x:c>
      <x:c r="I291" s="6" t="str">
        <x:v>https://www.aboutamazon.com/news/tag/drone-delivery</x:v>
      </x:c>
    </x:row>
    <x:row r="292" ht="15" hidden="0" customHeight="1">
      <x:c r="A292" s="12" t="n">
        <x:v>19</x:v>
      </x:c>
      <x:c r="B292" s="6" t="str">
        <x:v>Autonomous delivery drones</x:v>
      </x:c>
      <x:c r="C292" s="6" t="str">
        <x:v>b19c3</x:v>
      </x:c>
      <x:c r="D292" s="6" t="str">
        <x:v>Walmart — official company information</x:v>
      </x:c>
      <x:c r="E292" s="6" t="str">
        <x:v>Walmart</x:v>
      </x:c>
      <x:c r="F292" s="6" t="str"/>
      <x:c r="G292" s="6" t="str">
        <x:v>Company website</x:v>
      </x:c>
      <x:c r="H292" s="6" t="str">
        <x:v>Retail demand and store network partner; indirect logistics exposure.</x:v>
      </x:c>
      <x:c r="I292" s="6" t="str">
        <x:v>https://corporate.walmart.com/</x:v>
      </x:c>
    </x:row>
    <x:row r="293" ht="15" hidden="0" customHeight="1">
      <x:c r="A293" s="12" t="n">
        <x:v>19</x:v>
      </x:c>
      <x:c r="B293" s="6" t="str">
        <x:v>Autonomous delivery drones</x:v>
      </x:c>
      <x:c r="C293" s="6" t="str">
        <x:v>b19c4</x:v>
      </x:c>
      <x:c r="D293" s="6" t="str">
        <x:v>UPS / Flight Forward — official company information</x:v>
      </x:c>
      <x:c r="E293" s="6" t="str">
        <x:v>UPS / Flight Forward</x:v>
      </x:c>
      <x:c r="F293" s="6" t="str"/>
      <x:c r="G293" s="6" t="str">
        <x:v>Company website</x:v>
      </x:c>
      <x:c r="H293" s="6" t="str">
        <x:v>Public parent; specialist drone delivery and logistics integration.</x:v>
      </x:c>
      <x:c r="I293" s="6" t="str">
        <x:v>https://about.ups.com/</x:v>
      </x:c>
    </x:row>
    <x:row r="294" ht="15" hidden="0" customHeight="1">
      <x:c r="A294" s="12" t="n">
        <x:v>19</x:v>
      </x:c>
      <x:c r="B294" s="6" t="str">
        <x:v>Autonomous delivery drones</x:v>
      </x:c>
      <x:c r="C294" s="6" t="str">
        <x:v>b19c5</x:v>
      </x:c>
      <x:c r="D294" s="6" t="str">
        <x:v>DoorDash — official company information</x:v>
      </x:c>
      <x:c r="E294" s="6" t="str">
        <x:v>DoorDash</x:v>
      </x:c>
      <x:c r="F294" s="6" t="str"/>
      <x:c r="G294" s="6" t="str">
        <x:v>Company website</x:v>
      </x:c>
      <x:c r="H294" s="6" t="str">
        <x:v>Customer ordering and delivery orchestration; partner rather than aircraft manufacturer.</x:v>
      </x:c>
      <x:c r="I294" s="6" t="str">
        <x:v>https://ir.doordash.com/</x:v>
      </x:c>
    </x:row>
    <x:row r="295" ht="15" hidden="0" customHeight="1">
      <x:c r="A295" s="12" t="n">
        <x:v>19</x:v>
      </x:c>
      <x:c r="B295" s="6" t="str">
        <x:v>Autonomous delivery drones</x:v>
      </x:c>
      <x:c r="C295" s="6" t="str">
        <x:v>b19c6</x:v>
      </x:c>
      <x:c r="D295" s="6" t="str">
        <x:v>Meituan — official company information</x:v>
      </x:c>
      <x:c r="E295" s="6" t="str">
        <x:v>Meituan</x:v>
      </x:c>
      <x:c r="F295" s="6" t="str"/>
      <x:c r="G295" s="6" t="str">
        <x:v>Company website</x:v>
      </x:c>
      <x:c r="H295" s="6" t="str">
        <x:v>Retail drone logistics and local commerce demand in China.</x:v>
      </x:c>
      <x:c r="I295" s="6" t="str">
        <x:v>https://about.meituan.com/en</x:v>
      </x:c>
    </x:row>
    <x:row r="296" ht="15" hidden="0" customHeight="1">
      <x:c r="A296" s="12" t="n">
        <x:v>19</x:v>
      </x:c>
      <x:c r="B296" s="6" t="str">
        <x:v>Autonomous delivery drones</x:v>
      </x:c>
      <x:c r="C296" s="6" t="str">
        <x:v>b19c7</x:v>
      </x:c>
      <x:c r="D296" s="6" t="str">
        <x:v>Zipline — official company information</x:v>
      </x:c>
      <x:c r="E296" s="6" t="str">
        <x:v>Zipline</x:v>
      </x:c>
      <x:c r="F296" s="6" t="str"/>
      <x:c r="G296" s="6" t="str">
        <x:v>Company website</x:v>
      </x:c>
      <x:c r="H296" s="6" t="str">
        <x:v>Autonomous aircraft and fulfilment systems for medical and retail delivery.</x:v>
      </x:c>
      <x:c r="I296" s="6" t="str">
        <x:v>https://www.flyzipline.com/</x:v>
      </x:c>
    </x:row>
    <x:row r="297" ht="15" hidden="0" customHeight="1">
      <x:c r="A297" s="12" t="n">
        <x:v>19</x:v>
      </x:c>
      <x:c r="B297" s="6" t="str">
        <x:v>Autonomous delivery drones</x:v>
      </x:c>
      <x:c r="C297" s="6" t="str">
        <x:v>b19c8</x:v>
      </x:c>
      <x:c r="D297" s="6" t="str">
        <x:v>Manna — official company information</x:v>
      </x:c>
      <x:c r="E297" s="6" t="str">
        <x:v>Manna</x:v>
      </x:c>
      <x:c r="F297" s="6" t="str"/>
      <x:c r="G297" s="6" t="str">
        <x:v>Company website</x:v>
      </x:c>
      <x:c r="H297" s="6" t="str">
        <x:v>Suburban food and retail delivery drone service.</x:v>
      </x:c>
      <x:c r="I297" s="6" t="str">
        <x:v>https://www.manna.aero/</x:v>
      </x:c>
    </x:row>
    <x:row r="298" ht="15" hidden="0" customHeight="1">
      <x:c r="A298" s="12" t="n">
        <x:v>19</x:v>
      </x:c>
      <x:c r="B298" s="6" t="str">
        <x:v>Autonomous delivery drones</x:v>
      </x:c>
      <x:c r="C298" s="6" t="str">
        <x:v>b19c9</x:v>
      </x:c>
      <x:c r="D298" s="6" t="str">
        <x:v>Flytrex — official company information</x:v>
      </x:c>
      <x:c r="E298" s="6" t="str">
        <x:v>Flytrex</x:v>
      </x:c>
      <x:c r="F298" s="6" t="str"/>
      <x:c r="G298" s="6" t="str">
        <x:v>Company website</x:v>
      </x:c>
      <x:c r="H298" s="6" t="str">
        <x:v>On-demand drone delivery network and aircraft integration.</x:v>
      </x:c>
      <x:c r="I298" s="6" t="str">
        <x:v>https://www.flytrex.com/</x:v>
      </x:c>
    </x:row>
    <x:row r="299" ht="15" hidden="0" customHeight="1">
      <x:c r="A299" s="12" t="n">
        <x:v>19</x:v>
      </x:c>
      <x:c r="B299" s="6" t="str">
        <x:v>Autonomous delivery drones</x:v>
      </x:c>
      <x:c r="C299" s="6" t="str">
        <x:v>b19c10</x:v>
      </x:c>
      <x:c r="D299" s="6" t="str">
        <x:v>A2Z Drone Delivery — official company information</x:v>
      </x:c>
      <x:c r="E299" s="6" t="str">
        <x:v>A2Z Drone Delivery</x:v>
      </x:c>
      <x:c r="F299" s="6" t="str"/>
      <x:c r="G299" s="6" t="str">
        <x:v>Company website</x:v>
      </x:c>
      <x:c r="H299" s="6" t="str">
        <x:v>Delivery aircraft and payload-lowering equipment for operators.</x:v>
      </x:c>
      <x:c r="I299" s="6" t="str">
        <x:v>https://www.a2zdronedelivery.com/</x:v>
      </x:c>
    </x:row>
    <x:row r="300" ht="15" hidden="0" customHeight="1">
      <x:c r="A300" s="12" t="n">
        <x:v>19</x:v>
      </x:c>
      <x:c r="B300" s="6" t="str">
        <x:v>Autonomous delivery drones</x:v>
      </x:c>
      <x:c r="C300" s="6" t="str">
        <x:v>b19s6</x:v>
      </x:c>
      <x:c r="D300" s="6" t="str">
        <x:v>Wing and Walmart name new metros for delivery network</x:v>
      </x:c>
      <x:c r="E300" s="6" t="str">
        <x:v>Wing</x:v>
      </x:c>
      <x:c r="F300" s="6" t="str">
        <x:v>2026-10-05</x:v>
      </x:c>
      <x:c r="G300" s="6" t="str">
        <x:v>Company disclosure</x:v>
      </x:c>
      <x:c r="H300" s="6" t="str">
        <x:v>2027 Denver/Seattle expansion and a plan for more than 270 Walmart locations.</x:v>
      </x:c>
      <x:c r="I300" s="6" t="str">
        <x:v>https://wing.com/news/wing-walmart-new-metros-nations-largest-drone-delivery-network</x:v>
      </x:c>
    </x:row>
    <x:row r="301" ht="15" hidden="0" customHeight="1">
      <x:c r="A301" s="12" t="n">
        <x:v>20</x:v>
      </x:c>
      <x:c r="B301" s="6" t="str">
        <x:v>Software-defined vehicles</x:v>
      </x:c>
      <x:c r="C301" s="6" t="str">
        <x:v>b20s1</x:v>
      </x:c>
      <x:c r="D301" s="6" t="str">
        <x:v>QNX software embedded in over 195 million vehicles</x:v>
      </x:c>
      <x:c r="E301" s="6" t="str">
        <x:v>BlackBerry</x:v>
      </x:c>
      <x:c r="F301" s="6" t="str">
        <x:v>2021-06-21</x:v>
      </x:c>
      <x:c r="G301" s="6" t="str">
        <x:v>Company disclosure</x:v>
      </x:c>
      <x:c r="H301" s="6" t="str">
        <x:v>QNX installed-base milestone.</x:v>
      </x:c>
      <x:c r="I301" s="6" t="str">
        <x:v>https://www.prnewswire.com/news-releases/blackberry-qnx-software-is-now-embedded-in-over-195-million-vehicles-301315834.html</x:v>
      </x:c>
    </x:row>
    <x:row r="302" ht="15" hidden="0" customHeight="1">
      <x:c r="A302" s="12" t="n">
        <x:v>20</x:v>
      </x:c>
      <x:c r="B302" s="6" t="str">
        <x:v>Software-defined vehicles</x:v>
      </x:c>
      <x:c r="C302" s="6" t="str">
        <x:v>b20s2</x:v>
      </x:c>
      <x:c r="D302" s="6" t="str">
        <x:v>Third-quarter fiscal 2026 results</x:v>
      </x:c>
      <x:c r="E302" s="6" t="str">
        <x:v>BlackBerry / SEC</x:v>
      </x:c>
      <x:c r="F302" s="6" t="str">
        <x:v>2025-12-18</x:v>
      </x:c>
      <x:c r="G302" s="6" t="str">
        <x:v>Regulatory filing</x:v>
      </x:c>
      <x:c r="H302" s="6" t="str">
        <x:v>275-million-vehicle installed base.</x:v>
      </x:c>
      <x:c r="I302" s="6" t="str">
        <x:v>https://www.sec.gov/Archives/edgar/data/1070235/000107023525000196/q3fy26ex-991.htm</x:v>
      </x:c>
    </x:row>
    <x:row r="303" ht="15" hidden="0" customHeight="1">
      <x:c r="A303" s="12" t="n">
        <x:v>20</x:v>
      </x:c>
      <x:c r="B303" s="6" t="str">
        <x:v>Software-defined vehicles</x:v>
      </x:c>
      <x:c r="C303" s="6" t="str">
        <x:v>b20s3</x:v>
      </x:c>
      <x:c r="D303" s="6" t="str">
        <x:v>QNX technology to help drive BMW Group software-defined vehicles</x:v>
      </x:c>
      <x:c r="E303" s="6" t="str">
        <x:v>QNX</x:v>
      </x:c>
      <x:c r="F303" s="6" t="str">
        <x:v>2026-01-06</x:v>
      </x:c>
      <x:c r="G303" s="6" t="str">
        <x:v>Company disclosure</x:v>
      </x:c>
      <x:c r="H303" s="6" t="str">
        <x:v>BMW next-generation platform relationship and QNX vehicle base.</x:v>
      </x:c>
      <x:c r="I303" s="6" t="str">
        <x:v>https://qnx.software/en/press-release/2026/qnx-technology-to-help-drive-bmw-group-s-next-generation-of-software-defined-vehicles</x:v>
      </x:c>
    </x:row>
    <x:row r="304" ht="15" hidden="0" customHeight="1">
      <x:c r="A304" s="12" t="n">
        <x:v>20</x:v>
      </x:c>
      <x:c r="B304" s="6" t="str">
        <x:v>Software-defined vehicles</x:v>
      </x:c>
      <x:c r="C304" s="6" t="str">
        <x:v>b20s4</x:v>
      </x:c>
      <x:c r="D304" s="6" t="str">
        <x:v>Quarterly filing for period ended August 31, 2026</x:v>
      </x:c>
      <x:c r="E304" s="6" t="str">
        <x:v>BlackBerry / SEC</x:v>
      </x:c>
      <x:c r="F304" s="6" t="str"/>
      <x:c r="G304" s="6" t="str">
        <x:v>Regulatory filing</x:v>
      </x:c>
      <x:c r="H304" s="6" t="str">
        <x:v>Current QNX installed-base and automotive business context.</x:v>
      </x:c>
      <x:c r="I304" s="6" t="str">
        <x:v>https://www.sec.gov/Archives/edgar/data/1070235/000107023526000115/bbry-20260831.htm</x:v>
      </x:c>
    </x:row>
    <x:row r="305" ht="15" hidden="0" customHeight="1">
      <x:c r="A305" s="12" t="n">
        <x:v>20</x:v>
      </x:c>
      <x:c r="B305" s="6" t="str">
        <x:v>Software-defined vehicles</x:v>
      </x:c>
      <x:c r="C305" s="6" t="str">
        <x:v>b20c1</x:v>
      </x:c>
      <x:c r="D305" s="6" t="str">
        <x:v>BlackBerry / QNX — official company information</x:v>
      </x:c>
      <x:c r="E305" s="6" t="str">
        <x:v>BlackBerry / QNX</x:v>
      </x:c>
      <x:c r="F305" s="6" t="str"/>
      <x:c r="G305" s="6" t="str">
        <x:v>Company website</x:v>
      </x:c>
      <x:c r="H305" s="6" t="str">
        <x:v>Safety-oriented vehicle operating systems and middleware.</x:v>
      </x:c>
      <x:c r="I305" s="6" t="str">
        <x:v>https://qnx.software/</x:v>
      </x:c>
    </x:row>
    <x:row r="306" ht="15" hidden="0" customHeight="1">
      <x:c r="A306" s="12" t="n">
        <x:v>20</x:v>
      </x:c>
      <x:c r="B306" s="6" t="str">
        <x:v>Software-defined vehicles</x:v>
      </x:c>
      <x:c r="C306" s="6" t="str">
        <x:v>b20c2</x:v>
      </x:c>
      <x:c r="D306" s="6" t="str">
        <x:v>Qualcomm — official company information</x:v>
      </x:c>
      <x:c r="E306" s="6" t="str">
        <x:v>Qualcomm</x:v>
      </x:c>
      <x:c r="F306" s="6" t="str"/>
      <x:c r="G306" s="6" t="str">
        <x:v>Company website</x:v>
      </x:c>
      <x:c r="H306" s="6" t="str">
        <x:v>Cockpit, connectivity and driver-assistance compute platforms.</x:v>
      </x:c>
      <x:c r="I306" s="6" t="str">
        <x:v>https://www.qualcomm.com/products/automotive</x:v>
      </x:c>
    </x:row>
    <x:row r="307" ht="15" hidden="0" customHeight="1">
      <x:c r="A307" s="12" t="n">
        <x:v>20</x:v>
      </x:c>
      <x:c r="B307" s="6" t="str">
        <x:v>Software-defined vehicles</x:v>
      </x:c>
      <x:c r="C307" s="6" t="str">
        <x:v>b20c3</x:v>
      </x:c>
      <x:c r="D307" s="6" t="str">
        <x:v>NVIDIA — official company information</x:v>
      </x:c>
      <x:c r="E307" s="6" t="str">
        <x:v>NVIDIA</x:v>
      </x:c>
      <x:c r="F307" s="6" t="str"/>
      <x:c r="G307" s="6" t="str">
        <x:v>Company website</x:v>
      </x:c>
      <x:c r="H307" s="6" t="str">
        <x:v>Automotive computing and development software.</x:v>
      </x:c>
      <x:c r="I307" s="6" t="str">
        <x:v>https://www.nvidia.com/en-us/self-driving-cars/</x:v>
      </x:c>
    </x:row>
    <x:row r="308" ht="15" hidden="0" customHeight="1">
      <x:c r="A308" s="12" t="n">
        <x:v>20</x:v>
      </x:c>
      <x:c r="B308" s="6" t="str">
        <x:v>Software-defined vehicles</x:v>
      </x:c>
      <x:c r="C308" s="6" t="str">
        <x:v>b20c4</x:v>
      </x:c>
      <x:c r="D308" s="6" t="str">
        <x:v>NXP Semiconductors — official company information</x:v>
      </x:c>
      <x:c r="E308" s="6" t="str">
        <x:v>NXP Semiconductors</x:v>
      </x:c>
      <x:c r="F308" s="6" t="str"/>
      <x:c r="G308" s="6" t="str">
        <x:v>Company website</x:v>
      </x:c>
      <x:c r="H308" s="6" t="str">
        <x:v>Vehicle processors, networks and zonal control electronics.</x:v>
      </x:c>
      <x:c r="I308" s="6" t="str">
        <x:v>https://www.nxp.com/applications/automotive:AUTOMOTIVE</x:v>
      </x:c>
    </x:row>
    <x:row r="309" ht="15" hidden="0" customHeight="1">
      <x:c r="A309" s="12" t="n">
        <x:v>20</x:v>
      </x:c>
      <x:c r="B309" s="6" t="str">
        <x:v>Software-defined vehicles</x:v>
      </x:c>
      <x:c r="C309" s="6" t="str">
        <x:v>b20c5</x:v>
      </x:c>
      <x:c r="D309" s="6" t="str">
        <x:v>Arm — official company information</x:v>
      </x:c>
      <x:c r="E309" s="6" t="str">
        <x:v>Arm</x:v>
      </x:c>
      <x:c r="F309" s="6" t="str"/>
      <x:c r="G309" s="6" t="str">
        <x:v>Company website</x:v>
      </x:c>
      <x:c r="H309" s="6" t="str">
        <x:v>Processor architecture licensed into automotive chips.</x:v>
      </x:c>
      <x:c r="I309" s="6" t="str">
        <x:v>https://www.arm.com/markets/automotive</x:v>
      </x:c>
    </x:row>
    <x:row r="310" ht="15" hidden="0" customHeight="1">
      <x:c r="A310" s="12" t="n">
        <x:v>20</x:v>
      </x:c>
      <x:c r="B310" s="6" t="str">
        <x:v>Software-defined vehicles</x:v>
      </x:c>
      <x:c r="C310" s="6" t="str">
        <x:v>b20c6</x:v>
      </x:c>
      <x:c r="D310" s="6" t="str">
        <x:v>Rivian — official company information</x:v>
      </x:c>
      <x:c r="E310" s="6" t="str">
        <x:v>Rivian</x:v>
      </x:c>
      <x:c r="F310" s="6" t="str"/>
      <x:c r="G310" s="6" t="str">
        <x:v>Company website</x:v>
      </x:c>
      <x:c r="H310" s="6" t="str">
        <x:v>Vehicle software and electrical architecture, including partnership licensing.</x:v>
      </x:c>
      <x:c r="I310" s="6" t="str">
        <x:v>https://rivian.com/</x:v>
      </x:c>
    </x:row>
    <x:row r="311" ht="15" hidden="0" customHeight="1">
      <x:c r="A311" s="12" t="n">
        <x:v>20</x:v>
      </x:c>
      <x:c r="B311" s="6" t="str">
        <x:v>Software-defined vehicles</x:v>
      </x:c>
      <x:c r="C311" s="6" t="str">
        <x:v>b20c7</x:v>
      </x:c>
      <x:c r="D311" s="6" t="str">
        <x:v>Volkswagen Group — official company information</x:v>
      </x:c>
      <x:c r="E311" s="6" t="str">
        <x:v>Volkswagen Group</x:v>
      </x:c>
      <x:c r="F311" s="6" t="str"/>
      <x:c r="G311" s="6" t="str">
        <x:v>Company website</x:v>
      </x:c>
      <x:c r="H311" s="6" t="str">
        <x:v>Vehicle platform demand and software architecture deployment.</x:v>
      </x:c>
      <x:c r="I311" s="6" t="str">
        <x:v>https://www.volkswagen-group.com/</x:v>
      </x:c>
    </x:row>
    <x:row r="312" ht="15" hidden="0" customHeight="1">
      <x:c r="A312" s="12" t="n">
        <x:v>20</x:v>
      </x:c>
      <x:c r="B312" s="6" t="str">
        <x:v>Software-defined vehicles</x:v>
      </x:c>
      <x:c r="C312" s="6" t="str">
        <x:v>b20c8</x:v>
      </x:c>
      <x:c r="D312" s="6" t="str">
        <x:v>Bosch — official company information</x:v>
      </x:c>
      <x:c r="E312" s="6" t="str">
        <x:v>Bosch</x:v>
      </x:c>
      <x:c r="F312" s="6" t="str"/>
      <x:c r="G312" s="6" t="str">
        <x:v>Company website</x:v>
      </x:c>
      <x:c r="H312" s="6" t="str">
        <x:v>Automotive controllers, middleware and software engineering.</x:v>
      </x:c>
      <x:c r="I312" s="6" t="str">
        <x:v>https://www.bosch-mobility.com/</x:v>
      </x:c>
    </x:row>
    <x:row r="313" ht="15" hidden="0" customHeight="1">
      <x:c r="A313" s="12" t="n">
        <x:v>20</x:v>
      </x:c>
      <x:c r="B313" s="6" t="str">
        <x:v>Software-defined vehicles</x:v>
      </x:c>
      <x:c r="C313" s="6" t="str">
        <x:v>b20c9</x:v>
      </x:c>
      <x:c r="D313" s="6" t="str">
        <x:v>Applied Intuition — official company information</x:v>
      </x:c>
      <x:c r="E313" s="6" t="str">
        <x:v>Applied Intuition</x:v>
      </x:c>
      <x:c r="F313" s="6" t="str"/>
      <x:c r="G313" s="6" t="str">
        <x:v>Company website</x:v>
      </x:c>
      <x:c r="H313" s="6" t="str">
        <x:v>Vehicle software, simulation and validation platform.</x:v>
      </x:c>
      <x:c r="I313" s="6" t="str">
        <x:v>https://www.appliedintuition.com/</x:v>
      </x:c>
    </x:row>
    <x:row r="314" ht="15" hidden="0" customHeight="1">
      <x:c r="A314" s="12" t="n">
        <x:v>20</x:v>
      </x:c>
      <x:c r="B314" s="6" t="str">
        <x:v>Software-defined vehicles</x:v>
      </x:c>
      <x:c r="C314" s="6" t="str">
        <x:v>b20c10</x:v>
      </x:c>
      <x:c r="D314" s="6" t="str">
        <x:v>Vector Informatik — official company information</x:v>
      </x:c>
      <x:c r="E314" s="6" t="str">
        <x:v>Vector Informatik</x:v>
      </x:c>
      <x:c r="F314" s="6" t="str"/>
      <x:c r="G314" s="6" t="str">
        <x:v>Company website</x:v>
      </x:c>
      <x:c r="H314" s="6" t="str">
        <x:v>Automotive embedded software and development tools.</x:v>
      </x:c>
      <x:c r="I314" s="6" t="str">
        <x:v>https://www.vector.com/</x:v>
      </x:c>
    </x:row>
    <x:row r="315" ht="15" hidden="0" customHeight="1">
      <x:c r="A315" s="12" t="n">
        <x:v>21</x:v>
      </x:c>
      <x:c r="B315" s="6" t="str">
        <x:v>AI diagnostics and clinical copilots</x:v>
      </x:c>
      <x:c r="C315" s="6" t="str">
        <x:v>b21s1</x:v>
      </x:c>
      <x:c r="D315" s="6" t="str">
        <x:v>AI usage among doctors doubles as confidence grows</x:v>
      </x:c>
      <x:c r="E315" s="6" t="str">
        <x:v>American Medical Association</x:v>
      </x:c>
      <x:c r="F315" s="6" t="str">
        <x:v>2026-03-12</x:v>
      </x:c>
      <x:c r="G315" s="6" t="str">
        <x:v>Association survey</x:v>
      </x:c>
      <x:c r="H315" s="6" t="str">
        <x:v>38% in 2023 and 81% in the 2026 release; professional use, not autonomous diagnosis.</x:v>
      </x:c>
      <x:c r="I315" s="6" t="str">
        <x:v>https://www.ama-assn.org/press-center/ama-press-releases/ama-ai-usage-among-doctors-doubles-confidence-technology-grows</x:v>
      </x:c>
    </x:row>
    <x:row r="316" ht="15" hidden="0" customHeight="1">
      <x:c r="A316" s="12" t="n">
        <x:v>21</x:v>
      </x:c>
      <x:c r="B316" s="6" t="str">
        <x:v>AI diagnostics and clinical copilots</x:v>
      </x:c>
      <x:c r="C316" s="6" t="str">
        <x:v>b21s2</x:v>
      </x:c>
      <x:c r="D316" s="6" t="str">
        <x:v>Physician enthusiasm grows for health care AI</x:v>
      </x:c>
      <x:c r="E316" s="6" t="str">
        <x:v>American Medical Association</x:v>
      </x:c>
      <x:c r="F316" s="6" t="str"/>
      <x:c r="G316" s="6" t="str">
        <x:v>Association survey</x:v>
      </x:c>
      <x:c r="H316" s="6" t="str">
        <x:v>66% use in the 2024 survey wave.</x:v>
      </x:c>
      <x:c r="I316" s="6" t="str">
        <x:v>https://www.ama-assn.org/press-center/ama-press-releases/ama-physician-enthusiasm-grows-health-care-ai</x:v>
      </x:c>
    </x:row>
    <x:row r="317" ht="15" hidden="0" customHeight="1">
      <x:c r="A317" s="12" t="n">
        <x:v>21</x:v>
      </x:c>
      <x:c r="B317" s="6" t="str">
        <x:v>AI diagnostics and clinical copilots</x:v>
      </x:c>
      <x:c r="C317" s="6" t="str">
        <x:v>b21s3</x:v>
      </x:c>
      <x:c r="D317" s="6" t="str">
        <x:v>List of AI-enabled medical devices</x:v>
      </x:c>
      <x:c r="E317" s="6" t="str">
        <x:v>US FDA</x:v>
      </x:c>
      <x:c r="F317" s="6" t="str"/>
      <x:c r="G317" s="6" t="str">
        <x:v>Regulatory database</x:v>
      </x:c>
      <x:c r="H317" s="6" t="str">
        <x:v>Authorised device list; authorisation is not proof of broad clinical adoption.</x:v>
      </x:c>
      <x:c r="I317" s="6" t="str">
        <x:v>https://www.fda.gov/medical-devices/artificial-intelligence-enabled-medical-devices/list-artificial-intelligence-enabled-medical-devices</x:v>
      </x:c>
    </x:row>
    <x:row r="318" ht="15" hidden="0" customHeight="1">
      <x:c r="A318" s="12" t="n">
        <x:v>21</x:v>
      </x:c>
      <x:c r="B318" s="6" t="str">
        <x:v>AI diagnostics and clinical copilots</x:v>
      </x:c>
      <x:c r="C318" s="6" t="str">
        <x:v>b21c1</x:v>
      </x:c>
      <x:c r="D318" s="6" t="str">
        <x:v>Microsoft — official company information</x:v>
      </x:c>
      <x:c r="E318" s="6" t="str">
        <x:v>Microsoft</x:v>
      </x:c>
      <x:c r="F318" s="6" t="str"/>
      <x:c r="G318" s="6" t="str">
        <x:v>Company website</x:v>
      </x:c>
      <x:c r="H318" s="6" t="str">
        <x:v>Clinical documentation, healthcare cloud and AI copilots.</x:v>
      </x:c>
      <x:c r="I318" s="6" t="str">
        <x:v>https://www.microsoft.com/en-us/industry/health/microsoft-cloud-for-healthcare</x:v>
      </x:c>
    </x:row>
    <x:row r="319" ht="15" hidden="0" customHeight="1">
      <x:c r="A319" s="12" t="n">
        <x:v>21</x:v>
      </x:c>
      <x:c r="B319" s="6" t="str">
        <x:v>AI diagnostics and clinical copilots</x:v>
      </x:c>
      <x:c r="C319" s="6" t="str">
        <x:v>b21c2</x:v>
      </x:c>
      <x:c r="D319" s="6" t="str">
        <x:v>Oracle — official company information</x:v>
      </x:c>
      <x:c r="E319" s="6" t="str">
        <x:v>Oracle</x:v>
      </x:c>
      <x:c r="F319" s="6" t="str"/>
      <x:c r="G319" s="6" t="str">
        <x:v>Company website</x:v>
      </x:c>
      <x:c r="H319" s="6" t="str">
        <x:v>Electronic health records and embedded clinical AI.</x:v>
      </x:c>
      <x:c r="I319" s="6" t="str">
        <x:v>https://www.oracle.com/health/</x:v>
      </x:c>
    </x:row>
    <x:row r="320" ht="15" hidden="0" customHeight="1">
      <x:c r="A320" s="12" t="n">
        <x:v>21</x:v>
      </x:c>
      <x:c r="B320" s="6" t="str">
        <x:v>AI diagnostics and clinical copilots</x:v>
      </x:c>
      <x:c r="C320" s="6" t="str">
        <x:v>b21c3</x:v>
      </x:c>
      <x:c r="D320" s="6" t="str">
        <x:v>GE HealthCare — official company information</x:v>
      </x:c>
      <x:c r="E320" s="6" t="str">
        <x:v>GE HealthCare</x:v>
      </x:c>
      <x:c r="F320" s="6" t="str"/>
      <x:c r="G320" s="6" t="str">
        <x:v>Company website</x:v>
      </x:c>
      <x:c r="H320" s="6" t="str">
        <x:v>Imaging devices, workflow software and diagnostic AI.</x:v>
      </x:c>
      <x:c r="I320" s="6" t="str">
        <x:v>https://www.gehealthcare.com/</x:v>
      </x:c>
    </x:row>
    <x:row r="321" ht="15" hidden="0" customHeight="1">
      <x:c r="A321" s="12" t="n">
        <x:v>21</x:v>
      </x:c>
      <x:c r="B321" s="6" t="str">
        <x:v>AI diagnostics and clinical copilots</x:v>
      </x:c>
      <x:c r="C321" s="6" t="str">
        <x:v>b21c4</x:v>
      </x:c>
      <x:c r="D321" s="6" t="str">
        <x:v>Siemens Healthineers — official company information</x:v>
      </x:c>
      <x:c r="E321" s="6" t="str">
        <x:v>Siemens Healthineers</x:v>
      </x:c>
      <x:c r="F321" s="6" t="str"/>
      <x:c r="G321" s="6" t="str">
        <x:v>Company website</x:v>
      </x:c>
      <x:c r="H321" s="6" t="str">
        <x:v>Diagnostic imaging and clinical AI software.</x:v>
      </x:c>
      <x:c r="I321" s="6" t="str">
        <x:v>https://www.siemens-healthineers.com/</x:v>
      </x:c>
    </x:row>
    <x:row r="322" ht="15" hidden="0" customHeight="1">
      <x:c r="A322" s="12" t="n">
        <x:v>21</x:v>
      </x:c>
      <x:c r="B322" s="6" t="str">
        <x:v>AI diagnostics and clinical copilots</x:v>
      </x:c>
      <x:c r="C322" s="6" t="str">
        <x:v>b21c5</x:v>
      </x:c>
      <x:c r="D322" s="6" t="str">
        <x:v>Philips — official company information</x:v>
      </x:c>
      <x:c r="E322" s="6" t="str">
        <x:v>Philips</x:v>
      </x:c>
      <x:c r="F322" s="6" t="str"/>
      <x:c r="G322" s="6" t="str">
        <x:v>Company website</x:v>
      </x:c>
      <x:c r="H322" s="6" t="str">
        <x:v>Imaging, monitoring and clinical informatics.</x:v>
      </x:c>
      <x:c r="I322" s="6" t="str">
        <x:v>https://www.philips.com/healthcare</x:v>
      </x:c>
    </x:row>
    <x:row r="323" ht="15" hidden="0" customHeight="1">
      <x:c r="A323" s="12" t="n">
        <x:v>21</x:v>
      </x:c>
      <x:c r="B323" s="6" t="str">
        <x:v>AI diagnostics and clinical copilots</x:v>
      </x:c>
      <x:c r="C323" s="6" t="str">
        <x:v>b21c6</x:v>
      </x:c>
      <x:c r="D323" s="6" t="str">
        <x:v>Tempus AI — official company information</x:v>
      </x:c>
      <x:c r="E323" s="6" t="str">
        <x:v>Tempus AI</x:v>
      </x:c>
      <x:c r="F323" s="6" t="str"/>
      <x:c r="G323" s="6" t="str">
        <x:v>Company website</x:v>
      </x:c>
      <x:c r="H323" s="6" t="str">
        <x:v>Clinical data, oncology diagnostics and AI applications.</x:v>
      </x:c>
      <x:c r="I323" s="6" t="str">
        <x:v>https://www.tempus.com/</x:v>
      </x:c>
    </x:row>
    <x:row r="324" ht="15" hidden="0" customHeight="1">
      <x:c r="A324" s="12" t="n">
        <x:v>21</x:v>
      </x:c>
      <x:c r="B324" s="6" t="str">
        <x:v>AI diagnostics and clinical copilots</x:v>
      </x:c>
      <x:c r="C324" s="6" t="str">
        <x:v>b21c7</x:v>
      </x:c>
      <x:c r="D324" s="6" t="str">
        <x:v>Aidoc — official company information</x:v>
      </x:c>
      <x:c r="E324" s="6" t="str">
        <x:v>Aidoc</x:v>
      </x:c>
      <x:c r="F324" s="6" t="str"/>
      <x:c r="G324" s="6" t="str">
        <x:v>Company website</x:v>
      </x:c>
      <x:c r="H324" s="6" t="str">
        <x:v>Clinical imaging AI and hospital deployment platform.</x:v>
      </x:c>
      <x:c r="I324" s="6" t="str">
        <x:v>https://www.aidoc.com/</x:v>
      </x:c>
    </x:row>
    <x:row r="325" ht="15" hidden="0" customHeight="1">
      <x:c r="A325" s="12" t="n">
        <x:v>21</x:v>
      </x:c>
      <x:c r="B325" s="6" t="str">
        <x:v>AI diagnostics and clinical copilots</x:v>
      </x:c>
      <x:c r="C325" s="6" t="str">
        <x:v>b21c8</x:v>
      </x:c>
      <x:c r="D325" s="6" t="str">
        <x:v>Abridge — official company information</x:v>
      </x:c>
      <x:c r="E325" s="6" t="str">
        <x:v>Abridge</x:v>
      </x:c>
      <x:c r="F325" s="6" t="str"/>
      <x:c r="G325" s="6" t="str">
        <x:v>Company website</x:v>
      </x:c>
      <x:c r="H325" s="6" t="str">
        <x:v>Clinician-reviewed ambient documentation.</x:v>
      </x:c>
      <x:c r="I325" s="6" t="str">
        <x:v>https://www.abridge.com/</x:v>
      </x:c>
    </x:row>
    <x:row r="326" ht="15" hidden="0" customHeight="1">
      <x:c r="A326" s="12" t="n">
        <x:v>21</x:v>
      </x:c>
      <x:c r="B326" s="6" t="str">
        <x:v>AI diagnostics and clinical copilots</x:v>
      </x:c>
      <x:c r="C326" s="6" t="str">
        <x:v>b21c9</x:v>
      </x:c>
      <x:c r="D326" s="6" t="str">
        <x:v>Ambience Healthcare — official company information</x:v>
      </x:c>
      <x:c r="E326" s="6" t="str">
        <x:v>Ambience Healthcare</x:v>
      </x:c>
      <x:c r="F326" s="6" t="str"/>
      <x:c r="G326" s="6" t="str">
        <x:v>Company website</x:v>
      </x:c>
      <x:c r="H326" s="6" t="str">
        <x:v>Ambient documentation and clinical workflow support.</x:v>
      </x:c>
      <x:c r="I326" s="6" t="str">
        <x:v>https://www.ambiencehealthcare.com/</x:v>
      </x:c>
    </x:row>
    <x:row r="327" ht="15" hidden="0" customHeight="1">
      <x:c r="A327" s="12" t="n">
        <x:v>21</x:v>
      </x:c>
      <x:c r="B327" s="6" t="str">
        <x:v>AI diagnostics and clinical copilots</x:v>
      </x:c>
      <x:c r="C327" s="6" t="str">
        <x:v>b21c10</x:v>
      </x:c>
      <x:c r="D327" s="6" t="str">
        <x:v>Nabla — official company information</x:v>
      </x:c>
      <x:c r="E327" s="6" t="str">
        <x:v>Nabla</x:v>
      </x:c>
      <x:c r="F327" s="6" t="str"/>
      <x:c r="G327" s="6" t="str">
        <x:v>Company website</x:v>
      </x:c>
      <x:c r="H327" s="6" t="str">
        <x:v>Ambient clinical notes and assistant workflows.</x:v>
      </x:c>
      <x:c r="I327" s="6" t="str">
        <x:v>https://www.nabla.com/</x:v>
      </x:c>
    </x:row>
    <x:row r="328" ht="15" hidden="0" customHeight="1">
      <x:c r="A328" s="12" t="n">
        <x:v>22</x:v>
      </x:c>
      <x:c r="B328" s="6" t="str">
        <x:v>Precision oncology and liquid biopsies</x:v>
      </x:c>
      <x:c r="C328" s="6" t="str">
        <x:v>b22s1</x:v>
      </x:c>
      <x:c r="D328" s="6" t="str">
        <x:v>2021 financial results</x:v>
      </x:c>
      <x:c r="E328" s="6" t="str">
        <x:v>Guardant Health</x:v>
      </x:c>
      <x:c r="F328" s="6" t="str">
        <x:v>2022-02-23</x:v>
      </x:c>
      <x:c r="G328" s="6" t="str">
        <x:v>Regulatory filing</x:v>
      </x:c>
      <x:c r="H328" s="6" t="str">
        <x:v>87,600 clinical tests in 2021.</x:v>
      </x:c>
      <x:c r="I328" s="6" t="str">
        <x:v>https://www.sec.gov/Archives/edgar/data/1576280/000157628022000012/gh-12312021xexhibit991.htm</x:v>
      </x:c>
    </x:row>
    <x:row r="329" ht="15" hidden="0" customHeight="1">
      <x:c r="A329" s="12" t="n">
        <x:v>22</x:v>
      </x:c>
      <x:c r="B329" s="6" t="str">
        <x:v>Precision oncology and liquid biopsies</x:v>
      </x:c>
      <x:c r="C329" s="6" t="str">
        <x:v>b22s2</x:v>
      </x:c>
      <x:c r="D329" s="6" t="str">
        <x:v>2022 annual report</x:v>
      </x:c>
      <x:c r="E329" s="6" t="str">
        <x:v>Guardant Health</x:v>
      </x:c>
      <x:c r="F329" s="6" t="str"/>
      <x:c r="G329" s="6" t="str">
        <x:v>Company annual report</x:v>
      </x:c>
      <x:c r="H329" s="6" t="str">
        <x:v>124,800 tests in 2022 and 87,600 in 2021.</x:v>
      </x:c>
      <x:c r="I329" s="6" t="str">
        <x:v>https://investors.guardanthealth.com/files/doc_financials/2022/ar/ARS-Filing-2022-Annual-Report.pdf</x:v>
      </x:c>
    </x:row>
    <x:row r="330" ht="24" hidden="0" customHeight="1">
      <x:c r="A330" s="12" t="n">
        <x:v>22</x:v>
      </x:c>
      <x:c r="B330" s="6" t="str">
        <x:v>Precision oncology and liquid biopsies</x:v>
      </x:c>
      <x:c r="C330" s="6" t="str">
        <x:v>b22s3</x:v>
      </x:c>
      <x:c r="D330" s="6" t="str">
        <x:v>Full-year 2024 financial results</x:v>
      </x:c>
      <x:c r="E330" s="6" t="str">
        <x:v>Guardant Health</x:v>
      </x:c>
      <x:c r="F330" s="6" t="str">
        <x:v>2025-02-20</x:v>
      </x:c>
      <x:c r="G330" s="6" t="str">
        <x:v>Company disclosure</x:v>
      </x:c>
      <x:c r="H330" s="6" t="str">
        <x:v>206,700 oncology clinical tests in 2024.</x:v>
      </x:c>
      <x:c r="I330" s="6" t="str">
        <x:v>https://investors.guardanthealth.com/press-releases/press-releases/2025/Guardant-Health-Reports-Fourth-Quarter-and-Full-Year-2024-Financial-Results-and-Provides-2025-Outlook/default.aspx</x:v>
      </x:c>
    </x:row>
    <x:row r="331" ht="24" hidden="0" customHeight="1">
      <x:c r="A331" s="12" t="n">
        <x:v>22</x:v>
      </x:c>
      <x:c r="B331" s="6" t="str">
        <x:v>Precision oncology and liquid biopsies</x:v>
      </x:c>
      <x:c r="C331" s="6" t="str">
        <x:v>b22s4</x:v>
      </x:c>
      <x:c r="D331" s="6" t="str">
        <x:v>Full-year 2025 financial results</x:v>
      </x:c>
      <x:c r="E331" s="6" t="str">
        <x:v>Guardant Health</x:v>
      </x:c>
      <x:c r="F331" s="6" t="str">
        <x:v>2026-02-19</x:v>
      </x:c>
      <x:c r="G331" s="6" t="str">
        <x:v>Company disclosure</x:v>
      </x:c>
      <x:c r="H331" s="6" t="str">
        <x:v>Approximately 276,000 oncology clinical tests in 2025; screening is a separate measure.</x:v>
      </x:c>
      <x:c r="I331" s="6" t="str">
        <x:v>https://investors.guardanthealth.com/press-releases/press-releases/2026/Guardant-Health-Reports-Fourth-Quarter-and-Full-Year-2025-Financial-Results-and-Provides-2026-Outlook/default.aspx</x:v>
      </x:c>
    </x:row>
    <x:row r="332" ht="15" hidden="0" customHeight="1">
      <x:c r="A332" s="12" t="n">
        <x:v>22</x:v>
      </x:c>
      <x:c r="B332" s="6" t="str">
        <x:v>Precision oncology and liquid biopsies</x:v>
      </x:c>
      <x:c r="C332" s="6" t="str">
        <x:v>b22s5</x:v>
      </x:c>
      <x:c r="D332" s="6" t="str">
        <x:v>Investor FAQs</x:v>
      </x:c>
      <x:c r="E332" s="6" t="str">
        <x:v>Freenome</x:v>
      </x:c>
      <x:c r="F332" s="6" t="str"/>
      <x:c r="G332" s="6" t="str">
        <x:v>Company disclosure</x:v>
      </x:c>
      <x:c r="H332" s="6" t="str">
        <x:v>Public listing completed July 20, 2026; NASDAQ FRNM.</x:v>
      </x:c>
      <x:c r="I332" s="6" t="str">
        <x:v>https://investors.freenome.com/shareholder-services/investor-faqs</x:v>
      </x:c>
    </x:row>
    <x:row r="333" ht="15" hidden="0" customHeight="1">
      <x:c r="A333" s="12" t="n">
        <x:v>22</x:v>
      </x:c>
      <x:c r="B333" s="6" t="str">
        <x:v>Precision oncology and liquid biopsies</x:v>
      </x:c>
      <x:c r="C333" s="6" t="str">
        <x:v>b22c1</x:v>
      </x:c>
      <x:c r="D333" s="6" t="str">
        <x:v>Guardant Health — official company information</x:v>
      </x:c>
      <x:c r="E333" s="6" t="str">
        <x:v>Guardant Health</x:v>
      </x:c>
      <x:c r="F333" s="6" t="str"/>
      <x:c r="G333" s="6" t="str">
        <x:v>Company website</x:v>
      </x:c>
      <x:c r="H333" s="6" t="str">
        <x:v>Liquid biopsies for therapy selection, monitoring and screening.</x:v>
      </x:c>
      <x:c r="I333" s="6" t="str">
        <x:v>https://www.guardanthealth.com/</x:v>
      </x:c>
    </x:row>
    <x:row r="334" ht="15" hidden="0" customHeight="1">
      <x:c r="A334" s="12" t="n">
        <x:v>22</x:v>
      </x:c>
      <x:c r="B334" s="6" t="str">
        <x:v>Precision oncology and liquid biopsies</x:v>
      </x:c>
      <x:c r="C334" s="6" t="str">
        <x:v>b22c2</x:v>
      </x:c>
      <x:c r="D334" s="6" t="str">
        <x:v>Natera — official company information</x:v>
      </x:c>
      <x:c r="E334" s="6" t="str">
        <x:v>Natera</x:v>
      </x:c>
      <x:c r="F334" s="6" t="str"/>
      <x:c r="G334" s="6" t="str">
        <x:v>Company website</x:v>
      </x:c>
      <x:c r="H334" s="6" t="str">
        <x:v>Personalised circulating tumour DNA monitoring.</x:v>
      </x:c>
      <x:c r="I334" s="6" t="str">
        <x:v>https://www.natera.com/oncology/</x:v>
      </x:c>
    </x:row>
    <x:row r="335" ht="15" hidden="0" customHeight="1">
      <x:c r="A335" s="12" t="n">
        <x:v>22</x:v>
      </x:c>
      <x:c r="B335" s="6" t="str">
        <x:v>Precision oncology and liquid biopsies</x:v>
      </x:c>
      <x:c r="C335" s="6" t="str">
        <x:v>b22c3</x:v>
      </x:c>
      <x:c r="D335" s="6" t="str">
        <x:v>Tempus AI — official company information</x:v>
      </x:c>
      <x:c r="E335" s="6" t="str">
        <x:v>Tempus AI</x:v>
      </x:c>
      <x:c r="F335" s="6" t="str"/>
      <x:c r="G335" s="6" t="str">
        <x:v>Company website</x:v>
      </x:c>
      <x:c r="H335" s="6" t="str">
        <x:v>Molecular diagnostics, clinical data and treatment matching.</x:v>
      </x:c>
      <x:c r="I335" s="6" t="str">
        <x:v>https://www.tempus.com/</x:v>
      </x:c>
    </x:row>
    <x:row r="336" ht="15" hidden="0" customHeight="1">
      <x:c r="A336" s="12" t="n">
        <x:v>22</x:v>
      </x:c>
      <x:c r="B336" s="6" t="str">
        <x:v>Precision oncology and liquid biopsies</x:v>
      </x:c>
      <x:c r="C336" s="6" t="str">
        <x:v>b22c4</x:v>
      </x:c>
      <x:c r="D336" s="6" t="str">
        <x:v>Caris Life Sciences — official company information</x:v>
      </x:c>
      <x:c r="E336" s="6" t="str">
        <x:v>Caris Life Sciences</x:v>
      </x:c>
      <x:c r="F336" s="6" t="str"/>
      <x:c r="G336" s="6" t="str">
        <x:v>Company website</x:v>
      </x:c>
      <x:c r="H336" s="6" t="str">
        <x:v>Tumour profiling and molecular intelligence.</x:v>
      </x:c>
      <x:c r="I336" s="6" t="str">
        <x:v>https://investor.carislifesciences.com/shareholder-services/faqs</x:v>
      </x:c>
    </x:row>
    <x:row r="337" ht="15" hidden="0" customHeight="1">
      <x:c r="A337" s="12" t="n">
        <x:v>22</x:v>
      </x:c>
      <x:c r="B337" s="6" t="str">
        <x:v>Precision oncology and liquid biopsies</x:v>
      </x:c>
      <x:c r="C337" s="6" t="str">
        <x:v>b22c5</x:v>
      </x:c>
      <x:c r="D337" s="6" t="str">
        <x:v>GRAIL — official company information</x:v>
      </x:c>
      <x:c r="E337" s="6" t="str">
        <x:v>GRAIL</x:v>
      </x:c>
      <x:c r="F337" s="6" t="str"/>
      <x:c r="G337" s="6" t="str">
        <x:v>Company website</x:v>
      </x:c>
      <x:c r="H337" s="6" t="str">
        <x:v>Blood-based multi-cancer detection; outcome and reimbursement exposure.</x:v>
      </x:c>
      <x:c r="I337" s="6" t="str">
        <x:v>https://grail.com/</x:v>
      </x:c>
    </x:row>
    <x:row r="338" ht="15" hidden="0" customHeight="1">
      <x:c r="A338" s="12" t="n">
        <x:v>22</x:v>
      </x:c>
      <x:c r="B338" s="6" t="str">
        <x:v>Precision oncology and liquid biopsies</x:v>
      </x:c>
      <x:c r="C338" s="6" t="str">
        <x:v>b22c6</x:v>
      </x:c>
      <x:c r="D338" s="6" t="str">
        <x:v>Freenome — official company information</x:v>
      </x:c>
      <x:c r="E338" s="6" t="str">
        <x:v>Freenome</x:v>
      </x:c>
      <x:c r="F338" s="6" t="str"/>
      <x:c r="G338" s="6" t="str">
        <x:v>Company website</x:v>
      </x:c>
      <x:c r="H338" s="6" t="str">
        <x:v>Blood-based early cancer detection.</x:v>
      </x:c>
      <x:c r="I338" s="6" t="str">
        <x:v>https://investors.freenome.com/shareholder-services/investor-faqs</x:v>
      </x:c>
    </x:row>
    <x:row r="339" ht="15" hidden="0" customHeight="1">
      <x:c r="A339" s="12" t="n">
        <x:v>22</x:v>
      </x:c>
      <x:c r="B339" s="6" t="str">
        <x:v>Precision oncology and liquid biopsies</x:v>
      </x:c>
      <x:c r="C339" s="6" t="str">
        <x:v>b22c7</x:v>
      </x:c>
      <x:c r="D339" s="6" t="str">
        <x:v>Roche / Foundation Medicine — official company information</x:v>
      </x:c>
      <x:c r="E339" s="6" t="str">
        <x:v>Roche / Foundation Medicine</x:v>
      </x:c>
      <x:c r="F339" s="6" t="str"/>
      <x:c r="G339" s="6" t="str">
        <x:v>Company website</x:v>
      </x:c>
      <x:c r="H339" s="6" t="str">
        <x:v>Public parent; comprehensive genomic profiling and companion diagnostics.</x:v>
      </x:c>
      <x:c r="I339" s="6" t="str">
        <x:v>https://www.foundationmedicine.com/</x:v>
      </x:c>
    </x:row>
    <x:row r="340" ht="15" hidden="0" customHeight="1">
      <x:c r="A340" s="12" t="n">
        <x:v>22</x:v>
      </x:c>
      <x:c r="B340" s="6" t="str">
        <x:v>Precision oncology and liquid biopsies</x:v>
      </x:c>
      <x:c r="C340" s="6" t="str">
        <x:v>b22c8</x:v>
      </x:c>
      <x:c r="D340" s="6" t="str">
        <x:v>Illumina — official company information</x:v>
      </x:c>
      <x:c r="E340" s="6" t="str">
        <x:v>Illumina</x:v>
      </x:c>
      <x:c r="F340" s="6" t="str"/>
      <x:c r="G340" s="6" t="str">
        <x:v>Company website</x:v>
      </x:c>
      <x:c r="H340" s="6" t="str">
        <x:v>Sequencing instruments and consumables; supplier exposure.</x:v>
      </x:c>
      <x:c r="I340" s="6" t="str">
        <x:v>https://www.illumina.com/</x:v>
      </x:c>
    </x:row>
    <x:row r="341" ht="15" hidden="0" customHeight="1">
      <x:c r="A341" s="12" t="n">
        <x:v>22</x:v>
      </x:c>
      <x:c r="B341" s="6" t="str">
        <x:v>Precision oncology and liquid biopsies</x:v>
      </x:c>
      <x:c r="C341" s="6" t="str">
        <x:v>b22c9</x:v>
      </x:c>
      <x:c r="D341" s="6" t="str">
        <x:v>DELFI Diagnostics — official company information</x:v>
      </x:c>
      <x:c r="E341" s="6" t="str">
        <x:v>DELFI Diagnostics</x:v>
      </x:c>
      <x:c r="F341" s="6" t="str"/>
      <x:c r="G341" s="6" t="str">
        <x:v>Company website</x:v>
      </x:c>
      <x:c r="H341" s="6" t="str">
        <x:v>Fragmentomics-based blood testing for early detection.</x:v>
      </x:c>
      <x:c r="I341" s="6" t="str">
        <x:v>https://delfidiagnostics.com/about-us/</x:v>
      </x:c>
    </x:row>
    <x:row r="342" ht="15" hidden="0" customHeight="1">
      <x:c r="A342" s="12" t="n">
        <x:v>22</x:v>
      </x:c>
      <x:c r="B342" s="6" t="str">
        <x:v>Precision oncology and liquid biopsies</x:v>
      </x:c>
      <x:c r="C342" s="6" t="str">
        <x:v>b22c10</x:v>
      </x:c>
      <x:c r="D342" s="6" t="str">
        <x:v>Sysmex — official company information</x:v>
      </x:c>
      <x:c r="E342" s="6" t="str">
        <x:v>Sysmex</x:v>
      </x:c>
      <x:c r="F342" s="6" t="str"/>
      <x:c r="G342" s="6" t="str">
        <x:v>Company website</x:v>
      </x:c>
      <x:c r="H342" s="6" t="str">
        <x:v>Diagnostics platforms, assays and molecular testing infrastructure.</x:v>
      </x:c>
      <x:c r="I342" s="6" t="str">
        <x:v>https://www.sysmex.co.jp/en/</x:v>
      </x:c>
    </x:row>
    <x:row r="343" ht="15" hidden="0" customHeight="1">
      <x:c r="A343" s="12" t="n">
        <x:v>23</x:v>
      </x:c>
      <x:c r="B343" s="6" t="str">
        <x:v>Gene-editing therapies</x:v>
      </x:c>
      <x:c r="C343" s="6" t="str">
        <x:v>b23s1</x:v>
      </x:c>
      <x:c r="D343" s="6" t="str">
        <x:v>Full-year 2024 financial results</x:v>
      </x:c>
      <x:c r="E343" s="6" t="str">
        <x:v>Vertex</x:v>
      </x:c>
      <x:c r="F343" s="6" t="str"/>
      <x:c r="G343" s="6" t="str">
        <x:v>Company disclosure</x:v>
      </x:c>
      <x:c r="H343" s="6" t="str">
        <x:v>Casgevy 2024 revenue of $10 million.</x:v>
      </x:c>
      <x:c r="I343" s="6" t="str">
        <x:v>https://news.vrtx.com/news-releases/news-release-details/vertex-reports-fourth-quarter-and-full-year-2024-financial</x:v>
      </x:c>
    </x:row>
    <x:row r="344" ht="15" hidden="0" customHeight="1">
      <x:c r="A344" s="12" t="n">
        <x:v>23</x:v>
      </x:c>
      <x:c r="B344" s="6" t="str">
        <x:v>Gene-editing therapies</x:v>
      </x:c>
      <x:c r="C344" s="6" t="str">
        <x:v>b23s2</x:v>
      </x:c>
      <x:c r="D344" s="6" t="str">
        <x:v>2025 Form 10-K</x:v>
      </x:c>
      <x:c r="E344" s="6" t="str">
        <x:v>Vertex / SEC</x:v>
      </x:c>
      <x:c r="F344" s="6" t="str">
        <x:v>2026-02-13</x:v>
      </x:c>
      <x:c r="G344" s="6" t="str">
        <x:v>Regulatory filing</x:v>
      </x:c>
      <x:c r="H344" s="6" t="str">
        <x:v>Casgevy annual revenue: $115.8 million in 2025 and $10.0 million in 2024.</x:v>
      </x:c>
      <x:c r="I344" s="6" t="str">
        <x:v>https://www.sec.gov/Archives/edgar/data/875320/000087532026000056/vrtx-20251231.htm</x:v>
      </x:c>
    </x:row>
    <x:row r="345" ht="15" hidden="0" customHeight="1">
      <x:c r="A345" s="12" t="n">
        <x:v>23</x:v>
      </x:c>
      <x:c r="B345" s="6" t="str">
        <x:v>Gene-editing therapies</x:v>
      </x:c>
      <x:c r="C345" s="6" t="str">
        <x:v>b23s3</x:v>
      </x:c>
      <x:c r="D345" s="6" t="str">
        <x:v>FDA approves first gene therapies for sickle cell disease</x:v>
      </x:c>
      <x:c r="E345" s="6" t="str">
        <x:v>US FDA</x:v>
      </x:c>
      <x:c r="F345" s="6" t="str">
        <x:v>2023-12-08</x:v>
      </x:c>
      <x:c r="G345" s="6" t="str">
        <x:v>Regulatory announcement</x:v>
      </x:c>
      <x:c r="H345" s="6" t="str">
        <x:v>First CRISPR/Cas9 therapy approval.</x:v>
      </x:c>
      <x:c r="I345" s="6" t="str">
        <x:v>https://www.fda.gov/news-events/press-announcements/fda-approves-first-gene-therapies-treat-patients-sickle-cell-disease</x:v>
      </x:c>
    </x:row>
    <x:row r="346" ht="15" hidden="0" customHeight="1">
      <x:c r="A346" s="12" t="n">
        <x:v>23</x:v>
      </x:c>
      <x:c r="B346" s="6" t="str">
        <x:v>Gene-editing therapies</x:v>
      </x:c>
      <x:c r="C346" s="6" t="str">
        <x:v>b23s4</x:v>
      </x:c>
      <x:c r="D346" s="6" t="str">
        <x:v>FDA roundup January 16, 2024</x:v>
      </x:c>
      <x:c r="E346" s="6" t="str">
        <x:v>US FDA</x:v>
      </x:c>
      <x:c r="F346" s="6" t="str">
        <x:v>2024-01-16</x:v>
      </x:c>
      <x:c r="G346" s="6" t="str">
        <x:v>Regulatory announcement</x:v>
      </x:c>
      <x:c r="H346" s="6" t="str">
        <x:v>Casgevy beta-thalassemia approval.</x:v>
      </x:c>
      <x:c r="I346" s="6" t="str">
        <x:v>https://www.fda.gov/news-events/press-announcements/fda-roundup-january-16-2024</x:v>
      </x:c>
    </x:row>
    <x:row r="347" ht="15" hidden="0" customHeight="1">
      <x:c r="A347" s="12" t="n">
        <x:v>23</x:v>
      </x:c>
      <x:c r="B347" s="6" t="str">
        <x:v>Gene-editing therapies</x:v>
      </x:c>
      <x:c r="C347" s="6" t="str">
        <x:v>b23s5</x:v>
      </x:c>
      <x:c r="D347" s="6" t="str">
        <x:v>Casgevy regulatory information</x:v>
      </x:c>
      <x:c r="E347" s="6" t="str">
        <x:v>US FDA</x:v>
      </x:c>
      <x:c r="F347" s="6" t="str"/>
      <x:c r="G347" s="6" t="str">
        <x:v>Regulatory database</x:v>
      </x:c>
      <x:c r="H347" s="6" t="str">
        <x:v>Current product and long-term regulatory documentation.</x:v>
      </x:c>
      <x:c r="I347" s="6" t="str">
        <x:v>https://www.fda.gov/vaccines-blood-biologics/casgevy</x:v>
      </x:c>
    </x:row>
    <x:row r="348" ht="15" hidden="0" customHeight="1">
      <x:c r="A348" s="12" t="n">
        <x:v>23</x:v>
      </x:c>
      <x:c r="B348" s="6" t="str">
        <x:v>Gene-editing therapies</x:v>
      </x:c>
      <x:c r="C348" s="6" t="str">
        <x:v>b23c1</x:v>
      </x:c>
      <x:c r="D348" s="6" t="str">
        <x:v>Vertex — official company information</x:v>
      </x:c>
      <x:c r="E348" s="6" t="str">
        <x:v>Vertex</x:v>
      </x:c>
      <x:c r="F348" s="6" t="str"/>
      <x:c r="G348" s="6" t="str">
        <x:v>Company website</x:v>
      </x:c>
      <x:c r="H348" s="6" t="str">
        <x:v>Commercial delivery and development of Casgevy.</x:v>
      </x:c>
      <x:c r="I348" s="6" t="str">
        <x:v>https://www.vrtx.com/</x:v>
      </x:c>
    </x:row>
    <x:row r="349" ht="15" hidden="0" customHeight="1">
      <x:c r="A349" s="12" t="n">
        <x:v>23</x:v>
      </x:c>
      <x:c r="B349" s="6" t="str">
        <x:v>Gene-editing therapies</x:v>
      </x:c>
      <x:c r="C349" s="6" t="str">
        <x:v>b23c2</x:v>
      </x:c>
      <x:c r="D349" s="6" t="str">
        <x:v>CRISPR Therapeutics — official company information</x:v>
      </x:c>
      <x:c r="E349" s="6" t="str">
        <x:v>CRISPR Therapeutics</x:v>
      </x:c>
      <x:c r="F349" s="6" t="str"/>
      <x:c r="G349" s="6" t="str">
        <x:v>Company website</x:v>
      </x:c>
      <x:c r="H349" s="6" t="str">
        <x:v>Gene-editing medicines and Casgevy economics.</x:v>
      </x:c>
      <x:c r="I349" s="6" t="str">
        <x:v>https://crisprtx.com/</x:v>
      </x:c>
    </x:row>
    <x:row r="350" ht="15" hidden="0" customHeight="1">
      <x:c r="A350" s="12" t="n">
        <x:v>23</x:v>
      </x:c>
      <x:c r="B350" s="6" t="str">
        <x:v>Gene-editing therapies</x:v>
      </x:c>
      <x:c r="C350" s="6" t="str">
        <x:v>b23c3</x:v>
      </x:c>
      <x:c r="D350" s="6" t="str">
        <x:v>Intellia Therapeutics — official company information</x:v>
      </x:c>
      <x:c r="E350" s="6" t="str">
        <x:v>Intellia Therapeutics</x:v>
      </x:c>
      <x:c r="F350" s="6" t="str"/>
      <x:c r="G350" s="6" t="str">
        <x:v>Company website</x:v>
      </x:c>
      <x:c r="H350" s="6" t="str">
        <x:v>In-vivo genome-editing programmes.</x:v>
      </x:c>
      <x:c r="I350" s="6" t="str">
        <x:v>https://www.intelliatx.com/</x:v>
      </x:c>
    </x:row>
    <x:row r="351" ht="15" hidden="0" customHeight="1">
      <x:c r="A351" s="12" t="n">
        <x:v>23</x:v>
      </x:c>
      <x:c r="B351" s="6" t="str">
        <x:v>Gene-editing therapies</x:v>
      </x:c>
      <x:c r="C351" s="6" t="str">
        <x:v>b23c4</x:v>
      </x:c>
      <x:c r="D351" s="6" t="str">
        <x:v>Beam Therapeutics — official company information</x:v>
      </x:c>
      <x:c r="E351" s="6" t="str">
        <x:v>Beam Therapeutics</x:v>
      </x:c>
      <x:c r="F351" s="6" t="str"/>
      <x:c r="G351" s="6" t="str">
        <x:v>Company website</x:v>
      </x:c>
      <x:c r="H351" s="6" t="str">
        <x:v>Base-editing therapies.</x:v>
      </x:c>
      <x:c r="I351" s="6" t="str">
        <x:v>https://beamtx.com/</x:v>
      </x:c>
    </x:row>
    <x:row r="352" ht="15" hidden="0" customHeight="1">
      <x:c r="A352" s="12" t="n">
        <x:v>23</x:v>
      </x:c>
      <x:c r="B352" s="6" t="str">
        <x:v>Gene-editing therapies</x:v>
      </x:c>
      <x:c r="C352" s="6" t="str">
        <x:v>b23c5</x:v>
      </x:c>
      <x:c r="D352" s="6" t="str">
        <x:v>Prime Medicine — official company information</x:v>
      </x:c>
      <x:c r="E352" s="6" t="str">
        <x:v>Prime Medicine</x:v>
      </x:c>
      <x:c r="F352" s="6" t="str"/>
      <x:c r="G352" s="6" t="str">
        <x:v>Company website</x:v>
      </x:c>
      <x:c r="H352" s="6" t="str">
        <x:v>Prime-editing programmes.</x:v>
      </x:c>
      <x:c r="I352" s="6" t="str">
        <x:v>https://primemedicine.com/</x:v>
      </x:c>
    </x:row>
    <x:row r="353" ht="15" hidden="0" customHeight="1">
      <x:c r="A353" s="12" t="n">
        <x:v>23</x:v>
      </x:c>
      <x:c r="B353" s="6" t="str">
        <x:v>Gene-editing therapies</x:v>
      </x:c>
      <x:c r="C353" s="6" t="str">
        <x:v>b23c6</x:v>
      </x:c>
      <x:c r="D353" s="6" t="str">
        <x:v>Regeneron — official company information</x:v>
      </x:c>
      <x:c r="E353" s="6" t="str">
        <x:v>Regeneron</x:v>
      </x:c>
      <x:c r="F353" s="6" t="str"/>
      <x:c r="G353" s="6" t="str">
        <x:v>Company website</x:v>
      </x:c>
      <x:c r="H353" s="6" t="str">
        <x:v>Gene-editing partnerships and delivery research; diversified exposure.</x:v>
      </x:c>
      <x:c r="I353" s="6" t="str">
        <x:v>https://www.regeneron.com/</x:v>
      </x:c>
    </x:row>
    <x:row r="354" ht="15" hidden="0" customHeight="1">
      <x:c r="A354" s="12" t="n">
        <x:v>23</x:v>
      </x:c>
      <x:c r="B354" s="6" t="str">
        <x:v>Gene-editing therapies</x:v>
      </x:c>
      <x:c r="C354" s="6" t="str">
        <x:v>b23c7</x:v>
      </x:c>
      <x:c r="D354" s="6" t="str">
        <x:v>Eli Lilly — official company information</x:v>
      </x:c>
      <x:c r="E354" s="6" t="str">
        <x:v>Eli Lilly</x:v>
      </x:c>
      <x:c r="F354" s="6" t="str"/>
      <x:c r="G354" s="6" t="str">
        <x:v>Company website</x:v>
      </x:c>
      <x:c r="H354" s="6" t="str">
        <x:v>Public parent of acquired Verve; cardiovascular base-editing development.</x:v>
      </x:c>
      <x:c r="I354" s="6" t="str">
        <x:v>https://www.lilly.com/</x:v>
      </x:c>
    </x:row>
    <x:row r="355" ht="15" hidden="0" customHeight="1">
      <x:c r="A355" s="12" t="n">
        <x:v>23</x:v>
      </x:c>
      <x:c r="B355" s="6" t="str">
        <x:v>Gene-editing therapies</x:v>
      </x:c>
      <x:c r="C355" s="6" t="str">
        <x:v>b23c8</x:v>
      </x:c>
      <x:c r="D355" s="6" t="str">
        <x:v>Tessera Therapeutics — official company information</x:v>
      </x:c>
      <x:c r="E355" s="6" t="str">
        <x:v>Tessera Therapeutics</x:v>
      </x:c>
      <x:c r="F355" s="6" t="str"/>
      <x:c r="G355" s="6" t="str">
        <x:v>Company website</x:v>
      </x:c>
      <x:c r="H355" s="6" t="str">
        <x:v>Gene-writing and in-vivo genetic medicine platforms.</x:v>
      </x:c>
      <x:c r="I355" s="6" t="str">
        <x:v>https://www.tesseratherapeutics.com/</x:v>
      </x:c>
    </x:row>
    <x:row r="356" ht="15" hidden="0" customHeight="1">
      <x:c r="A356" s="12" t="n">
        <x:v>23</x:v>
      </x:c>
      <x:c r="B356" s="6" t="str">
        <x:v>Gene-editing therapies</x:v>
      </x:c>
      <x:c r="C356" s="6" t="str">
        <x:v>b23c9</x:v>
      </x:c>
      <x:c r="D356" s="6" t="str">
        <x:v>Arbor Biotechnologies — official company information</x:v>
      </x:c>
      <x:c r="E356" s="6" t="str">
        <x:v>Arbor Biotechnologies</x:v>
      </x:c>
      <x:c r="F356" s="6" t="str"/>
      <x:c r="G356" s="6" t="str">
        <x:v>Company website</x:v>
      </x:c>
      <x:c r="H356" s="6" t="str">
        <x:v>Gene-editing systems and therapeutic development.</x:v>
      </x:c>
      <x:c r="I356" s="6" t="str">
        <x:v>https://arbor.bio/</x:v>
      </x:c>
    </x:row>
    <x:row r="357" ht="15" hidden="0" customHeight="1">
      <x:c r="A357" s="12" t="n">
        <x:v>23</x:v>
      </x:c>
      <x:c r="B357" s="6" t="str">
        <x:v>Gene-editing therapies</x:v>
      </x:c>
      <x:c r="C357" s="6" t="str">
        <x:v>b23c10</x:v>
      </x:c>
      <x:c r="D357" s="6" t="str">
        <x:v>ElevateBio — official company information</x:v>
      </x:c>
      <x:c r="E357" s="6" t="str">
        <x:v>ElevateBio</x:v>
      </x:c>
      <x:c r="F357" s="6" t="str"/>
      <x:c r="G357" s="6" t="str">
        <x:v>Company website</x:v>
      </x:c>
      <x:c r="H357" s="6" t="str">
        <x:v>Editing technology and advanced-therapy manufacturing services.</x:v>
      </x:c>
      <x:c r="I357" s="6" t="str">
        <x:v>https://www.elevate.bio/</x:v>
      </x:c>
    </x:row>
    <x:row r="358" ht="15" hidden="0" customHeight="1">
      <x:c r="A358" s="12" t="n">
        <x:v>23</x:v>
      </x:c>
      <x:c r="B358" s="6" t="str">
        <x:v>Gene-editing therapies</x:v>
      </x:c>
      <x:c r="C358" s="6" t="str">
        <x:v>b23s6</x:v>
      </x:c>
      <x:c r="D358" s="6" t="str">
        <x:v>Expanded US approval of Casgevy</x:v>
      </x:c>
      <x:c r="E358" s="6" t="str">
        <x:v>Vertex</x:v>
      </x:c>
      <x:c r="F358" s="6" t="str">
        <x:v>2026-07-01</x:v>
      </x:c>
      <x:c r="G358" s="6" t="str">
        <x:v>Company disclosure</x:v>
      </x:c>
      <x:c r="H358" s="6" t="str">
        <x:v>Vertex announced expanded US approval for patients ages two years and older with the specified sickle-cell disease or beta-thalassemia indications.</x:v>
      </x:c>
      <x:c r="I358" s="6" t="str">
        <x:v>https://news.vrtx.com/news-releases/news-release-details/vertex-announces-us-fda-approval-expanded-use-casgevyr-treatment</x:v>
      </x:c>
    </x:row>
    <x:row r="359" ht="15" hidden="0" customHeight="1">
      <x:c r="A359" s="12" t="n">
        <x:v>24</x:v>
      </x:c>
      <x:c r="B359" s="6" t="str">
        <x:v>RNA therapeutics and next-generation vaccines</x:v>
      </x:c>
      <x:c r="C359" s="6" t="str">
        <x:v>b24s1</x:v>
      </x:c>
      <x:c r="D359" s="6" t="str">
        <x:v>2021 financial results</x:v>
      </x:c>
      <x:c r="E359" s="6" t="str">
        <x:v>Alnylam</x:v>
      </x:c>
      <x:c r="F359" s="6" t="str"/>
      <x:c r="G359" s="6" t="str">
        <x:v>Company disclosure</x:v>
      </x:c>
      <x:c r="H359" s="6" t="str">
        <x:v>2021 net product revenue of $662.138 million.</x:v>
      </x:c>
      <x:c r="I359" s="6" t="str">
        <x:v>https://investors.alnylam.com/press-release?id=26471</x:v>
      </x:c>
    </x:row>
    <x:row r="360" ht="15" hidden="0" customHeight="1">
      <x:c r="A360" s="12" t="n">
        <x:v>24</x:v>
      </x:c>
      <x:c r="B360" s="6" t="str">
        <x:v>RNA therapeutics and next-generation vaccines</x:v>
      </x:c>
      <x:c r="C360" s="6" t="str">
        <x:v>b24s2</x:v>
      </x:c>
      <x:c r="D360" s="6" t="str">
        <x:v>2025 Form 10-K</x:v>
      </x:c>
      <x:c r="E360" s="6" t="str">
        <x:v>Alnylam / SEC</x:v>
      </x:c>
      <x:c r="F360" s="6" t="str"/>
      <x:c r="G360" s="6" t="str">
        <x:v>Regulatory filing</x:v>
      </x:c>
      <x:c r="H360" s="6" t="str">
        <x:v>Comparable product-revenue series for 2023–2025.</x:v>
      </x:c>
      <x:c r="I360" s="6" t="str">
        <x:v>https://www.sec.gov/Archives/edgar/data/1178670/000162828026007497/alny-20251231.htm</x:v>
      </x:c>
    </x:row>
    <x:row r="361" ht="15" hidden="0" customHeight="1">
      <x:c r="A361" s="12" t="n">
        <x:v>24</x:v>
      </x:c>
      <x:c r="B361" s="6" t="str">
        <x:v>RNA therapeutics and next-generation vaccines</x:v>
      </x:c>
      <x:c r="C361" s="6" t="str">
        <x:v>b24s3</x:v>
      </x:c>
      <x:c r="D361" s="6" t="str">
        <x:v>2025 financial results</x:v>
      </x:c>
      <x:c r="E361" s="6" t="str">
        <x:v>Alnylam</x:v>
      </x:c>
      <x:c r="F361" s="6" t="str">
        <x:v>2026-02-12</x:v>
      </x:c>
      <x:c r="G361" s="6" t="str">
        <x:v>Company disclosure</x:v>
      </x:c>
      <x:c r="H361" s="6" t="str">
        <x:v>2025 product revenue and commercial programme context.</x:v>
      </x:c>
      <x:c r="I361" s="6" t="str">
        <x:v>https://investors.alnylam.com/press-release?id=cda5bd48-ed15-4c48-ab80-1afb628fc6f9</x:v>
      </x:c>
    </x:row>
    <x:row r="362" ht="15" hidden="0" customHeight="1">
      <x:c r="A362" s="12" t="n">
        <x:v>24</x:v>
      </x:c>
      <x:c r="B362" s="6" t="str">
        <x:v>RNA therapeutics and next-generation vaccines</x:v>
      </x:c>
      <x:c r="C362" s="6" t="str">
        <x:v>b24c1</x:v>
      </x:c>
      <x:c r="D362" s="6" t="str">
        <x:v>Alnylam — official company information</x:v>
      </x:c>
      <x:c r="E362" s="6" t="str">
        <x:v>Alnylam</x:v>
      </x:c>
      <x:c r="F362" s="6" t="str"/>
      <x:c r="G362" s="6" t="str">
        <x:v>Company website</x:v>
      </x:c>
      <x:c r="H362" s="6" t="str">
        <x:v>Commercial RNA interference medicines.</x:v>
      </x:c>
      <x:c r="I362" s="6" t="str">
        <x:v>https://www.alnylam.com/</x:v>
      </x:c>
    </x:row>
    <x:row r="363" ht="15" hidden="0" customHeight="1">
      <x:c r="A363" s="12" t="n">
        <x:v>24</x:v>
      </x:c>
      <x:c r="B363" s="6" t="str">
        <x:v>RNA therapeutics and next-generation vaccines</x:v>
      </x:c>
      <x:c r="C363" s="6" t="str">
        <x:v>b24c2</x:v>
      </x:c>
      <x:c r="D363" s="6" t="str">
        <x:v>Moderna — official company information</x:v>
      </x:c>
      <x:c r="E363" s="6" t="str">
        <x:v>Moderna</x:v>
      </x:c>
      <x:c r="F363" s="6" t="str"/>
      <x:c r="G363" s="6" t="str">
        <x:v>Company website</x:v>
      </x:c>
      <x:c r="H363" s="6" t="str">
        <x:v>mRNA vaccines and therapeutic development.</x:v>
      </x:c>
      <x:c r="I363" s="6" t="str">
        <x:v>https://www.modernatx.com/</x:v>
      </x:c>
    </x:row>
    <x:row r="364" ht="15" hidden="0" customHeight="1">
      <x:c r="A364" s="12" t="n">
        <x:v>24</x:v>
      </x:c>
      <x:c r="B364" s="6" t="str">
        <x:v>RNA therapeutics and next-generation vaccines</x:v>
      </x:c>
      <x:c r="C364" s="6" t="str">
        <x:v>b24c3</x:v>
      </x:c>
      <x:c r="D364" s="6" t="str">
        <x:v>BioNTech — official company information</x:v>
      </x:c>
      <x:c r="E364" s="6" t="str">
        <x:v>BioNTech</x:v>
      </x:c>
      <x:c r="F364" s="6" t="str"/>
      <x:c r="G364" s="6" t="str">
        <x:v>Company website</x:v>
      </x:c>
      <x:c r="H364" s="6" t="str">
        <x:v>mRNA vaccines and oncology immunotherapies.</x:v>
      </x:c>
      <x:c r="I364" s="6" t="str">
        <x:v>https://www.biontech.com/</x:v>
      </x:c>
    </x:row>
    <x:row r="365" ht="15" hidden="0" customHeight="1">
      <x:c r="A365" s="12" t="n">
        <x:v>24</x:v>
      </x:c>
      <x:c r="B365" s="6" t="str">
        <x:v>RNA therapeutics and next-generation vaccines</x:v>
      </x:c>
      <x:c r="C365" s="6" t="str">
        <x:v>b24c4</x:v>
      </x:c>
      <x:c r="D365" s="6" t="str">
        <x:v>Pfizer — official company information</x:v>
      </x:c>
      <x:c r="E365" s="6" t="str">
        <x:v>Pfizer</x:v>
      </x:c>
      <x:c r="F365" s="6" t="str"/>
      <x:c r="G365" s="6" t="str">
        <x:v>Company website</x:v>
      </x:c>
      <x:c r="H365" s="6" t="str">
        <x:v>Vaccine commercialisation and RNA-related research.</x:v>
      </x:c>
      <x:c r="I365" s="6" t="str">
        <x:v>https://www.pfizer.com/</x:v>
      </x:c>
    </x:row>
    <x:row r="366" ht="15" hidden="0" customHeight="1">
      <x:c r="A366" s="12" t="n">
        <x:v>24</x:v>
      </x:c>
      <x:c r="B366" s="6" t="str">
        <x:v>RNA therapeutics and next-generation vaccines</x:v>
      </x:c>
      <x:c r="C366" s="6" t="str">
        <x:v>b24c5</x:v>
      </x:c>
      <x:c r="D366" s="6" t="str">
        <x:v>Ionis Pharmaceuticals — official company information</x:v>
      </x:c>
      <x:c r="E366" s="6" t="str">
        <x:v>Ionis Pharmaceuticals</x:v>
      </x:c>
      <x:c r="F366" s="6" t="str"/>
      <x:c r="G366" s="6" t="str">
        <x:v>Company website</x:v>
      </x:c>
      <x:c r="H366" s="6" t="str">
        <x:v>Antisense and other RNA-targeted medicines.</x:v>
      </x:c>
      <x:c r="I366" s="6" t="str">
        <x:v>https://www.ionis.com/</x:v>
      </x:c>
    </x:row>
    <x:row r="367" ht="15" hidden="0" customHeight="1">
      <x:c r="A367" s="12" t="n">
        <x:v>24</x:v>
      </x:c>
      <x:c r="B367" s="6" t="str">
        <x:v>RNA therapeutics and next-generation vaccines</x:v>
      </x:c>
      <x:c r="C367" s="6" t="str">
        <x:v>b24c6</x:v>
      </x:c>
      <x:c r="D367" s="6" t="str">
        <x:v>Novartis — official company information</x:v>
      </x:c>
      <x:c r="E367" s="6" t="str">
        <x:v>Novartis</x:v>
      </x:c>
      <x:c r="F367" s="6" t="str"/>
      <x:c r="G367" s="6" t="str">
        <x:v>Company website</x:v>
      </x:c>
      <x:c r="H367" s="6" t="str">
        <x:v>Commercial RNA-silencing and expanded RNA pipeline.</x:v>
      </x:c>
      <x:c r="I367" s="6" t="str">
        <x:v>https://www.novartis.com/</x:v>
      </x:c>
    </x:row>
    <x:row r="368" ht="15" hidden="0" customHeight="1">
      <x:c r="A368" s="12" t="n">
        <x:v>24</x:v>
      </x:c>
      <x:c r="B368" s="6" t="str">
        <x:v>RNA therapeutics and next-generation vaccines</x:v>
      </x:c>
      <x:c r="C368" s="6" t="str">
        <x:v>b24c7</x:v>
      </x:c>
      <x:c r="D368" s="6" t="str">
        <x:v>Arcturus Therapeutics — official company information</x:v>
      </x:c>
      <x:c r="E368" s="6" t="str">
        <x:v>Arcturus Therapeutics</x:v>
      </x:c>
      <x:c r="F368" s="6" t="str"/>
      <x:c r="G368" s="6" t="str">
        <x:v>Company website</x:v>
      </x:c>
      <x:c r="H368" s="6" t="str">
        <x:v>Self-amplifying RNA and delivery platforms.</x:v>
      </x:c>
      <x:c r="I368" s="6" t="str">
        <x:v>https://arcturusrx.com/</x:v>
      </x:c>
    </x:row>
    <x:row r="369" ht="15" hidden="0" customHeight="1">
      <x:c r="A369" s="12" t="n">
        <x:v>24</x:v>
      </x:c>
      <x:c r="B369" s="6" t="str">
        <x:v>RNA therapeutics and next-generation vaccines</x:v>
      </x:c>
      <x:c r="C369" s="6" t="str">
        <x:v>b24c8</x:v>
      </x:c>
      <x:c r="D369" s="6" t="str">
        <x:v>Roche — official company information</x:v>
      </x:c>
      <x:c r="E369" s="6" t="str">
        <x:v>Roche</x:v>
      </x:c>
      <x:c r="F369" s="6" t="str"/>
      <x:c r="G369" s="6" t="str">
        <x:v>Company website</x:v>
      </x:c>
      <x:c r="H369" s="6" t="str">
        <x:v>RNA partnerships and therapeutic development; diversified exposure.</x:v>
      </x:c>
      <x:c r="I369" s="6" t="str">
        <x:v>https://www.roche.com/</x:v>
      </x:c>
    </x:row>
    <x:row r="370" ht="15" hidden="0" customHeight="1">
      <x:c r="A370" s="12" t="n">
        <x:v>24</x:v>
      </x:c>
      <x:c r="B370" s="6" t="str">
        <x:v>RNA therapeutics and next-generation vaccines</x:v>
      </x:c>
      <x:c r="C370" s="6" t="str">
        <x:v>b24c9</x:v>
      </x:c>
      <x:c r="D370" s="6" t="str">
        <x:v>Immorna — official company information</x:v>
      </x:c>
      <x:c r="E370" s="6" t="str">
        <x:v>Immorna</x:v>
      </x:c>
      <x:c r="F370" s="6" t="str"/>
      <x:c r="G370" s="6" t="str">
        <x:v>Company website</x:v>
      </x:c>
      <x:c r="H370" s="6" t="str">
        <x:v>mRNA and self-replicating RNA development.</x:v>
      </x:c>
      <x:c r="I370" s="6" t="str">
        <x:v>https://www.immorna.com/</x:v>
      </x:c>
    </x:row>
    <x:row r="371" ht="15" hidden="0" customHeight="1">
      <x:c r="A371" s="12" t="n">
        <x:v>24</x:v>
      </x:c>
      <x:c r="B371" s="6" t="str">
        <x:v>RNA therapeutics and next-generation vaccines</x:v>
      </x:c>
      <x:c r="C371" s="6" t="str">
        <x:v>b24c10</x:v>
      </x:c>
      <x:c r="D371" s="6" t="str">
        <x:v>RNAimmune — official company information</x:v>
      </x:c>
      <x:c r="E371" s="6" t="str">
        <x:v>RNAimmune</x:v>
      </x:c>
      <x:c r="F371" s="6" t="str"/>
      <x:c r="G371" s="6" t="str">
        <x:v>Company website</x:v>
      </x:c>
      <x:c r="H371" s="6" t="str">
        <x:v>mRNA vaccine and therapeutic programmes.</x:v>
      </x:c>
      <x:c r="I371" s="6" t="str">
        <x:v>https://www.rnaimmune.com/</x:v>
      </x:c>
    </x:row>
    <x:row r="372" ht="24" hidden="0" customHeight="1">
      <x:c r="A372" s="12" t="n">
        <x:v>24</x:v>
      </x:c>
      <x:c r="B372" s="6" t="str">
        <x:v>RNA therapeutics and next-generation vaccines</x:v>
      </x:c>
      <x:c r="C372" s="6" t="str">
        <x:v>b24s4</x:v>
      </x:c>
      <x:c r="D372" s="6" t="str">
        <x:v>Strategic financing for RNAimmune vaccine development</x:v>
      </x:c>
      <x:c r="E372" s="6" t="str">
        <x:v>Sirnaomics</x:v>
      </x:c>
      <x:c r="F372" s="6" t="str">
        <x:v>2026-08-26</x:v>
      </x:c>
      <x:c r="G372" s="6" t="str">
        <x:v>Company disclosure</x:v>
      </x:c>
      <x:c r="H372" s="6" t="str">
        <x:v>RNAimmune is an indirect non-wholly-owned subsidiary within the Sirnaomics group.</x:v>
      </x:c>
      <x:c r="I372" s="6" t="str">
        <x:v>https://www.sirnaomics.com/en/news/press-release/sirnaomics-investee-rnaimmunecompletes-rmb-30-million-strategic-financing-to-accelerate-mrna-cancer-vaccine-pipeline-development/</x:v>
      </x:c>
    </x:row>
    <x:row r="373" ht="15" hidden="0" customHeight="1">
      <x:c r="A373" s="12" t="n">
        <x:v>24</x:v>
      </x:c>
      <x:c r="B373" s="6" t="str">
        <x:v>RNA therapeutics and next-generation vaccines</x:v>
      </x:c>
      <x:c r="C373" s="6" t="str">
        <x:v>b24s5</x:v>
      </x:c>
      <x:c r="D373" s="6" t="str">
        <x:v>Alnylam 2030 strategy</x:v>
      </x:c>
      <x:c r="E373" s="6" t="str">
        <x:v>Alnylam</x:v>
      </x:c>
      <x:c r="F373" s="6" t="str">
        <x:v>2026-01-11</x:v>
      </x:c>
      <x:c r="G373" s="6" t="str">
        <x:v>Company disclosure</x:v>
      </x:c>
      <x:c r="H373" s="6" t="str">
        <x:v>Aspirational company target of 25%+ total-revenue CAGR through year-end 2030.</x:v>
      </x:c>
      <x:c r="I373" s="6" t="str">
        <x:v>https://investors.alnylam.com/press-release?id=bed48a74-b01e-454e-bb79-756538936bb1</x:v>
      </x:c>
    </x:row>
    <x:row r="374" ht="15" hidden="0" customHeight="1">
      <x:c r="A374" s="12" t="n">
        <x:v>25</x:v>
      </x:c>
      <x:c r="B374" s="6" t="str">
        <x:v>Remote patient monitoring and medical wearables</x:v>
      </x:c>
      <x:c r="C374" s="6" t="str">
        <x:v>b25s1</x:v>
      </x:c>
      <x:c r="D374" s="6" t="str">
        <x:v>2025 annual report</x:v>
      </x:c>
      <x:c r="E374" s="6" t="str">
        <x:v>Dexcom / SEC</x:v>
      </x:c>
      <x:c r="F374" s="6" t="str"/>
      <x:c r="G374" s="6" t="str">
        <x:v>Regulatory filing</x:v>
      </x:c>
      <x:c r="H374" s="6" t="str">
        <x:v>Five-year revenue history 2021–2025.</x:v>
      </x:c>
      <x:c r="I374" s="6" t="str">
        <x:v>https://www.sec.gov/Archives/edgar/data/1093557/000109355726000063/dxcm2025_ars.pdf</x:v>
      </x:c>
    </x:row>
    <x:row r="375" ht="15" hidden="0" customHeight="1">
      <x:c r="A375" s="12" t="n">
        <x:v>25</x:v>
      </x:c>
      <x:c r="B375" s="6" t="str">
        <x:v>Remote patient monitoring and medical wearables</x:v>
      </x:c>
      <x:c r="C375" s="6" t="str">
        <x:v>b25s2</x:v>
      </x:c>
      <x:c r="D375" s="6" t="str">
        <x:v>Full-year 2025 results</x:v>
      </x:c>
      <x:c r="E375" s="6" t="str">
        <x:v>Dexcom</x:v>
      </x:c>
      <x:c r="F375" s="6" t="str">
        <x:v>2026-02-12</x:v>
      </x:c>
      <x:c r="G375" s="6" t="str">
        <x:v>Company disclosure</x:v>
      </x:c>
      <x:c r="H375" s="6" t="str">
        <x:v>Completed 2025 fiscal revenue.</x:v>
      </x:c>
      <x:c r="I375" s="6" t="str">
        <x:v>https://investors.dexcom.com/news/news-details/2026/Dexcom-Reports-Fourth-Quarter-and-Fiscal-Year-2025-Financial-Results/default.aspx</x:v>
      </x:c>
    </x:row>
    <x:row r="376" ht="15" hidden="0" customHeight="1">
      <x:c r="A376" s="12" t="n">
        <x:v>25</x:v>
      </x:c>
      <x:c r="B376" s="6" t="str">
        <x:v>Remote patient monitoring and medical wearables</x:v>
      </x:c>
      <x:c r="C376" s="6" t="str">
        <x:v>b25s3</x:v>
      </x:c>
      <x:c r="D376" s="6" t="str">
        <x:v>Remote patient monitoring: use and bill correctly</x:v>
      </x:c>
      <x:c r="E376" s="6" t="str">
        <x:v>CMS</x:v>
      </x:c>
      <x:c r="F376" s="6" t="str">
        <x:v>2025-05-15</x:v>
      </x:c>
      <x:c r="G376" s="6" t="str">
        <x:v>Government guidance</x:v>
      </x:c>
      <x:c r="H376" s="6" t="str">
        <x:v>Implementation and billing context.</x:v>
      </x:c>
      <x:c r="I376" s="6" t="str">
        <x:v>https://www.cms.gov/outreach-and-education/medicare-learning-network-mln/mlnproducts/fast-facts/remote-patient-monitoring-use-bill-correctly</x:v>
      </x:c>
    </x:row>
    <x:row r="377" ht="15" hidden="0" customHeight="1">
      <x:c r="A377" s="12" t="n">
        <x:v>25</x:v>
      </x:c>
      <x:c r="B377" s="6" t="str">
        <x:v>Remote patient monitoring and medical wearables</x:v>
      </x:c>
      <x:c r="C377" s="6" t="str">
        <x:v>b25s4</x:v>
      </x:c>
      <x:c r="D377" s="6" t="str">
        <x:v>Remote patient monitoring</x:v>
      </x:c>
      <x:c r="E377" s="6" t="str">
        <x:v>CMS</x:v>
      </x:c>
      <x:c r="F377" s="6" t="str"/>
      <x:c r="G377" s="6" t="str">
        <x:v>Government guidance</x:v>
      </x:c>
      <x:c r="H377" s="6" t="str">
        <x:v>Connected monitoring measurements and care pathway.</x:v>
      </x:c>
      <x:c r="I377" s="6" t="str">
        <x:v>https://www.cms.gov/medicare/coverage/telehealth/remote-patient-monitoring</x:v>
      </x:c>
    </x:row>
    <x:row r="378" ht="15" hidden="0" customHeight="1">
      <x:c r="A378" s="12" t="n">
        <x:v>25</x:v>
      </x:c>
      <x:c r="B378" s="6" t="str">
        <x:v>Remote patient monitoring and medical wearables</x:v>
      </x:c>
      <x:c r="C378" s="6" t="str">
        <x:v>b25c1</x:v>
      </x:c>
      <x:c r="D378" s="6" t="str">
        <x:v>Dexcom — official company information</x:v>
      </x:c>
      <x:c r="E378" s="6" t="str">
        <x:v>Dexcom</x:v>
      </x:c>
      <x:c r="F378" s="6" t="str"/>
      <x:c r="G378" s="6" t="str">
        <x:v>Company website</x:v>
      </x:c>
      <x:c r="H378" s="6" t="str">
        <x:v>Continuous glucose monitoring sensors and connected software.</x:v>
      </x:c>
      <x:c r="I378" s="6" t="str">
        <x:v>https://www.dexcom.com/</x:v>
      </x:c>
    </x:row>
    <x:row r="379" ht="15" hidden="0" customHeight="1">
      <x:c r="A379" s="12" t="n">
        <x:v>25</x:v>
      </x:c>
      <x:c r="B379" s="6" t="str">
        <x:v>Remote patient monitoring and medical wearables</x:v>
      </x:c>
      <x:c r="C379" s="6" t="str">
        <x:v>b25c2</x:v>
      </x:c>
      <x:c r="D379" s="6" t="str">
        <x:v>Abbott — official company information</x:v>
      </x:c>
      <x:c r="E379" s="6" t="str">
        <x:v>Abbott</x:v>
      </x:c>
      <x:c r="F379" s="6" t="str"/>
      <x:c r="G379" s="6" t="str">
        <x:v>Company website</x:v>
      </x:c>
      <x:c r="H379" s="6" t="str">
        <x:v>Glucose monitoring and connected medical devices.</x:v>
      </x:c>
      <x:c r="I379" s="6" t="str">
        <x:v>https://www.abbott.com/</x:v>
      </x:c>
    </x:row>
    <x:row r="380" ht="15" hidden="0" customHeight="1">
      <x:c r="A380" s="12" t="n">
        <x:v>25</x:v>
      </x:c>
      <x:c r="B380" s="6" t="str">
        <x:v>Remote patient monitoring and medical wearables</x:v>
      </x:c>
      <x:c r="C380" s="6" t="str">
        <x:v>b25c3</x:v>
      </x:c>
      <x:c r="D380" s="6" t="str">
        <x:v>Medtronic — official company information</x:v>
      </x:c>
      <x:c r="E380" s="6" t="str">
        <x:v>Medtronic</x:v>
      </x:c>
      <x:c r="F380" s="6" t="str"/>
      <x:c r="G380" s="6" t="str">
        <x:v>Company website</x:v>
      </x:c>
      <x:c r="H380" s="6" t="str">
        <x:v>Connected monitoring and therapy devices.</x:v>
      </x:c>
      <x:c r="I380" s="6" t="str">
        <x:v>https://www.medtronic.com/</x:v>
      </x:c>
    </x:row>
    <x:row r="381" ht="15" hidden="0" customHeight="1">
      <x:c r="A381" s="12" t="n">
        <x:v>25</x:v>
      </x:c>
      <x:c r="B381" s="6" t="str">
        <x:v>Remote patient monitoring and medical wearables</x:v>
      </x:c>
      <x:c r="C381" s="6" t="str">
        <x:v>b25c4</x:v>
      </x:c>
      <x:c r="D381" s="6" t="str">
        <x:v>Philips — official company information</x:v>
      </x:c>
      <x:c r="E381" s="6" t="str">
        <x:v>Philips</x:v>
      </x:c>
      <x:c r="F381" s="6" t="str"/>
      <x:c r="G381" s="6" t="str">
        <x:v>Company website</x:v>
      </x:c>
      <x:c r="H381" s="6" t="str">
        <x:v>Patient monitoring and connected care infrastructure.</x:v>
      </x:c>
      <x:c r="I381" s="6" t="str">
        <x:v>https://www.philips.com/healthcare</x:v>
      </x:c>
    </x:row>
    <x:row r="382" ht="15" hidden="0" customHeight="1">
      <x:c r="A382" s="12" t="n">
        <x:v>25</x:v>
      </x:c>
      <x:c r="B382" s="6" t="str">
        <x:v>Remote patient monitoring and medical wearables</x:v>
      </x:c>
      <x:c r="C382" s="6" t="str">
        <x:v>b25c5</x:v>
      </x:c>
      <x:c r="D382" s="6" t="str">
        <x:v>Apple — official company information</x:v>
      </x:c>
      <x:c r="E382" s="6" t="str">
        <x:v>Apple</x:v>
      </x:c>
      <x:c r="F382" s="6" t="str"/>
      <x:c r="G382" s="6" t="str">
        <x:v>Company website</x:v>
      </x:c>
      <x:c r="H382" s="6" t="str">
        <x:v>Consumer wearables with selected regulated health functions; indirect clinical exposure.</x:v>
      </x:c>
      <x:c r="I382" s="6" t="str">
        <x:v>https://www.apple.com/healthcare/</x:v>
      </x:c>
    </x:row>
    <x:row r="383" ht="15" hidden="0" customHeight="1">
      <x:c r="A383" s="12" t="n">
        <x:v>25</x:v>
      </x:c>
      <x:c r="B383" s="6" t="str">
        <x:v>Remote patient monitoring and medical wearables</x:v>
      </x:c>
      <x:c r="C383" s="6" t="str">
        <x:v>b25c6</x:v>
      </x:c>
      <x:c r="D383" s="6" t="str">
        <x:v>iRhythm — official company information</x:v>
      </x:c>
      <x:c r="E383" s="6" t="str">
        <x:v>iRhythm</x:v>
      </x:c>
      <x:c r="F383" s="6" t="str"/>
      <x:c r="G383" s="6" t="str">
        <x:v>Company website</x:v>
      </x:c>
      <x:c r="H383" s="6" t="str">
        <x:v>Ambulatory cardiac monitoring and analysis.</x:v>
      </x:c>
      <x:c r="I383" s="6" t="str">
        <x:v>https://www.irhythmtech.com/</x:v>
      </x:c>
    </x:row>
    <x:row r="384" ht="15" hidden="0" customHeight="1">
      <x:c r="A384" s="12" t="n">
        <x:v>25</x:v>
      </x:c>
      <x:c r="B384" s="6" t="str">
        <x:v>Remote patient monitoring and medical wearables</x:v>
      </x:c>
      <x:c r="C384" s="6" t="str">
        <x:v>b25c7</x:v>
      </x:c>
      <x:c r="D384" s="6" t="str">
        <x:v>Omron — official company information</x:v>
      </x:c>
      <x:c r="E384" s="6" t="str">
        <x:v>Omron</x:v>
      </x:c>
      <x:c r="F384" s="6" t="str"/>
      <x:c r="G384" s="6" t="str">
        <x:v>Company website</x:v>
      </x:c>
      <x:c r="H384" s="6" t="str">
        <x:v>Connected blood-pressure and home-health measurement.</x:v>
      </x:c>
      <x:c r="I384" s="6" t="str">
        <x:v>https://www.omron.com/global/en/</x:v>
      </x:c>
    </x:row>
    <x:row r="385" ht="15" hidden="0" customHeight="1">
      <x:c r="A385" s="12" t="n">
        <x:v>25</x:v>
      </x:c>
      <x:c r="B385" s="6" t="str">
        <x:v>Remote patient monitoring and medical wearables</x:v>
      </x:c>
      <x:c r="C385" s="6" t="str">
        <x:v>b25c8</x:v>
      </x:c>
      <x:c r="D385" s="6" t="str">
        <x:v>Withings — official company information</x:v>
      </x:c>
      <x:c r="E385" s="6" t="str">
        <x:v>Withings</x:v>
      </x:c>
      <x:c r="F385" s="6" t="str"/>
      <x:c r="G385" s="6" t="str">
        <x:v>Company website</x:v>
      </x:c>
      <x:c r="H385" s="6" t="str">
        <x:v>Connected home-health measurements and remote monitoring tools.</x:v>
      </x:c>
      <x:c r="I385" s="6" t="str">
        <x:v>https://www.withings.com/</x:v>
      </x:c>
    </x:row>
    <x:row r="386" ht="15" hidden="0" customHeight="1">
      <x:c r="A386" s="12" t="n">
        <x:v>25</x:v>
      </x:c>
      <x:c r="B386" s="6" t="str">
        <x:v>Remote patient monitoring and medical wearables</x:v>
      </x:c>
      <x:c r="C386" s="6" t="str">
        <x:v>b25c9</x:v>
      </x:c>
      <x:c r="D386" s="6" t="str">
        <x:v>BioIntelliSense — official company information</x:v>
      </x:c>
      <x:c r="E386" s="6" t="str">
        <x:v>BioIntelliSense</x:v>
      </x:c>
      <x:c r="F386" s="6" t="str"/>
      <x:c r="G386" s="6" t="str">
        <x:v>Company website</x:v>
      </x:c>
      <x:c r="H386" s="6" t="str">
        <x:v>Continuous medical wearable monitoring and care analytics.</x:v>
      </x:c>
      <x:c r="I386" s="6" t="str">
        <x:v>https://www.biointellisense.com/</x:v>
      </x:c>
    </x:row>
    <x:row r="387" ht="15" hidden="0" customHeight="1">
      <x:c r="A387" s="12" t="n">
        <x:v>25</x:v>
      </x:c>
      <x:c r="B387" s="6" t="str">
        <x:v>Remote patient monitoring and medical wearables</x:v>
      </x:c>
      <x:c r="C387" s="6" t="str">
        <x:v>b25c10</x:v>
      </x:c>
      <x:c r="D387" s="6" t="str">
        <x:v>AliveCor — official company information</x:v>
      </x:c>
      <x:c r="E387" s="6" t="str">
        <x:v>AliveCor</x:v>
      </x:c>
      <x:c r="F387" s="6" t="str"/>
      <x:c r="G387" s="6" t="str">
        <x:v>Company website</x:v>
      </x:c>
      <x:c r="H387" s="6" t="str">
        <x:v>Personal and clinical remote ECG monitoring.</x:v>
      </x:c>
      <x:c r="I387" s="6" t="str">
        <x:v>https://www.alivecor.com/</x:v>
      </x:c>
    </x:row>
    <x:row r="388" ht="15" hidden="0" customHeight="1">
      <x:c r="A388" s="12" t="n">
        <x:v>26</x:v>
      </x:c>
      <x:c r="B388" s="6" t="str">
        <x:v>AI-enabled drug discovery</x:v>
      </x:c>
      <x:c r="C388" s="6" t="str">
        <x:v>b26s1</x:v>
      </x:c>
      <x:c r="D388" s="6" t="str">
        <x:v>Rentosertib phase 2a announcement</x:v>
      </x:c>
      <x:c r="E388" s="6" t="str">
        <x:v>Insilico Medicine</x:v>
      </x:c>
      <x:c r="F388" s="6" t="str">
        <x:v>2024-11-12</x:v>
      </x:c>
      <x:c r="G388" s="6" t="str">
        <x:v>Company disclosure</x:v>
      </x:c>
      <x:c r="H388" s="6" t="str">
        <x:v>20 preclinical candidates nominated since 2021.</x:v>
      </x:c>
      <x:c r="I388" s="6" t="str">
        <x:v>https://insilico.com/news/tnik-ipf-phase2a</x:v>
      </x:c>
    </x:row>
    <x:row r="389" ht="15" hidden="0" customHeight="1">
      <x:c r="A389" s="12" t="n">
        <x:v>26</x:v>
      </x:c>
      <x:c r="B389" s="6" t="str">
        <x:v>AI-enabled drug discovery</x:v>
      </x:c>
      <x:c r="C389" s="6" t="str">
        <x:v>b26s2</x:v>
      </x:c>
      <x:c r="D389" s="6" t="str">
        <x:v>First UAE preclinical candidate and thirtieth programme</x:v>
      </x:c>
      <x:c r="E389" s="6" t="str">
        <x:v>Insilico Medicine</x:v>
      </x:c>
      <x:c r="F389" s="6" t="str">
        <x:v>2026-04-23</x:v>
      </x:c>
      <x:c r="G389" s="6" t="str">
        <x:v>Company disclosure</x:v>
      </x:c>
      <x:c r="H389" s="6" t="str">
        <x:v>Thirtieth nominated preclinical candidate.</x:v>
      </x:c>
      <x:c r="I389" s="6" t="str">
        <x:v>https://www.prnewswire.com/news-releases/generative-ai-leap-insilico-medicine-nominates-first-preclinical-candidate-in-the-uae-302752898.html</x:v>
      </x:c>
    </x:row>
    <x:row r="390" ht="15" hidden="0" customHeight="1">
      <x:c r="A390" s="12" t="n">
        <x:v>26</x:v>
      </x:c>
      <x:c r="B390" s="6" t="str">
        <x:v>AI-enabled drug discovery</x:v>
      </x:c>
      <x:c r="C390" s="6" t="str">
        <x:v>b26s3</x:v>
      </x:c>
      <x:c r="D390" s="6" t="str">
        <x:v>First human trial of AI-discovered medicine</x:v>
      </x:c>
      <x:c r="E390" s="6" t="str">
        <x:v>Insilico Medicine</x:v>
      </x:c>
      <x:c r="F390" s="6" t="str">
        <x:v>2022-02-24</x:v>
      </x:c>
      <x:c r="G390" s="6" t="str">
        <x:v>Company disclosure</x:v>
      </x:c>
      <x:c r="H390" s="6" t="str">
        <x:v>Phase 1 entry and development timeline.</x:v>
      </x:c>
      <x:c r="I390" s="6" t="str">
        <x:v>https://insilico.com/phase1</x:v>
      </x:c>
    </x:row>
    <x:row r="391" ht="15" hidden="0" customHeight="1">
      <x:c r="A391" s="12" t="n">
        <x:v>26</x:v>
      </x:c>
      <x:c r="B391" s="6" t="str">
        <x:v>AI-enabled drug discovery</x:v>
      </x:c>
      <x:c r="C391" s="6" t="str">
        <x:v>b26s4</x:v>
      </x:c>
      <x:c r="D391" s="6" t="str">
        <x:v>Randomized phase 2a trial of rentosertib in idiopathic pulmonary fibrosis</x:v>
      </x:c>
      <x:c r="E391" s="6" t="str">
        <x:v>Nature Medicine</x:v>
      </x:c>
      <x:c r="F391" s="6" t="str">
        <x:v>2025-06-03</x:v>
      </x:c>
      <x:c r="G391" s="6" t="str">
        <x:v>Primary research</x:v>
      </x:c>
      <x:c r="H391" s="6" t="str">
        <x:v>Clinical trial evidence; early-stage efficacy and safety do not establish approval.</x:v>
      </x:c>
      <x:c r="I391" s="6" t="str">
        <x:v>https://www.nature.com/articles/s41591-025-03743-2</x:v>
      </x:c>
    </x:row>
    <x:row r="392" ht="15" hidden="0" customHeight="1">
      <x:c r="A392" s="12" t="n">
        <x:v>26</x:v>
      </x:c>
      <x:c r="B392" s="6" t="str">
        <x:v>AI-enabled drug discovery</x:v>
      </x:c>
      <x:c r="C392" s="6" t="str">
        <x:v>b26s5</x:v>
      </x:c>
      <x:c r="D392" s="6" t="str">
        <x:v>2025 annual results</x:v>
      </x:c>
      <x:c r="E392" s="6" t="str">
        <x:v>Insilico Medicine</x:v>
      </x:c>
      <x:c r="F392" s="6" t="str">
        <x:v>2026-03-29</x:v>
      </x:c>
      <x:c r="G392" s="6" t="str">
        <x:v>Company disclosure</x:v>
      </x:c>
      <x:c r="H392" s="6" t="str">
        <x:v>Clinical pipeline and HKEX 3696 listing.</x:v>
      </x:c>
      <x:c r="I392" s="6" t="str">
        <x:v>https://insilico.com/news/ohz9ozx0t1-insilico-medicine-announces-2025-annual</x:v>
      </x:c>
    </x:row>
    <x:row r="393" ht="15" hidden="0" customHeight="1">
      <x:c r="A393" s="12" t="n">
        <x:v>26</x:v>
      </x:c>
      <x:c r="B393" s="6" t="str">
        <x:v>AI-enabled drug discovery</x:v>
      </x:c>
      <x:c r="C393" s="6" t="str">
        <x:v>b26c1</x:v>
      </x:c>
      <x:c r="D393" s="6" t="str">
        <x:v>Recursion — official company information</x:v>
      </x:c>
      <x:c r="E393" s="6" t="str">
        <x:v>Recursion</x:v>
      </x:c>
      <x:c r="F393" s="6" t="str"/>
      <x:c r="G393" s="6" t="str">
        <x:v>Company website</x:v>
      </x:c>
      <x:c r="H393" s="6" t="str">
        <x:v>Automated biological datasets and AI-led drug programmes.</x:v>
      </x:c>
      <x:c r="I393" s="6" t="str">
        <x:v>https://www.recursion.com/</x:v>
      </x:c>
    </x:row>
    <x:row r="394" ht="15" hidden="0" customHeight="1">
      <x:c r="A394" s="12" t="n">
        <x:v>26</x:v>
      </x:c>
      <x:c r="B394" s="6" t="str">
        <x:v>AI-enabled drug discovery</x:v>
      </x:c>
      <x:c r="C394" s="6" t="str">
        <x:v>b26c2</x:v>
      </x:c>
      <x:c r="D394" s="6" t="str">
        <x:v>Schrödinger — official company information</x:v>
      </x:c>
      <x:c r="E394" s="6" t="str">
        <x:v>Schrödinger</x:v>
      </x:c>
      <x:c r="F394" s="6" t="str"/>
      <x:c r="G394" s="6" t="str">
        <x:v>Company website</x:v>
      </x:c>
      <x:c r="H394" s="6" t="str">
        <x:v>Computational chemistry software and drug discovery.</x:v>
      </x:c>
      <x:c r="I394" s="6" t="str">
        <x:v>https://www.schrodinger.com/</x:v>
      </x:c>
    </x:row>
    <x:row r="395" ht="15" hidden="0" customHeight="1">
      <x:c r="A395" s="12" t="n">
        <x:v>26</x:v>
      </x:c>
      <x:c r="B395" s="6" t="str">
        <x:v>AI-enabled drug discovery</x:v>
      </x:c>
      <x:c r="C395" s="6" t="str">
        <x:v>b26c3</x:v>
      </x:c>
      <x:c r="D395" s="6" t="str">
        <x:v>Insilico Medicine — official company information</x:v>
      </x:c>
      <x:c r="E395" s="6" t="str">
        <x:v>Insilico Medicine</x:v>
      </x:c>
      <x:c r="F395" s="6" t="str"/>
      <x:c r="G395" s="6" t="str">
        <x:v>Company website</x:v>
      </x:c>
      <x:c r="H395" s="6" t="str">
        <x:v>Generative chemistry and clinical drug pipeline.</x:v>
      </x:c>
      <x:c r="I395" s="6" t="str">
        <x:v>https://insilico.com/</x:v>
      </x:c>
    </x:row>
    <x:row r="396" ht="15" hidden="0" customHeight="1">
      <x:c r="A396" s="12" t="n">
        <x:v>26</x:v>
      </x:c>
      <x:c r="B396" s="6" t="str">
        <x:v>AI-enabled drug discovery</x:v>
      </x:c>
      <x:c r="C396" s="6" t="str">
        <x:v>b26c4</x:v>
      </x:c>
      <x:c r="D396" s="6" t="str">
        <x:v>Generate Biomedicines — official company information</x:v>
      </x:c>
      <x:c r="E396" s="6" t="str">
        <x:v>Generate Biomedicines</x:v>
      </x:c>
      <x:c r="F396" s="6" t="str"/>
      <x:c r="G396" s="6" t="str">
        <x:v>Company website</x:v>
      </x:c>
      <x:c r="H396" s="6" t="str">
        <x:v>AI protein design and therapeutic programmes.</x:v>
      </x:c>
      <x:c r="I396" s="6" t="str">
        <x:v>https://investors.generatebiomedicines.com/investor-faq/</x:v>
      </x:c>
    </x:row>
    <x:row r="397" ht="15" hidden="0" customHeight="1">
      <x:c r="A397" s="12" t="n">
        <x:v>26</x:v>
      </x:c>
      <x:c r="B397" s="6" t="str">
        <x:v>AI-enabled drug discovery</x:v>
      </x:c>
      <x:c r="C397" s="6" t="str">
        <x:v>b26c5</x:v>
      </x:c>
      <x:c r="D397" s="6" t="str">
        <x:v>NVIDIA — official company information</x:v>
      </x:c>
      <x:c r="E397" s="6" t="str">
        <x:v>NVIDIA</x:v>
      </x:c>
      <x:c r="F397" s="6" t="str"/>
      <x:c r="G397" s="6" t="str">
        <x:v>Company website</x:v>
      </x:c>
      <x:c r="H397" s="6" t="str">
        <x:v>AI compute and biological model infrastructure; supplier exposure.</x:v>
      </x:c>
      <x:c r="I397" s="6" t="str">
        <x:v>https://www.nvidia.com/en-us/clara/bionemo/</x:v>
      </x:c>
    </x:row>
    <x:row r="398" ht="15" hidden="0" customHeight="1">
      <x:c r="A398" s="12" t="n">
        <x:v>26</x:v>
      </x:c>
      <x:c r="B398" s="6" t="str">
        <x:v>AI-enabled drug discovery</x:v>
      </x:c>
      <x:c r="C398" s="6" t="str">
        <x:v>b26c6</x:v>
      </x:c>
      <x:c r="D398" s="6" t="str">
        <x:v>Eli Lilly — official company information</x:v>
      </x:c>
      <x:c r="E398" s="6" t="str">
        <x:v>Eli Lilly</x:v>
      </x:c>
      <x:c r="F398" s="6" t="str"/>
      <x:c r="G398" s="6" t="str">
        <x:v>Company website</x:v>
      </x:c>
      <x:c r="H398" s="6" t="str">
        <x:v>Drug developer using AI partnerships and internal discovery capabilities.</x:v>
      </x:c>
      <x:c r="I398" s="6" t="str">
        <x:v>https://www.lilly.com/</x:v>
      </x:c>
    </x:row>
    <x:row r="399" ht="15" hidden="0" customHeight="1">
      <x:c r="A399" s="12" t="n">
        <x:v>26</x:v>
      </x:c>
      <x:c r="B399" s="6" t="str">
        <x:v>AI-enabled drug discovery</x:v>
      </x:c>
      <x:c r="C399" s="6" t="str">
        <x:v>b26c7</x:v>
      </x:c>
      <x:c r="D399" s="6" t="str">
        <x:v>Roche — official company information</x:v>
      </x:c>
      <x:c r="E399" s="6" t="str">
        <x:v>Roche</x:v>
      </x:c>
      <x:c r="F399" s="6" t="str"/>
      <x:c r="G399" s="6" t="str">
        <x:v>Company website</x:v>
      </x:c>
      <x:c r="H399" s="6" t="str">
        <x:v>Pharmaceutical research and data/AI partnerships.</x:v>
      </x:c>
      <x:c r="I399" s="6" t="str">
        <x:v>https://www.roche.com/</x:v>
      </x:c>
    </x:row>
    <x:row r="400" ht="15" hidden="0" customHeight="1">
      <x:c r="A400" s="12" t="n">
        <x:v>26</x:v>
      </x:c>
      <x:c r="B400" s="6" t="str">
        <x:v>AI-enabled drug discovery</x:v>
      </x:c>
      <x:c r="C400" s="6" t="str">
        <x:v>b26c8</x:v>
      </x:c>
      <x:c r="D400" s="6" t="str">
        <x:v>Isomorphic Labs — official company information</x:v>
      </x:c>
      <x:c r="E400" s="6" t="str">
        <x:v>Isomorphic Labs</x:v>
      </x:c>
      <x:c r="F400" s="6" t="str"/>
      <x:c r="G400" s="6" t="str">
        <x:v>Company website</x:v>
      </x:c>
      <x:c r="H400" s="6" t="str">
        <x:v>AI-designed drug discovery and pharmaceutical partnerships.</x:v>
      </x:c>
      <x:c r="I400" s="6" t="str">
        <x:v>https://www.isomorphiclabs.com/</x:v>
      </x:c>
    </x:row>
    <x:row r="401" ht="15" hidden="0" customHeight="1">
      <x:c r="A401" s="12" t="n">
        <x:v>26</x:v>
      </x:c>
      <x:c r="B401" s="6" t="str">
        <x:v>AI-enabled drug discovery</x:v>
      </x:c>
      <x:c r="C401" s="6" t="str">
        <x:v>b26c9</x:v>
      </x:c>
      <x:c r="D401" s="6" t="str">
        <x:v>insitro — official company information</x:v>
      </x:c>
      <x:c r="E401" s="6" t="str">
        <x:v>insitro</x:v>
      </x:c>
      <x:c r="F401" s="6" t="str"/>
      <x:c r="G401" s="6" t="str">
        <x:v>Company website</x:v>
      </x:c>
      <x:c r="H401" s="6" t="str">
        <x:v>Machine learning and experimental data for drug discovery.</x:v>
      </x:c>
      <x:c r="I401" s="6" t="str">
        <x:v>https://www.insitro.com/</x:v>
      </x:c>
    </x:row>
    <x:row r="402" ht="15" hidden="0" customHeight="1">
      <x:c r="A402" s="12" t="n">
        <x:v>26</x:v>
      </x:c>
      <x:c r="B402" s="6" t="str">
        <x:v>AI-enabled drug discovery</x:v>
      </x:c>
      <x:c r="C402" s="6" t="str">
        <x:v>b26c10</x:v>
      </x:c>
      <x:c r="D402" s="6" t="str">
        <x:v>Xaira Therapeutics — official company information</x:v>
      </x:c>
      <x:c r="E402" s="6" t="str">
        <x:v>Xaira Therapeutics</x:v>
      </x:c>
      <x:c r="F402" s="6" t="str"/>
      <x:c r="G402" s="6" t="str">
        <x:v>Company website</x:v>
      </x:c>
      <x:c r="H402" s="6" t="str">
        <x:v>AI models, large biological datasets and therapeutic development.</x:v>
      </x:c>
      <x:c r="I402" s="6" t="str">
        <x:v>https://www.xaira.com/</x:v>
      </x:c>
    </x:row>
    <x:row r="403" ht="15" hidden="0" customHeight="1">
      <x:c r="A403" s="12" t="n">
        <x:v>27</x:v>
      </x:c>
      <x:c r="B403" s="6" t="str">
        <x:v>Synthetic biology and biomanufacturing</x:v>
      </x:c>
      <x:c r="C403" s="6" t="str">
        <x:v>b27s1</x:v>
      </x:c>
      <x:c r="D403" s="6" t="str">
        <x:v>Fiscal 2021 financial results</x:v>
      </x:c>
      <x:c r="E403" s="6" t="str">
        <x:v>Twist Bioscience</x:v>
      </x:c>
      <x:c r="F403" s="6" t="str">
        <x:v>2021-11-22</x:v>
      </x:c>
      <x:c r="G403" s="6" t="str">
        <x:v>Company disclosure</x:v>
      </x:c>
      <x:c r="H403" s="6" t="str">
        <x:v>Approximately 372,000 genes shipped in fiscal 2021.</x:v>
      </x:c>
      <x:c r="I403" s="6" t="str">
        <x:v>https://investors.twistbioscience.com/news-releases/news-release-details/twist-bioscience-reports-fourth-quarter-and-full-year-fiscal-1/</x:v>
      </x:c>
    </x:row>
    <x:row r="404" ht="15" hidden="0" customHeight="1">
      <x:c r="A404" s="12" t="n">
        <x:v>27</x:v>
      </x:c>
      <x:c r="B404" s="6" t="str">
        <x:v>Synthetic biology and biomanufacturing</x:v>
      </x:c>
      <x:c r="C404" s="6" t="str">
        <x:v>b27s2</x:v>
      </x:c>
      <x:c r="D404" s="6" t="str">
        <x:v>Fiscal 2025 results</x:v>
      </x:c>
      <x:c r="E404" s="6" t="str">
        <x:v>Twist Bioscience / SEC</x:v>
      </x:c>
      <x:c r="F404" s="6" t="str">
        <x:v>2025-11-14</x:v>
      </x:c>
      <x:c r="G404" s="6" t="str">
        <x:v>Regulatory filing</x:v>
      </x:c>
      <x:c r="H404" s="6" t="str">
        <x:v>938,000 genes shipped in FY2025 versus 772,000 in FY2024.</x:v>
      </x:c>
      <x:c r="I404" s="6" t="str">
        <x:v>https://www.sec.gov/Archives/edgar/data/1581280/000158128025000020/twst-20250930xex991.htm</x:v>
      </x:c>
    </x:row>
    <x:row r="405" ht="15" hidden="0" customHeight="1">
      <x:c r="A405" s="12" t="n">
        <x:v>27</x:v>
      </x:c>
      <x:c r="B405" s="6" t="str">
        <x:v>Synthetic biology and biomanufacturing</x:v>
      </x:c>
      <x:c r="C405" s="6" t="str">
        <x:v>b27s3</x:v>
      </x:c>
      <x:c r="D405" s="6" t="str">
        <x:v>Fiscal 2025 annual report</x:v>
      </x:c>
      <x:c r="E405" s="6" t="str">
        <x:v>Twist Bioscience</x:v>
      </x:c>
      <x:c r="F405" s="6" t="str"/>
      <x:c r="G405" s="6" t="str">
        <x:v>Company annual report</x:v>
      </x:c>
      <x:c r="H405" s="6" t="str">
        <x:v>Business mix and annual reporting context.</x:v>
      </x:c>
      <x:c r="I405" s="6" t="str">
        <x:v>https://investors.twistbioscience.com/static-files/8c1d5bed-df6f-48d5-832f-eb2f32717c27</x:v>
      </x:c>
    </x:row>
    <x:row r="406" ht="15" hidden="0" customHeight="1">
      <x:c r="A406" s="12" t="n">
        <x:v>27</x:v>
      </x:c>
      <x:c r="B406" s="6" t="str">
        <x:v>Synthetic biology and biomanufacturing</x:v>
      </x:c>
      <x:c r="C406" s="6" t="str">
        <x:v>b27c1</x:v>
      </x:c>
      <x:c r="D406" s="6" t="str">
        <x:v>Twist Bioscience — official company information</x:v>
      </x:c>
      <x:c r="E406" s="6" t="str">
        <x:v>Twist Bioscience</x:v>
      </x:c>
      <x:c r="F406" s="6" t="str"/>
      <x:c r="G406" s="6" t="str">
        <x:v>Company website</x:v>
      </x:c>
      <x:c r="H406" s="6" t="str">
        <x:v>Synthetic DNA and gene synthesis.</x:v>
      </x:c>
      <x:c r="I406" s="6" t="str">
        <x:v>https://www.twistbioscience.com/</x:v>
      </x:c>
    </x:row>
    <x:row r="407" ht="15" hidden="0" customHeight="1">
      <x:c r="A407" s="12" t="n">
        <x:v>27</x:v>
      </x:c>
      <x:c r="B407" s="6" t="str">
        <x:v>Synthetic biology and biomanufacturing</x:v>
      </x:c>
      <x:c r="C407" s="6" t="str">
        <x:v>b27c2</x:v>
      </x:c>
      <x:c r="D407" s="6" t="str">
        <x:v>Ginkgo Bioworks — official company information</x:v>
      </x:c>
      <x:c r="E407" s="6" t="str">
        <x:v>Ginkgo Bioworks</x:v>
      </x:c>
      <x:c r="F407" s="6" t="str"/>
      <x:c r="G407" s="6" t="str">
        <x:v>Company website</x:v>
      </x:c>
      <x:c r="H407" s="6" t="str">
        <x:v>Cell engineering services and laboratory infrastructure.</x:v>
      </x:c>
      <x:c r="I407" s="6" t="str">
        <x:v>https://www.ginkgobioworks.com/</x:v>
      </x:c>
    </x:row>
    <x:row r="408" ht="15" hidden="0" customHeight="1">
      <x:c r="A408" s="12" t="n">
        <x:v>27</x:v>
      </x:c>
      <x:c r="B408" s="6" t="str">
        <x:v>Synthetic biology and biomanufacturing</x:v>
      </x:c>
      <x:c r="C408" s="6" t="str">
        <x:v>b27c3</x:v>
      </x:c>
      <x:c r="D408" s="6" t="str">
        <x:v>Thermo Fisher Scientific — official company information</x:v>
      </x:c>
      <x:c r="E408" s="6" t="str">
        <x:v>Thermo Fisher Scientific</x:v>
      </x:c>
      <x:c r="F408" s="6" t="str"/>
      <x:c r="G408" s="6" t="str">
        <x:v>Company website</x:v>
      </x:c>
      <x:c r="H408" s="6" t="str">
        <x:v>Bioprocess inputs, instruments and manufacturing services.</x:v>
      </x:c>
      <x:c r="I408" s="6" t="str">
        <x:v>https://www.thermofisher.com/</x:v>
      </x:c>
    </x:row>
    <x:row r="409" ht="15" hidden="0" customHeight="1">
      <x:c r="A409" s="12" t="n">
        <x:v>27</x:v>
      </x:c>
      <x:c r="B409" s="6" t="str">
        <x:v>Synthetic biology and biomanufacturing</x:v>
      </x:c>
      <x:c r="C409" s="6" t="str">
        <x:v>b27c4</x:v>
      </x:c>
      <x:c r="D409" s="6" t="str">
        <x:v>Danaher — official company information</x:v>
      </x:c>
      <x:c r="E409" s="6" t="str">
        <x:v>Danaher</x:v>
      </x:c>
      <x:c r="F409" s="6" t="str"/>
      <x:c r="G409" s="6" t="str">
        <x:v>Company website</x:v>
      </x:c>
      <x:c r="H409" s="6" t="str">
        <x:v>Bioprocess equipment and analytical tools.</x:v>
      </x:c>
      <x:c r="I409" s="6" t="str">
        <x:v>https://www.danaher.com/</x:v>
      </x:c>
    </x:row>
    <x:row r="410" ht="15" hidden="0" customHeight="1">
      <x:c r="A410" s="12" t="n">
        <x:v>27</x:v>
      </x:c>
      <x:c r="B410" s="6" t="str">
        <x:v>Synthetic biology and biomanufacturing</x:v>
      </x:c>
      <x:c r="C410" s="6" t="str">
        <x:v>b27c5</x:v>
      </x:c>
      <x:c r="D410" s="6" t="str">
        <x:v>Sartorius — official company information</x:v>
      </x:c>
      <x:c r="E410" s="6" t="str">
        <x:v>Sartorius</x:v>
      </x:c>
      <x:c r="F410" s="6" t="str"/>
      <x:c r="G410" s="6" t="str">
        <x:v>Company website</x:v>
      </x:c>
      <x:c r="H410" s="6" t="str">
        <x:v>Bioreactors and bioprocess systems.</x:v>
      </x:c>
      <x:c r="I410" s="6" t="str">
        <x:v>https://www.sartorius.com/</x:v>
      </x:c>
    </x:row>
    <x:row r="411" ht="15" hidden="0" customHeight="1">
      <x:c r="A411" s="12" t="n">
        <x:v>27</x:v>
      </x:c>
      <x:c r="B411" s="6" t="str">
        <x:v>Synthetic biology and biomanufacturing</x:v>
      </x:c>
      <x:c r="C411" s="6" t="str">
        <x:v>b27c6</x:v>
      </x:c>
      <x:c r="D411" s="6" t="str">
        <x:v>Merck KGaA — official company information</x:v>
      </x:c>
      <x:c r="E411" s="6" t="str">
        <x:v>Merck KGaA</x:v>
      </x:c>
      <x:c r="F411" s="6" t="str"/>
      <x:c r="G411" s="6" t="str">
        <x:v>Company website</x:v>
      </x:c>
      <x:c r="H411" s="6" t="str">
        <x:v>Life-science inputs and bioprocess technology.</x:v>
      </x:c>
      <x:c r="I411" s="6" t="str">
        <x:v>https://www.merckgroup.com/</x:v>
      </x:c>
    </x:row>
    <x:row r="412" ht="15" hidden="0" customHeight="1">
      <x:c r="A412" s="12" t="n">
        <x:v>27</x:v>
      </x:c>
      <x:c r="B412" s="6" t="str">
        <x:v>Synthetic biology and biomanufacturing</x:v>
      </x:c>
      <x:c r="C412" s="6" t="str">
        <x:v>b27c7</x:v>
      </x:c>
      <x:c r="D412" s="6" t="str">
        <x:v>Novonesis — official company information</x:v>
      </x:c>
      <x:c r="E412" s="6" t="str">
        <x:v>Novonesis</x:v>
      </x:c>
      <x:c r="F412" s="6" t="str"/>
      <x:c r="G412" s="6" t="str">
        <x:v>Company website</x:v>
      </x:c>
      <x:c r="H412" s="6" t="str">
        <x:v>Industrial enzymes and microbial biosolutions.</x:v>
      </x:c>
      <x:c r="I412" s="6" t="str">
        <x:v>https://www.novonesis.com/</x:v>
      </x:c>
    </x:row>
    <x:row r="413" ht="15" hidden="0" customHeight="1">
      <x:c r="A413" s="12" t="n">
        <x:v>27</x:v>
      </x:c>
      <x:c r="B413" s="6" t="str">
        <x:v>Synthetic biology and biomanufacturing</x:v>
      </x:c>
      <x:c r="C413" s="6" t="str">
        <x:v>b27c8</x:v>
      </x:c>
      <x:c r="D413" s="6" t="str">
        <x:v>Solugen — official company information</x:v>
      </x:c>
      <x:c r="E413" s="6" t="str">
        <x:v>Solugen</x:v>
      </x:c>
      <x:c r="F413" s="6" t="str"/>
      <x:c r="G413" s="6" t="str">
        <x:v>Company website</x:v>
      </x:c>
      <x:c r="H413" s="6" t="str">
        <x:v>Engineered enzymes and chemical manufacturing processes.</x:v>
      </x:c>
      <x:c r="I413" s="6" t="str">
        <x:v>https://solugen.com/</x:v>
      </x:c>
    </x:row>
    <x:row r="414" ht="15" hidden="0" customHeight="1">
      <x:c r="A414" s="12" t="n">
        <x:v>27</x:v>
      </x:c>
      <x:c r="B414" s="6" t="str">
        <x:v>Synthetic biology and biomanufacturing</x:v>
      </x:c>
      <x:c r="C414" s="6" t="str">
        <x:v>b27c9</x:v>
      </x:c>
      <x:c r="D414" s="6" t="str">
        <x:v>Antheia — official company information</x:v>
      </x:c>
      <x:c r="E414" s="6" t="str">
        <x:v>Antheia</x:v>
      </x:c>
      <x:c r="F414" s="6" t="str"/>
      <x:c r="G414" s="6" t="str">
        <x:v>Company website</x:v>
      </x:c>
      <x:c r="H414" s="6" t="str">
        <x:v>Engineered fermentation for pharmaceutical ingredients.</x:v>
      </x:c>
      <x:c r="I414" s="6" t="str">
        <x:v>https://antheia.bio/</x:v>
      </x:c>
    </x:row>
    <x:row r="415" ht="15" hidden="0" customHeight="1">
      <x:c r="A415" s="12" t="n">
        <x:v>27</x:v>
      </x:c>
      <x:c r="B415" s="6" t="str">
        <x:v>Synthetic biology and biomanufacturing</x:v>
      </x:c>
      <x:c r="C415" s="6" t="str">
        <x:v>b27c10</x:v>
      </x:c>
      <x:c r="D415" s="6" t="str">
        <x:v>Asimov — official company information</x:v>
      </x:c>
      <x:c r="E415" s="6" t="str">
        <x:v>Asimov</x:v>
      </x:c>
      <x:c r="F415" s="6" t="str"/>
      <x:c r="G415" s="6" t="str">
        <x:v>Company website</x:v>
      </x:c>
      <x:c r="H415" s="6" t="str">
        <x:v>Cell engineering and synthetic-biology tools.</x:v>
      </x:c>
      <x:c r="I415" s="6" t="str">
        <x:v>https://www.asimov.com/</x:v>
      </x:c>
    </x:row>
    <x:row r="416" ht="15" hidden="0" customHeight="1">
      <x:c r="A416" s="12" t="n">
        <x:v>27</x:v>
      </x:c>
      <x:c r="B416" s="6" t="str">
        <x:v>Synthetic biology and biomanufacturing</x:v>
      </x:c>
      <x:c r="C416" s="6" t="str">
        <x:v>b27s4</x:v>
      </x:c>
      <x:c r="D416" s="6" t="str">
        <x:v>Chrysalis transposase launch</x:v>
      </x:c>
      <x:c r="E416" s="6" t="str">
        <x:v>Asimov</x:v>
      </x:c>
      <x:c r="F416" s="6" t="str">
        <x:v>2026-06-23</x:v>
      </x:c>
      <x:c r="G416" s="6" t="str">
        <x:v>Company disclosure</x:v>
      </x:c>
      <x:c r="H416" s="6" t="str">
        <x:v>New engineered genome-integration tool for biotherapeutic production.</x:v>
      </x:c>
      <x:c r="I416" s="6" t="str">
        <x:v>https://www.asimov.com/news/asimov-launches-chrysalis-transposase-a-wholly-owned-genome-integration-tool-for-biotherapeutics-production</x:v>
      </x:c>
    </x:row>
    <x:row r="417" ht="15" hidden="0" customHeight="1">
      <x:c r="A417" s="12" t="n">
        <x:v>28</x:v>
      </x:c>
      <x:c r="B417" s="6" t="str">
        <x:v>Precision fermentation for food</x:v>
      </x:c>
      <x:c r="C417" s="6" t="str">
        <x:v>b28s1</x:v>
      </x:c>
      <x:c r="D417" s="6" t="str">
        <x:v>2025 state of the fermentation industry</x:v>
      </x:c>
      <x:c r="E417" s="6" t="str">
        <x:v>Good Food Institute</x:v>
      </x:c>
      <x:c r="F417" s="6" t="str"/>
      <x:c r="G417" s="6" t="str">
        <x:v>Industry dataset</x:v>
      </x:c>
      <x:c r="H417" s="6" t="str">
        <x:v>Fermentation investment: $357 million in 2025 versus $632 million in 2024; broader than precision fermentation.</x:v>
      </x:c>
      <x:c r="I417" s="6" t="str">
        <x:v>https://gfi.org/resource/fermentation-meat-seafood-eggs-dairy-and-ingredients-state-of-the-industry/</x:v>
      </x:c>
    </x:row>
    <x:row r="418" ht="15" hidden="0" customHeight="1">
      <x:c r="A418" s="12" t="n">
        <x:v>28</x:v>
      </x:c>
      <x:c r="B418" s="6" t="str">
        <x:v>Precision fermentation for food</x:v>
      </x:c>
      <x:c r="C418" s="6" t="str">
        <x:v>b28s2</x:v>
      </x:c>
      <x:c r="D418" s="6" t="str">
        <x:v>Record investment in alternative proteins in 2021</x:v>
      </x:c>
      <x:c r="E418" s="6" t="str">
        <x:v>Good Food Institute</x:v>
      </x:c>
      <x:c r="F418" s="6" t="str"/>
      <x:c r="G418" s="6" t="str">
        <x:v>Industry dataset</x:v>
      </x:c>
      <x:c r="H418" s="6" t="str">
        <x:v>Historical funding context; older methodology is not assumed comparable.</x:v>
      </x:c>
      <x:c r="I418" s="6" t="str">
        <x:v>https://gfi.org/press/record-5-billion-invested-in-alt-proteins-in-2021/</x:v>
      </x:c>
    </x:row>
    <x:row r="419" ht="15" hidden="0" customHeight="1">
      <x:c r="A419" s="12" t="n">
        <x:v>28</x:v>
      </x:c>
      <x:c r="B419" s="6" t="str">
        <x:v>Precision fermentation for food</x:v>
      </x:c>
      <x:c r="C419" s="6" t="str">
        <x:v>b28s3</x:v>
      </x:c>
      <x:c r="D419" s="6" t="str">
        <x:v>2024 fermentation state of the industry</x:v>
      </x:c>
      <x:c r="E419" s="6" t="str">
        <x:v>Good Food Institute</x:v>
      </x:c>
      <x:c r="F419" s="6" t="str"/>
      <x:c r="G419" s="6" t="str">
        <x:v>Industry report</x:v>
      </x:c>
      <x:c r="H419" s="6" t="str">
        <x:v>Technology, companies, commercialisation and regulatory context.</x:v>
      </x:c>
      <x:c r="I419" s="6" t="str">
        <x:v>https://gfi.org/wp-content/uploads/2025/05/2024-State-of-the-Industry-Fermentation-for-meat-seafood-eggs-dairy-and-ingredients.pdf</x:v>
      </x:c>
    </x:row>
    <x:row r="420" ht="15" hidden="0" customHeight="1">
      <x:c r="A420" s="12" t="n">
        <x:v>28</x:v>
      </x:c>
      <x:c r="B420" s="6" t="str">
        <x:v>Precision fermentation for food</x:v>
      </x:c>
      <x:c r="C420" s="6" t="str">
        <x:v>b28c1</x:v>
      </x:c>
      <x:c r="D420" s="6" t="str">
        <x:v>Novonesis — official company information</x:v>
      </x:c>
      <x:c r="E420" s="6" t="str">
        <x:v>Novonesis</x:v>
      </x:c>
      <x:c r="F420" s="6" t="str"/>
      <x:c r="G420" s="6" t="str">
        <x:v>Company website</x:v>
      </x:c>
      <x:c r="H420" s="6" t="str">
        <x:v>Microbial, enzyme and fermentation expertise; supplier and ingredient exposure.</x:v>
      </x:c>
      <x:c r="I420" s="6" t="str">
        <x:v>https://www.novonesis.com/</x:v>
      </x:c>
    </x:row>
    <x:row r="421" ht="15" hidden="0" customHeight="1">
      <x:c r="A421" s="12" t="n">
        <x:v>28</x:v>
      </x:c>
      <x:c r="B421" s="6" t="str">
        <x:v>Precision fermentation for food</x:v>
      </x:c>
      <x:c r="C421" s="6" t="str">
        <x:v>b28c2</x:v>
      </x:c>
      <x:c r="D421" s="6" t="str">
        <x:v>dsm-firmenich — official company information</x:v>
      </x:c>
      <x:c r="E421" s="6" t="str">
        <x:v>dsm-firmenich</x:v>
      </x:c>
      <x:c r="F421" s="6" t="str"/>
      <x:c r="G421" s="6" t="str">
        <x:v>Company website</x:v>
      </x:c>
      <x:c r="H421" s="6" t="str">
        <x:v>Food ingredient development and commercial partnerships.</x:v>
      </x:c>
      <x:c r="I421" s="6" t="str">
        <x:v>https://www.dsm-firmenich.com/</x:v>
      </x:c>
    </x:row>
    <x:row r="422" ht="15" hidden="0" customHeight="1">
      <x:c r="A422" s="12" t="n">
        <x:v>28</x:v>
      </x:c>
      <x:c r="B422" s="6" t="str">
        <x:v>Precision fermentation for food</x:v>
      </x:c>
      <x:c r="C422" s="6" t="str">
        <x:v>b28c3</x:v>
      </x:c>
      <x:c r="D422" s="6" t="str">
        <x:v>GEA Group — official company information</x:v>
      </x:c>
      <x:c r="E422" s="6" t="str">
        <x:v>GEA Group</x:v>
      </x:c>
      <x:c r="F422" s="6" t="str"/>
      <x:c r="G422" s="6" t="str">
        <x:v>Company website</x:v>
      </x:c>
      <x:c r="H422" s="6" t="str">
        <x:v>Fermentation and downstream processing equipment.</x:v>
      </x:c>
      <x:c r="I422" s="6" t="str">
        <x:v>https://www.gea.com/</x:v>
      </x:c>
    </x:row>
    <x:row r="423" ht="15" hidden="0" customHeight="1">
      <x:c r="A423" s="12" t="n">
        <x:v>28</x:v>
      </x:c>
      <x:c r="B423" s="6" t="str">
        <x:v>Precision fermentation for food</x:v>
      </x:c>
      <x:c r="C423" s="6" t="str">
        <x:v>b28c4</x:v>
      </x:c>
      <x:c r="D423" s="6" t="str">
        <x:v>Danone — official company information</x:v>
      </x:c>
      <x:c r="E423" s="6" t="str">
        <x:v>Danone</x:v>
      </x:c>
      <x:c r="F423" s="6" t="str"/>
      <x:c r="G423" s="6" t="str">
        <x:v>Company website</x:v>
      </x:c>
      <x:c r="H423" s="6" t="str">
        <x:v>Food formulation, investment and route-to-market exposure.</x:v>
      </x:c>
      <x:c r="I423" s="6" t="str">
        <x:v>https://www.danone.com/</x:v>
      </x:c>
    </x:row>
    <x:row r="424" ht="15" hidden="0" customHeight="1">
      <x:c r="A424" s="12" t="n">
        <x:v>28</x:v>
      </x:c>
      <x:c r="B424" s="6" t="str">
        <x:v>Precision fermentation for food</x:v>
      </x:c>
      <x:c r="C424" s="6" t="str">
        <x:v>b28c5</x:v>
      </x:c>
      <x:c r="D424" s="6" t="str">
        <x:v>The EVERY Company — official company information</x:v>
      </x:c>
      <x:c r="E424" s="6" t="str">
        <x:v>The EVERY Company</x:v>
      </x:c>
      <x:c r="F424" s="6" t="str"/>
      <x:c r="G424" s="6" t="str">
        <x:v>Company website</x:v>
      </x:c>
      <x:c r="H424" s="6" t="str">
        <x:v>Precision-fermented egg proteins and functional ingredients.</x:v>
      </x:c>
      <x:c r="I424" s="6" t="str">
        <x:v>https://www.every.com/</x:v>
      </x:c>
    </x:row>
    <x:row r="425" ht="15" hidden="0" customHeight="1">
      <x:c r="A425" s="12" t="n">
        <x:v>28</x:v>
      </x:c>
      <x:c r="B425" s="6" t="str">
        <x:v>Precision fermentation for food</x:v>
      </x:c>
      <x:c r="C425" s="6" t="str">
        <x:v>b28c6</x:v>
      </x:c>
      <x:c r="D425" s="6" t="str">
        <x:v>Remilk — official company information</x:v>
      </x:c>
      <x:c r="E425" s="6" t="str">
        <x:v>Remilk</x:v>
      </x:c>
      <x:c r="F425" s="6" t="str"/>
      <x:c r="G425" s="6" t="str">
        <x:v>Company website</x:v>
      </x:c>
      <x:c r="H425" s="6" t="str">
        <x:v>Fermentation-derived dairy proteins.</x:v>
      </x:c>
      <x:c r="I425" s="6" t="str">
        <x:v>https://www.remilk.com/</x:v>
      </x:c>
    </x:row>
    <x:row r="426" ht="15" hidden="0" customHeight="1">
      <x:c r="A426" s="12" t="n">
        <x:v>28</x:v>
      </x:c>
      <x:c r="B426" s="6" t="str">
        <x:v>Precision fermentation for food</x:v>
      </x:c>
      <x:c r="C426" s="6" t="str">
        <x:v>b28c7</x:v>
      </x:c>
      <x:c r="D426" s="6" t="str">
        <x:v>New Culture — official company information</x:v>
      </x:c>
      <x:c r="E426" s="6" t="str">
        <x:v>New Culture</x:v>
      </x:c>
      <x:c r="F426" s="6" t="str"/>
      <x:c r="G426" s="6" t="str">
        <x:v>Company website</x:v>
      </x:c>
      <x:c r="H426" s="6" t="str">
        <x:v>Fermentation-derived casein for cheese.</x:v>
      </x:c>
      <x:c r="I426" s="6" t="str">
        <x:v>https://www.newculture.com/</x:v>
      </x:c>
    </x:row>
    <x:row r="427" ht="15" hidden="0" customHeight="1">
      <x:c r="A427" s="12" t="n">
        <x:v>28</x:v>
      </x:c>
      <x:c r="B427" s="6" t="str">
        <x:v>Precision fermentation for food</x:v>
      </x:c>
      <x:c r="C427" s="6" t="str">
        <x:v>b28c8</x:v>
      </x:c>
      <x:c r="D427" s="6" t="str">
        <x:v>Imagindairy — official company information</x:v>
      </x:c>
      <x:c r="E427" s="6" t="str">
        <x:v>Imagindairy</x:v>
      </x:c>
      <x:c r="F427" s="6" t="str"/>
      <x:c r="G427" s="6" t="str">
        <x:v>Company website</x:v>
      </x:c>
      <x:c r="H427" s="6" t="str">
        <x:v>Dairy proteins produced by precision fermentation.</x:v>
      </x:c>
      <x:c r="I427" s="6" t="str">
        <x:v>https://imagindairy.com/</x:v>
      </x:c>
    </x:row>
    <x:row r="428" ht="15" hidden="0" customHeight="1">
      <x:c r="A428" s="12" t="n">
        <x:v>28</x:v>
      </x:c>
      <x:c r="B428" s="6" t="str">
        <x:v>Precision fermentation for food</x:v>
      </x:c>
      <x:c r="C428" s="6" t="str">
        <x:v>b28c9</x:v>
      </x:c>
      <x:c r="D428" s="6" t="str">
        <x:v>Vivici — official company information</x:v>
      </x:c>
      <x:c r="E428" s="6" t="str">
        <x:v>Vivici</x:v>
      </x:c>
      <x:c r="F428" s="6" t="str"/>
      <x:c r="G428" s="6" t="str">
        <x:v>Company website</x:v>
      </x:c>
      <x:c r="H428" s="6" t="str">
        <x:v>Fermentation-derived protein ingredients.</x:v>
      </x:c>
      <x:c r="I428" s="6" t="str">
        <x:v>https://www.vivici.com/</x:v>
      </x:c>
    </x:row>
    <x:row r="429" ht="15" hidden="0" customHeight="1">
      <x:c r="A429" s="12" t="n">
        <x:v>28</x:v>
      </x:c>
      <x:c r="B429" s="6" t="str">
        <x:v>Precision fermentation for food</x:v>
      </x:c>
      <x:c r="C429" s="6" t="str">
        <x:v>b28c10</x:v>
      </x:c>
      <x:c r="D429" s="6" t="str">
        <x:v>Formo — official company information</x:v>
      </x:c>
      <x:c r="E429" s="6" t="str">
        <x:v>Formo</x:v>
      </x:c>
      <x:c r="F429" s="6" t="str"/>
      <x:c r="G429" s="6" t="str">
        <x:v>Company website</x:v>
      </x:c>
      <x:c r="H429" s="6" t="str">
        <x:v>Fermentation-based food ingredients and products; distinguish precision from biomass platforms.</x:v>
      </x:c>
      <x:c r="I429" s="6" t="str">
        <x:v>https://formo.bio/</x:v>
      </x:c>
    </x:row>
    <x:row r="430" ht="15" hidden="0" customHeight="1">
      <x:c r="A430" s="12" t="n">
        <x:v>29</x:v>
      </x:c>
      <x:c r="B430" s="6" t="str">
        <x:v>Organoids and organ-on-chip testing</x:v>
      </x:c>
      <x:c r="C430" s="6" t="str">
        <x:v>b29s1</x:v>
      </x:c>
      <x:c r="D430" s="6" t="str">
        <x:v>150th user installation milestone</x:v>
      </x:c>
      <x:c r="E430" s="6" t="str">
        <x:v>Emulate</x:v>
      </x:c>
      <x:c r="F430" s="6" t="str">
        <x:v>2020-03-19</x:v>
      </x:c>
      <x:c r="G430" s="6" t="str">
        <x:v>Company disclosure</x:v>
      </x:c>
      <x:c r="H430" s="6" t="str">
        <x:v>150 installed instruments; context outside the five-year window.</x:v>
      </x:c>
      <x:c r="I430" s="6" t="str">
        <x:v>https://emulatebio.com/press/150th-user-installations-milestone/</x:v>
      </x:c>
    </x:row>
    <x:row r="431" ht="15" hidden="0" customHeight="1">
      <x:c r="A431" s="12" t="n">
        <x:v>29</x:v>
      </x:c>
      <x:c r="B431" s="6" t="str">
        <x:v>Organoids and organ-on-chip testing</x:v>
      </x:c>
      <x:c r="C431" s="6" t="str">
        <x:v>b29s2</x:v>
      </x:c>
      <x:c r="D431" s="6" t="str">
        <x:v>2023 technology innovation leadership award</x:v>
      </x:c>
      <x:c r="E431" s="6" t="str">
        <x:v>Emulate</x:v>
      </x:c>
      <x:c r="F431" s="6" t="str">
        <x:v>2023-12-14</x:v>
      </x:c>
      <x:c r="G431" s="6" t="str">
        <x:v>Company disclosure</x:v>
      </x:c>
      <x:c r="H431" s="6" t="str">
        <x:v>December 2023 page, reproducing an October award announcement, reports more than 430 installed instruments.</x:v>
      </x:c>
      <x:c r="I431" s="6" t="str">
        <x:v>https://emulatebio.com/press/emulate-earns-frost-sullivans-2023-technology-innovation-leadership-award/</x:v>
      </x:c>
    </x:row>
    <x:row r="432" ht="15" hidden="0" customHeight="1">
      <x:c r="A432" s="12" t="n">
        <x:v>29</x:v>
      </x:c>
      <x:c r="B432" s="6" t="str">
        <x:v>Organoids and organ-on-chip testing</x:v>
      </x:c>
      <x:c r="C432" s="6" t="str">
        <x:v>b29s3</x:v>
      </x:c>
      <x:c r="D432" s="6" t="str">
        <x:v>Series E announcement</x:v>
      </x:c>
      <x:c r="E432" s="6" t="str">
        <x:v>Emulate</x:v>
      </x:c>
      <x:c r="F432" s="6" t="str"/>
      <x:c r="G432" s="6" t="str">
        <x:v>Company disclosure</x:v>
      </x:c>
      <x:c r="H432" s="6" t="str">
        <x:v>2021 financing and commercial development context.</x:v>
      </x:c>
      <x:c r="I432" s="6" t="str">
        <x:v>https://emulatebio.com/series-e-announcement/</x:v>
      </x:c>
    </x:row>
    <x:row r="433" ht="15" hidden="0" customHeight="1">
      <x:c r="A433" s="12" t="n">
        <x:v>29</x:v>
      </x:c>
      <x:c r="B433" s="6" t="str">
        <x:v>Organoids and organ-on-chip testing</x:v>
      </x:c>
      <x:c r="C433" s="6" t="str">
        <x:v>b29s4</x:v>
      </x:c>
      <x:c r="D433" s="6" t="str">
        <x:v>FDA plan to phase out certain animal testing requirements</x:v>
      </x:c>
      <x:c r="E433" s="6" t="str">
        <x:v>US FDA</x:v>
      </x:c>
      <x:c r="F433" s="6" t="str">
        <x:v>2025-04-10</x:v>
      </x:c>
      <x:c r="G433" s="6" t="str">
        <x:v>Regulatory announcement</x:v>
      </x:c>
      <x:c r="H433" s="6" t="str">
        <x:v>Roadmap for alternative methods; not universal immediate replacement.</x:v>
      </x:c>
      <x:c r="I433" s="6" t="str">
        <x:v>https://www.fda.gov/news-events/press-announcements/fda-announces-plan-phase-out-animal-testing-requirement-monoclonal-antibodies-and-other-drugs</x:v>
      </x:c>
    </x:row>
    <x:row r="434" ht="15" hidden="0" customHeight="1">
      <x:c r="A434" s="12" t="n">
        <x:v>29</x:v>
      </x:c>
      <x:c r="B434" s="6" t="str">
        <x:v>Organoids and organ-on-chip testing</x:v>
      </x:c>
      <x:c r="C434" s="6" t="str">
        <x:v>b29s5</x:v>
      </x:c>
      <x:c r="D434" s="6" t="str">
        <x:v>Draft guidance on alternatives to animal testing</x:v>
      </x:c>
      <x:c r="E434" s="6" t="str">
        <x:v>US FDA</x:v>
      </x:c>
      <x:c r="F434" s="6" t="str">
        <x:v>2026-03-18</x:v>
      </x:c>
      <x:c r="G434" s="6" t="str">
        <x:v>Regulatory announcement</x:v>
      </x:c>
      <x:c r="H434" s="6" t="str">
        <x:v>Context-of-use validation of new approach methodologies.</x:v>
      </x:c>
      <x:c r="I434" s="6" t="str">
        <x:v>https://www.fda.gov/news-events/press-announcements/fda-releases-draft-guidance-alternatives-animal-testing-drug-development</x:v>
      </x:c>
    </x:row>
    <x:row r="435" ht="15" hidden="0" customHeight="1">
      <x:c r="A435" s="12" t="n">
        <x:v>29</x:v>
      </x:c>
      <x:c r="B435" s="6" t="str">
        <x:v>Organoids and organ-on-chip testing</x:v>
      </x:c>
      <x:c r="C435" s="6" t="str">
        <x:v>b29c1</x:v>
      </x:c>
      <x:c r="D435" s="6" t="str">
        <x:v>Thermo Fisher Scientific — official company information</x:v>
      </x:c>
      <x:c r="E435" s="6" t="str">
        <x:v>Thermo Fisher Scientific</x:v>
      </x:c>
      <x:c r="F435" s="6" t="str"/>
      <x:c r="G435" s="6" t="str">
        <x:v>Company website</x:v>
      </x:c>
      <x:c r="H435" s="6" t="str">
        <x:v>Cell culture reagents, analytical instruments and research workflows.</x:v>
      </x:c>
      <x:c r="I435" s="6" t="str">
        <x:v>https://www.thermofisher.com/</x:v>
      </x:c>
    </x:row>
    <x:row r="436" ht="15" hidden="0" customHeight="1">
      <x:c r="A436" s="12" t="n">
        <x:v>29</x:v>
      </x:c>
      <x:c r="B436" s="6" t="str">
        <x:v>Organoids and organ-on-chip testing</x:v>
      </x:c>
      <x:c r="C436" s="6" t="str">
        <x:v>b29c2</x:v>
      </x:c>
      <x:c r="D436" s="6" t="str">
        <x:v>Danaher / Molecular Devices — official company information</x:v>
      </x:c>
      <x:c r="E436" s="6" t="str">
        <x:v>Danaher / Molecular Devices</x:v>
      </x:c>
      <x:c r="F436" s="6" t="str"/>
      <x:c r="G436" s="6" t="str">
        <x:v>Company website</x:v>
      </x:c>
      <x:c r="H436" s="6" t="str">
        <x:v>Public parent; organoid imaging, automation and analytical instruments.</x:v>
      </x:c>
      <x:c r="I436" s="6" t="str">
        <x:v>https://www.moleculardevices.com/</x:v>
      </x:c>
    </x:row>
    <x:row r="437" ht="15" hidden="0" customHeight="1">
      <x:c r="A437" s="12" t="n">
        <x:v>29</x:v>
      </x:c>
      <x:c r="B437" s="6" t="str">
        <x:v>Organoids and organ-on-chip testing</x:v>
      </x:c>
      <x:c r="C437" s="6" t="str">
        <x:v>b29c3</x:v>
      </x:c>
      <x:c r="D437" s="6" t="str">
        <x:v>Sartorius — official company information</x:v>
      </x:c>
      <x:c r="E437" s="6" t="str">
        <x:v>Sartorius</x:v>
      </x:c>
      <x:c r="F437" s="6" t="str"/>
      <x:c r="G437" s="6" t="str">
        <x:v>Company website</x:v>
      </x:c>
      <x:c r="H437" s="6" t="str">
        <x:v>Cell analysis and culture process tools.</x:v>
      </x:c>
      <x:c r="I437" s="6" t="str">
        <x:v>https://www.sartorius.com/</x:v>
      </x:c>
    </x:row>
    <x:row r="438" ht="15" hidden="0" customHeight="1">
      <x:c r="A438" s="12" t="n">
        <x:v>29</x:v>
      </x:c>
      <x:c r="B438" s="6" t="str">
        <x:v>Organoids and organ-on-chip testing</x:v>
      </x:c>
      <x:c r="C438" s="6" t="str">
        <x:v>b29c4</x:v>
      </x:c>
      <x:c r="D438" s="6" t="str">
        <x:v>Merck KGaA / HUB Organoids — official company information</x:v>
      </x:c>
      <x:c r="E438" s="6" t="str">
        <x:v>Merck KGaA / HUB Organoids</x:v>
      </x:c>
      <x:c r="F438" s="6" t="str"/>
      <x:c r="G438" s="6" t="str">
        <x:v>Company website</x:v>
      </x:c>
      <x:c r="H438" s="6" t="str">
        <x:v>Public parent; organoid models, culture reagents and testing tools.</x:v>
      </x:c>
      <x:c r="I438" s="6" t="str">
        <x:v>https://www.merckgroup.com/</x:v>
      </x:c>
    </x:row>
    <x:row r="439" ht="15" hidden="0" customHeight="1">
      <x:c r="A439" s="12" t="n">
        <x:v>29</x:v>
      </x:c>
      <x:c r="B439" s="6" t="str">
        <x:v>Organoids and organ-on-chip testing</x:v>
      </x:c>
      <x:c r="C439" s="6" t="str">
        <x:v>b29c5</x:v>
      </x:c>
      <x:c r="D439" s="6" t="str">
        <x:v>Corning — official company information</x:v>
      </x:c>
      <x:c r="E439" s="6" t="str">
        <x:v>Corning</x:v>
      </x:c>
      <x:c r="F439" s="6" t="str"/>
      <x:c r="G439" s="6" t="str">
        <x:v>Company website</x:v>
      </x:c>
      <x:c r="H439" s="6" t="str">
        <x:v>Matrices, culture vessels and organoid laboratory consumables.</x:v>
      </x:c>
      <x:c r="I439" s="6" t="str">
        <x:v>https://www.corning.com/lifesciences/</x:v>
      </x:c>
    </x:row>
    <x:row r="440" ht="15" hidden="0" customHeight="1">
      <x:c r="A440" s="12" t="n">
        <x:v>29</x:v>
      </x:c>
      <x:c r="B440" s="6" t="str">
        <x:v>Organoids and organ-on-chip testing</x:v>
      </x:c>
      <x:c r="C440" s="6" t="str">
        <x:v>b29c6</x:v>
      </x:c>
      <x:c r="D440" s="6" t="str">
        <x:v>Emulate — official company information</x:v>
      </x:c>
      <x:c r="E440" s="6" t="str">
        <x:v>Emulate</x:v>
      </x:c>
      <x:c r="F440" s="6" t="str"/>
      <x:c r="G440" s="6" t="str">
        <x:v>Company website</x:v>
      </x:c>
      <x:c r="H440" s="6" t="str">
        <x:v>Organ-on-chip instruments and consumables.</x:v>
      </x:c>
      <x:c r="I440" s="6" t="str">
        <x:v>https://emulatebio.com/</x:v>
      </x:c>
    </x:row>
    <x:row r="441" ht="15" hidden="0" customHeight="1">
      <x:c r="A441" s="12" t="n">
        <x:v>29</x:v>
      </x:c>
      <x:c r="B441" s="6" t="str">
        <x:v>Organoids and organ-on-chip testing</x:v>
      </x:c>
      <x:c r="C441" s="6" t="str">
        <x:v>b29c7</x:v>
      </x:c>
      <x:c r="D441" s="6" t="str">
        <x:v>MIMETAS — official company information</x:v>
      </x:c>
      <x:c r="E441" s="6" t="str">
        <x:v>MIMETAS</x:v>
      </x:c>
      <x:c r="F441" s="6" t="str"/>
      <x:c r="G441" s="6" t="str">
        <x:v>Company website</x:v>
      </x:c>
      <x:c r="H441" s="6" t="str">
        <x:v>Microfluidic tissue models for drug discovery.</x:v>
      </x:c>
      <x:c r="I441" s="6" t="str">
        <x:v>https://www.mimetas.com/</x:v>
      </x:c>
    </x:row>
    <x:row r="442" ht="15" hidden="0" customHeight="1">
      <x:c r="A442" s="12" t="n">
        <x:v>29</x:v>
      </x:c>
      <x:c r="B442" s="6" t="str">
        <x:v>Organoids and organ-on-chip testing</x:v>
      </x:c>
      <x:c r="C442" s="6" t="str">
        <x:v>b29c8</x:v>
      </x:c>
      <x:c r="D442" s="6" t="str">
        <x:v>InSphero — official company information</x:v>
      </x:c>
      <x:c r="E442" s="6" t="str">
        <x:v>InSphero</x:v>
      </x:c>
      <x:c r="F442" s="6" t="str"/>
      <x:c r="G442" s="6" t="str">
        <x:v>Company website</x:v>
      </x:c>
      <x:c r="H442" s="6" t="str">
        <x:v>Three-dimensional microtissues and testing services.</x:v>
      </x:c>
      <x:c r="I442" s="6" t="str">
        <x:v>https://insphero.com/</x:v>
      </x:c>
    </x:row>
    <x:row r="443" ht="15" hidden="0" customHeight="1">
      <x:c r="A443" s="12" t="n">
        <x:v>29</x:v>
      </x:c>
      <x:c r="B443" s="6" t="str">
        <x:v>Organoids and organ-on-chip testing</x:v>
      </x:c>
      <x:c r="C443" s="6" t="str">
        <x:v>b29c9</x:v>
      </x:c>
      <x:c r="D443" s="6" t="str">
        <x:v>STEMCELL Technologies — official company information</x:v>
      </x:c>
      <x:c r="E443" s="6" t="str">
        <x:v>STEMCELL Technologies</x:v>
      </x:c>
      <x:c r="F443" s="6" t="str"/>
      <x:c r="G443" s="6" t="str">
        <x:v>Company website</x:v>
      </x:c>
      <x:c r="H443" s="6" t="str">
        <x:v>Organoid culture media, reagents and research platforms.</x:v>
      </x:c>
      <x:c r="I443" s="6" t="str">
        <x:v>https://www.stemcell.com/</x:v>
      </x:c>
    </x:row>
    <x:row r="444" ht="15" hidden="0" customHeight="1">
      <x:c r="A444" s="12" t="n">
        <x:v>29</x:v>
      </x:c>
      <x:c r="B444" s="6" t="str">
        <x:v>Organoids and organ-on-chip testing</x:v>
      </x:c>
      <x:c r="C444" s="6" t="str">
        <x:v>b29c10</x:v>
      </x:c>
      <x:c r="D444" s="6" t="str">
        <x:v>CN Bio — official company information</x:v>
      </x:c>
      <x:c r="E444" s="6" t="str">
        <x:v>CN Bio</x:v>
      </x:c>
      <x:c r="F444" s="6" t="str"/>
      <x:c r="G444" s="6" t="str">
        <x:v>Company website</x:v>
      </x:c>
      <x:c r="H444" s="6" t="str">
        <x:v>Microphysiological systems for drug development.</x:v>
      </x:c>
      <x:c r="I444" s="6" t="str">
        <x:v>https://cn-bio.com/</x:v>
      </x:c>
    </x:row>
    <x:row r="445" ht="15" hidden="0" customHeight="1">
      <x:c r="A445" s="12" t="n">
        <x:v>29</x:v>
      </x:c>
      <x:c r="B445" s="6" t="str">
        <x:v>Organoids and organ-on-chip testing</x:v>
      </x:c>
      <x:c r="C445" s="6" t="str">
        <x:v>b29s6</x:v>
      </x:c>
      <x:c r="D445" s="6" t="str">
        <x:v>Emulate introduces second-generation Zoë culture module</x:v>
      </x:c>
      <x:c r="E445" s="6" t="str">
        <x:v>Emulate</x:v>
      </x:c>
      <x:c r="F445" s="6" t="str">
        <x:v>2021-11-15</x:v>
      </x:c>
      <x:c r="G445" s="6" t="str">
        <x:v>Company disclosure</x:v>
      </x:c>
      <x:c r="H445" s="6" t="str">
        <x:v>Zoë-CM2 cultures up to 12 Organ-Chips.</x:v>
      </x:c>
      <x:c r="I445" s="6" t="str">
        <x:v>https://emulatebio.com/press/emulate-introduce-new-zoe-culture-module/</x:v>
      </x:c>
    </x:row>
    <x:row r="446" ht="15" hidden="0" customHeight="1">
      <x:c r="A446" s="12" t="n">
        <x:v>29</x:v>
      </x:c>
      <x:c r="B446" s="6" t="str">
        <x:v>Organoids and organ-on-chip testing</x:v>
      </x:c>
      <x:c r="C446" s="6" t="str">
        <x:v>b29s7</x:v>
      </x:c>
      <x:c r="D446" s="6" t="str">
        <x:v>Emulate launches AVA Emulation System</x:v>
      </x:c>
      <x:c r="E446" s="6" t="str">
        <x:v>Emulate</x:v>
      </x:c>
      <x:c r="F446" s="6" t="str">
        <x:v>2025-06-10</x:v>
      </x:c>
      <x:c r="G446" s="6" t="str">
        <x:v>Company disclosure</x:v>
      </x:c>
      <x:c r="H446" s="6" t="str">
        <x:v>AVA supports up to 96 independent Organ-Chip samples in a single run.</x:v>
      </x:c>
      <x:c r="I446" s="6" t="str">
        <x:v>https://emulatebio.com/press/emulate-launches-ava-emulation-system-to-accelerate-drug-development-with-first-of-its-kind-high-throughput-organ-chip-platform/</x:v>
      </x:c>
    </x:row>
    <x:row r="447" ht="15" hidden="0" customHeight="1">
      <x:c r="A447" s="12" t="n">
        <x:v>30</x:v>
      </x:c>
      <x:c r="B447" s="6" t="str">
        <x:v>Autonomous agriculture and precision farming</x:v>
      </x:c>
      <x:c r="C447" s="6" t="str">
        <x:v>b30s1</x:v>
      </x:c>
      <x:c r="D447" s="6" t="str">
        <x:v>See &amp; Spray herbicide savings</x:v>
      </x:c>
      <x:c r="E447" s="6" t="str">
        <x:v>John Deere</x:v>
      </x:c>
      <x:c r="F447" s="6" t="str">
        <x:v>2024-09-18</x:v>
      </x:c>
      <x:c r="G447" s="6" t="str">
        <x:v>Company disclosure</x:v>
      </x:c>
      <x:c r="H447" s="6" t="str">
        <x:v>More than one million acres in 2024.</x:v>
      </x:c>
      <x:c r="I447" s="6" t="str">
        <x:v>https://www.deere.ca/en/news/all-news/see-spray-herbicide-savings/</x:v>
      </x:c>
    </x:row>
    <x:row r="448" ht="15" hidden="0" customHeight="1">
      <x:c r="A448" s="12" t="n">
        <x:v>30</x:v>
      </x:c>
      <x:c r="B448" s="6" t="str">
        <x:v>Autonomous agriculture and precision farming</x:v>
      </x:c>
      <x:c r="C448" s="6" t="str">
        <x:v>b30s2</x:v>
      </x:c>
      <x:c r="D448" s="6" t="str">
        <x:v>See &amp; Spray across five million acres</x:v>
      </x:c>
      <x:c r="E448" s="6" t="str">
        <x:v>John Deere</x:v>
      </x:c>
      <x:c r="F448" s="6" t="str">
        <x:v>2025-11-04</x:v>
      </x:c>
      <x:c r="G448" s="6" t="str">
        <x:v>Company disclosure</x:v>
      </x:c>
      <x:c r="H448" s="6" t="str">
        <x:v>More than five million acres treated in 2025, US and Canada.</x:v>
      </x:c>
      <x:c r="I448" s="6" t="str">
        <x:v>https://www.deere.ca/en/news/all-news/see-spray-technology-across-5-million-acres/</x:v>
      </x:c>
    </x:row>
    <x:row r="449" ht="15" hidden="0" customHeight="1">
      <x:c r="A449" s="12" t="n">
        <x:v>30</x:v>
      </x:c>
      <x:c r="B449" s="6" t="str">
        <x:v>Autonomous agriculture and precision farming</x:v>
      </x:c>
      <x:c r="C449" s="6" t="str">
        <x:v>b30s3</x:v>
      </x:c>
      <x:c r="D449" s="6" t="str">
        <x:v>See &amp; Spray Gen 2</x:v>
      </x:c>
      <x:c r="E449" s="6" t="str">
        <x:v>John Deere</x:v>
      </x:c>
      <x:c r="F449" s="6" t="str"/>
      <x:c r="G449" s="6" t="str">
        <x:v>Company product information</x:v>
      </x:c>
      <x:c r="H449" s="6" t="str">
        <x:v>Model-year 2027 product plans; not observed installed acreage.</x:v>
      </x:c>
      <x:c r="I449" s="6" t="str">
        <x:v>https://www.deere.ca/en/sprayers/see-spray-gen-2/</x:v>
      </x:c>
    </x:row>
    <x:row r="450" ht="15" hidden="0" customHeight="1">
      <x:c r="A450" s="12" t="n">
        <x:v>30</x:v>
      </x:c>
      <x:c r="B450" s="6" t="str">
        <x:v>Autonomous agriculture and precision farming</x:v>
      </x:c>
      <x:c r="C450" s="6" t="str">
        <x:v>b30c1</x:v>
      </x:c>
      <x:c r="D450" s="6" t="str">
        <x:v>Deere — official company information</x:v>
      </x:c>
      <x:c r="E450" s="6" t="str">
        <x:v>Deere</x:v>
      </x:c>
      <x:c r="F450" s="6" t="str"/>
      <x:c r="G450" s="6" t="str">
        <x:v>Company website</x:v>
      </x:c>
      <x:c r="H450" s="6" t="str">
        <x:v>Precision spraying, guidance and automated agricultural machinery.</x:v>
      </x:c>
      <x:c r="I450" s="6" t="str">
        <x:v>https://www.deere.com/</x:v>
      </x:c>
    </x:row>
    <x:row r="451" ht="15" hidden="0" customHeight="1">
      <x:c r="A451" s="12" t="n">
        <x:v>30</x:v>
      </x:c>
      <x:c r="B451" s="6" t="str">
        <x:v>Autonomous agriculture and precision farming</x:v>
      </x:c>
      <x:c r="C451" s="6" t="str">
        <x:v>b30c2</x:v>
      </x:c>
      <x:c r="D451" s="6" t="str">
        <x:v>AGCO — official company information</x:v>
      </x:c>
      <x:c r="E451" s="6" t="str">
        <x:v>AGCO</x:v>
      </x:c>
      <x:c r="F451" s="6" t="str"/>
      <x:c r="G451" s="6" t="str">
        <x:v>Company website</x:v>
      </x:c>
      <x:c r="H451" s="6" t="str">
        <x:v>Farm machinery and precision-agriculture systems including PTx.</x:v>
      </x:c>
      <x:c r="I451" s="6" t="str">
        <x:v>https://www.agcocorp.com/</x:v>
      </x:c>
    </x:row>
    <x:row r="452" ht="15" hidden="0" customHeight="1">
      <x:c r="A452" s="12" t="n">
        <x:v>30</x:v>
      </x:c>
      <x:c r="B452" s="6" t="str">
        <x:v>Autonomous agriculture and precision farming</x:v>
      </x:c>
      <x:c r="C452" s="6" t="str">
        <x:v>b30c3</x:v>
      </x:c>
      <x:c r="D452" s="6" t="str">
        <x:v>CNH Industrial — official company information</x:v>
      </x:c>
      <x:c r="E452" s="6" t="str">
        <x:v>CNH Industrial</x:v>
      </x:c>
      <x:c r="F452" s="6" t="str"/>
      <x:c r="G452" s="6" t="str">
        <x:v>Company website</x:v>
      </x:c>
      <x:c r="H452" s="6" t="str">
        <x:v>Precision agriculture, connected equipment and automation.</x:v>
      </x:c>
      <x:c r="I452" s="6" t="str">
        <x:v>https://www.cnh.com/</x:v>
      </x:c>
    </x:row>
    <x:row r="453" ht="15" hidden="0" customHeight="1">
      <x:c r="A453" s="12" t="n">
        <x:v>30</x:v>
      </x:c>
      <x:c r="B453" s="6" t="str">
        <x:v>Autonomous agriculture and precision farming</x:v>
      </x:c>
      <x:c r="C453" s="6" t="str">
        <x:v>b30c4</x:v>
      </x:c>
      <x:c r="D453" s="6" t="str">
        <x:v>Kubota — official company information</x:v>
      </x:c>
      <x:c r="E453" s="6" t="str">
        <x:v>Kubota</x:v>
      </x:c>
      <x:c r="F453" s="6" t="str"/>
      <x:c r="G453" s="6" t="str">
        <x:v>Company website</x:v>
      </x:c>
      <x:c r="H453" s="6" t="str">
        <x:v>Agricultural machinery and automated farm systems.</x:v>
      </x:c>
      <x:c r="I453" s="6" t="str">
        <x:v>https://www.kubota.com/</x:v>
      </x:c>
    </x:row>
    <x:row r="454" ht="15" hidden="0" customHeight="1">
      <x:c r="A454" s="12" t="n">
        <x:v>30</x:v>
      </x:c>
      <x:c r="B454" s="6" t="str">
        <x:v>Autonomous agriculture and precision farming</x:v>
      </x:c>
      <x:c r="C454" s="6" t="str">
        <x:v>b30c5</x:v>
      </x:c>
      <x:c r="D454" s="6" t="str">
        <x:v>Trimble — official company information</x:v>
      </x:c>
      <x:c r="E454" s="6" t="str">
        <x:v>Trimble</x:v>
      </x:c>
      <x:c r="F454" s="6" t="str"/>
      <x:c r="G454" s="6" t="str">
        <x:v>Company website</x:v>
      </x:c>
      <x:c r="H454" s="6" t="str">
        <x:v>Positioning and precision technology; retained minority PTx exposure.</x:v>
      </x:c>
      <x:c r="I454" s="6" t="str">
        <x:v>https://www.trimble.com/</x:v>
      </x:c>
    </x:row>
    <x:row r="455" ht="15" hidden="0" customHeight="1">
      <x:c r="A455" s="12" t="n">
        <x:v>30</x:v>
      </x:c>
      <x:c r="B455" s="6" t="str">
        <x:v>Autonomous agriculture and precision farming</x:v>
      </x:c>
      <x:c r="C455" s="6" t="str">
        <x:v>b30c6</x:v>
      </x:c>
      <x:c r="D455" s="6" t="str">
        <x:v>Bayer — official company information</x:v>
      </x:c>
      <x:c r="E455" s="6" t="str">
        <x:v>Bayer</x:v>
      </x:c>
      <x:c r="F455" s="6" t="str"/>
      <x:c r="G455" s="6" t="str">
        <x:v>Company website</x:v>
      </x:c>
      <x:c r="H455" s="6" t="str">
        <x:v>Digital agronomy and input optimisation; indirect software/data exposure.</x:v>
      </x:c>
      <x:c r="I455" s="6" t="str">
        <x:v>https://www.bayer.com/</x:v>
      </x:c>
    </x:row>
    <x:row r="456" ht="15" hidden="0" customHeight="1">
      <x:c r="A456" s="12" t="n">
        <x:v>30</x:v>
      </x:c>
      <x:c r="B456" s="6" t="str">
        <x:v>Autonomous agriculture and precision farming</x:v>
      </x:c>
      <x:c r="C456" s="6" t="str">
        <x:v>b30c7</x:v>
      </x:c>
      <x:c r="D456" s="6" t="str">
        <x:v>Carbon Robotics — official company information</x:v>
      </x:c>
      <x:c r="E456" s="6" t="str">
        <x:v>Carbon Robotics</x:v>
      </x:c>
      <x:c r="F456" s="6" t="str"/>
      <x:c r="G456" s="6" t="str">
        <x:v>Company website</x:v>
      </x:c>
      <x:c r="H456" s="6" t="str">
        <x:v>Computer-vision-guided laser weed control.</x:v>
      </x:c>
      <x:c r="I456" s="6" t="str">
        <x:v>https://carbonrobotics.com/</x:v>
      </x:c>
    </x:row>
    <x:row r="457" ht="15" hidden="0" customHeight="1">
      <x:c r="A457" s="12" t="n">
        <x:v>30</x:v>
      </x:c>
      <x:c r="B457" s="6" t="str">
        <x:v>Autonomous agriculture and precision farming</x:v>
      </x:c>
      <x:c r="C457" s="6" t="str">
        <x:v>b30c8</x:v>
      </x:c>
      <x:c r="D457" s="6" t="str">
        <x:v>Burro — official company information</x:v>
      </x:c>
      <x:c r="E457" s="6" t="str">
        <x:v>Burro</x:v>
      </x:c>
      <x:c r="F457" s="6" t="str"/>
      <x:c r="G457" s="6" t="str">
        <x:v>Company website</x:v>
      </x:c>
      <x:c r="H457" s="6" t="str">
        <x:v>Autonomous agricultural material-transport robots.</x:v>
      </x:c>
      <x:c r="I457" s="6" t="str">
        <x:v>https://burro.ai/</x:v>
      </x:c>
    </x:row>
    <x:row r="458" ht="15" hidden="0" customHeight="1">
      <x:c r="A458" s="12" t="n">
        <x:v>30</x:v>
      </x:c>
      <x:c r="B458" s="6" t="str">
        <x:v>Autonomous agriculture and precision farming</x:v>
      </x:c>
      <x:c r="C458" s="6" t="str">
        <x:v>b30c9</x:v>
      </x:c>
      <x:c r="D458" s="6" t="str">
        <x:v>Agtonomy — official company information</x:v>
      </x:c>
      <x:c r="E458" s="6" t="str">
        <x:v>Agtonomy</x:v>
      </x:c>
      <x:c r="F458" s="6" t="str"/>
      <x:c r="G458" s="6" t="str">
        <x:v>Company website</x:v>
      </x:c>
      <x:c r="H458" s="6" t="str">
        <x:v>Autonomy and remote-management systems for agricultural equipment.</x:v>
      </x:c>
      <x:c r="I458" s="6" t="str">
        <x:v>https://www.agtonomy.com/</x:v>
      </x:c>
    </x:row>
    <x:row r="459" ht="15" hidden="0" customHeight="1">
      <x:c r="A459" s="12" t="n">
        <x:v>30</x:v>
      </x:c>
      <x:c r="B459" s="6" t="str">
        <x:v>Autonomous agriculture and precision farming</x:v>
      </x:c>
      <x:c r="C459" s="6" t="str">
        <x:v>b30c10</x:v>
      </x:c>
      <x:c r="D459" s="6" t="str">
        <x:v>Solinftec — official company information</x:v>
      </x:c>
      <x:c r="E459" s="6" t="str">
        <x:v>Solinftec</x:v>
      </x:c>
      <x:c r="F459" s="6" t="str"/>
      <x:c r="G459" s="6" t="str">
        <x:v>Company website</x:v>
      </x:c>
      <x:c r="H459" s="6" t="str">
        <x:v>Agricultural monitoring, robotics and precision application.</x:v>
      </x:c>
      <x:c r="I459" s="6" t="str">
        <x:v>https://www.solinftec.com/</x:v>
      </x:c>
    </x:row>
    <x:row r="460" ht="15" hidden="0" customHeight="1">
      <x:c r="A460" s="12" t="n">
        <x:v>31</x:v>
      </x:c>
      <x:c r="B460" s="6" t="str">
        <x:v>Perovskite-silicon tandem solar</x:v>
      </x:c>
      <x:c r="C460" s="6" t="str">
        <x:v>b31s1</x:v>
      </x:c>
      <x:c r="D460" s="6" t="str">
        <x:v>29.80% tandem cell efficiency record</x:v>
      </x:c>
      <x:c r="E460" s="6" t="str">
        <x:v>Helmholtz-Zentrum Berlin</x:v>
      </x:c>
      <x:c r="F460" s="6" t="str">
        <x:v>2021-11-22</x:v>
      </x:c>
      <x:c r="G460" s="6" t="str">
        <x:v>Primary research institution</x:v>
      </x:c>
      <x:c r="H460" s="6" t="str">
        <x:v>Certified 29.80% perovskite-silicon tandem record.</x:v>
      </x:c>
      <x:c r="I460" s="6" t="str">
        <x:v>https://www.helmholtz-berlin.de/pubbin/news_seite?nid=23248&amp;sprache=en</x:v>
      </x:c>
    </x:row>
    <x:row r="461" ht="15" hidden="0" customHeight="1">
      <x:c r="A461" s="12" t="n">
        <x:v>31</x:v>
      </x:c>
      <x:c r="B461" s="6" t="str">
        <x:v>Perovskite-silicon tandem solar</x:v>
      </x:c>
      <x:c r="C461" s="6" t="str">
        <x:v>b31s2</x:v>
      </x:c>
      <x:c r="D461" s="6" t="str">
        <x:v>New tandem efficiency world record 2026</x:v>
      </x:c>
      <x:c r="E461" s="6" t="str">
        <x:v>LONGi</x:v>
      </x:c>
      <x:c r="F461" s="6" t="str">
        <x:v>2026-07-15</x:v>
      </x:c>
      <x:c r="G461" s="6" t="str">
        <x:v>Company disclosure</x:v>
      </x:c>
      <x:c r="H461" s="6" t="str">
        <x:v>35.5% 2026 record and retrospective 2023–2024 milestones.</x:v>
      </x:c>
      <x:c r="I461" s="6" t="str">
        <x:v>https://www.longi.com/en/news/crystalline-silicon-perovskite-tandem-solar-cell-new-world-efficiency-2026/</x:v>
      </x:c>
    </x:row>
    <x:row r="462" ht="15" hidden="0" customHeight="1">
      <x:c r="A462" s="12" t="n">
        <x:v>31</x:v>
      </x:c>
      <x:c r="B462" s="6" t="str">
        <x:v>Perovskite-silicon tandem solar</x:v>
      </x:c>
      <x:c r="C462" s="6" t="str">
        <x:v>b31s3</x:v>
      </x:c>
      <x:c r="D462" s="6" t="str">
        <x:v>34.85% tandem efficiency world record</x:v>
      </x:c>
      <x:c r="E462" s="6" t="str">
        <x:v>LONGi</x:v>
      </x:c>
      <x:c r="F462" s="6" t="str">
        <x:v>2025-04-17</x:v>
      </x:c>
      <x:c r="G462" s="6" t="str">
        <x:v>Company disclosure</x:v>
      </x:c>
      <x:c r="H462" s="6" t="str">
        <x:v>34.85% certified research-cell efficiency.</x:v>
      </x:c>
      <x:c r="I462" s="6" t="str">
        <x:v>https://www.longi.com/au/news/silicon-perovskite-tandem-solar-cells-new-world-efficiency/</x:v>
      </x:c>
    </x:row>
    <x:row r="463" ht="15" hidden="0" customHeight="1">
      <x:c r="A463" s="12" t="n">
        <x:v>31</x:v>
      </x:c>
      <x:c r="B463" s="6" t="str">
        <x:v>Perovskite-silicon tandem solar</x:v>
      </x:c>
      <x:c r="C463" s="6" t="str">
        <x:v>b31s4</x:v>
      </x:c>
      <x:c r="D463" s="6" t="str">
        <x:v>First commercial tandem shipment</x:v>
      </x:c>
      <x:c r="E463" s="6" t="str">
        <x:v>Oxford PV</x:v>
      </x:c>
      <x:c r="F463" s="6" t="str">
        <x:v>2024-09-05</x:v>
      </x:c>
      <x:c r="G463" s="6" t="str">
        <x:v>Company disclosure</x:v>
      </x:c>
      <x:c r="H463" s="6" t="str">
        <x:v>Initial commercial module shipment; does not establish global mainstream adoption.</x:v>
      </x:c>
      <x:c r="I463" s="6" t="str">
        <x:v>https://www.oxfordpv.com/press-releases/oxford-pv-solar-technology-patent</x:v>
      </x:c>
    </x:row>
    <x:row r="464" ht="15" hidden="0" customHeight="1">
      <x:c r="A464" s="12" t="n">
        <x:v>31</x:v>
      </x:c>
      <x:c r="B464" s="6" t="str">
        <x:v>Perovskite-silicon tandem solar</x:v>
      </x:c>
      <x:c r="C464" s="6" t="str">
        <x:v>b31s5</x:v>
      </x:c>
      <x:c r="D464" s="6" t="str">
        <x:v>Perovskite technology goes mainstream</x:v>
      </x:c>
      <x:c r="E464" s="6" t="str">
        <x:v>Oxford PV</x:v>
      </x:c>
      <x:c r="F464" s="6" t="str"/>
      <x:c r="G464" s="6" t="str">
        <x:v>Company outlook</x:v>
      </x:c>
      <x:c r="H464" s="6" t="str">
        <x:v>Company roadmap targets module efficiency of 27% by 2027 and 30% by 2030; volume production expected from 2027.</x:v>
      </x:c>
      <x:c r="I464" s="6" t="str">
        <x:v>https://www.oxfordpv.com/mainstream</x:v>
      </x:c>
    </x:row>
    <x:row r="465" ht="15" hidden="0" customHeight="1">
      <x:c r="A465" s="12" t="n">
        <x:v>31</x:v>
      </x:c>
      <x:c r="B465" s="6" t="str">
        <x:v>Perovskite-silicon tandem solar</x:v>
      </x:c>
      <x:c r="C465" s="6" t="str">
        <x:v>b31s6</x:v>
      </x:c>
      <x:c r="D465" s="6" t="str">
        <x:v>Improving tandem efficiency and module cost per watt</x:v>
      </x:c>
      <x:c r="E465" s="6" t="str">
        <x:v>National Renewable Energy Laboratory</x:v>
      </x:c>
      <x:c r="F465" s="6" t="str">
        <x:v>2025-01-09</x:v>
      </x:c>
      <x:c r="G465" s="6" t="str">
        <x:v>Primary research institution</x:v>
      </x:c>
      <x:c r="H465" s="6" t="str">
        <x:v>Technoeconomic relationship between efficiency, lifetime and module cost.</x:v>
      </x:c>
      <x:c r="I465" s="6" t="str">
        <x:v>https://www.nlr.gov/news/detail/press/2025/improving-tandem-efficiency-can-lower-solar-photovoltaic-module-cost-per-watt</x:v>
      </x:c>
    </x:row>
    <x:row r="466" ht="15" hidden="0" customHeight="1">
      <x:c r="A466" s="12" t="n">
        <x:v>31</x:v>
      </x:c>
      <x:c r="B466" s="6" t="str">
        <x:v>Perovskite-silicon tandem solar</x:v>
      </x:c>
      <x:c r="C466" s="6" t="str">
        <x:v>b31c1</x:v>
      </x:c>
      <x:c r="D466" s="6" t="str">
        <x:v>LONGi — official company information</x:v>
      </x:c>
      <x:c r="E466" s="6" t="str">
        <x:v>LONGi</x:v>
      </x:c>
      <x:c r="F466" s="6" t="str"/>
      <x:c r="G466" s="6" t="str">
        <x:v>Company website</x:v>
      </x:c>
      <x:c r="H466" s="6" t="str">
        <x:v>Silicon and tandem solar research and manufacturing.</x:v>
      </x:c>
      <x:c r="I466" s="6" t="str">
        <x:v>https://www.longi.com/en/</x:v>
      </x:c>
    </x:row>
    <x:row r="467" ht="15" hidden="0" customHeight="1">
      <x:c r="A467" s="12" t="n">
        <x:v>31</x:v>
      </x:c>
      <x:c r="B467" s="6" t="str">
        <x:v>Perovskite-silicon tandem solar</x:v>
      </x:c>
      <x:c r="C467" s="6" t="str">
        <x:v>b31c2</x:v>
      </x:c>
      <x:c r="D467" s="6" t="str">
        <x:v>JinkoSolar — official company information</x:v>
      </x:c>
      <x:c r="E467" s="6" t="str">
        <x:v>JinkoSolar</x:v>
      </x:c>
      <x:c r="F467" s="6" t="str"/>
      <x:c r="G467" s="6" t="str">
        <x:v>Company website</x:v>
      </x:c>
      <x:c r="H467" s="6" t="str">
        <x:v>PV manufacturing and tandem cell development.</x:v>
      </x:c>
      <x:c r="I467" s="6" t="str">
        <x:v>https://www.jinkosolar.com/</x:v>
      </x:c>
    </x:row>
    <x:row r="468" ht="15" hidden="0" customHeight="1">
      <x:c r="A468" s="12" t="n">
        <x:v>31</x:v>
      </x:c>
      <x:c r="B468" s="6" t="str">
        <x:v>Perovskite-silicon tandem solar</x:v>
      </x:c>
      <x:c r="C468" s="6" t="str">
        <x:v>b31c3</x:v>
      </x:c>
      <x:c r="D468" s="6" t="str">
        <x:v>Trina Solar — official company information</x:v>
      </x:c>
      <x:c r="E468" s="6" t="str">
        <x:v>Trina Solar</x:v>
      </x:c>
      <x:c r="F468" s="6" t="str"/>
      <x:c r="G468" s="6" t="str">
        <x:v>Company website</x:v>
      </x:c>
      <x:c r="H468" s="6" t="str">
        <x:v>PV manufacturing and tandem technology development.</x:v>
      </x:c>
      <x:c r="I468" s="6" t="str">
        <x:v>https://www.trinasolar.com/</x:v>
      </x:c>
    </x:row>
    <x:row r="469" ht="15" hidden="0" customHeight="1">
      <x:c r="A469" s="12" t="n">
        <x:v>31</x:v>
      </x:c>
      <x:c r="B469" s="6" t="str">
        <x:v>Perovskite-silicon tandem solar</x:v>
      </x:c>
      <x:c r="C469" s="6" t="str">
        <x:v>b31c4</x:v>
      </x:c>
      <x:c r="D469" s="6" t="str">
        <x:v>Hanwha Solutions / Qcells — official company information</x:v>
      </x:c>
      <x:c r="E469" s="6" t="str">
        <x:v>Hanwha Solutions / Qcells</x:v>
      </x:c>
      <x:c r="F469" s="6" t="str"/>
      <x:c r="G469" s="6" t="str">
        <x:v>Company website</x:v>
      </x:c>
      <x:c r="H469" s="6" t="str">
        <x:v>Public parent; tandem research and commercial solar manufacturing.</x:v>
      </x:c>
      <x:c r="I469" s="6" t="str">
        <x:v>https://www.qcells.com/</x:v>
      </x:c>
    </x:row>
    <x:row r="470" ht="15" hidden="0" customHeight="1">
      <x:c r="A470" s="12" t="n">
        <x:v>31</x:v>
      </x:c>
      <x:c r="B470" s="6" t="str">
        <x:v>Perovskite-silicon tandem solar</x:v>
      </x:c>
      <x:c r="C470" s="6" t="str">
        <x:v>b31c5</x:v>
      </x:c>
      <x:c r="D470" s="6" t="str">
        <x:v>First Solar — official company information</x:v>
      </x:c>
      <x:c r="E470" s="6" t="str">
        <x:v>First Solar</x:v>
      </x:c>
      <x:c r="F470" s="6" t="str"/>
      <x:c r="G470" s="6" t="str">
        <x:v>Company website</x:v>
      </x:c>
      <x:c r="H470" s="6" t="str">
        <x:v>Perovskite research optionality; current core business is a different thin-film technology.</x:v>
      </x:c>
      <x:c r="I470" s="6" t="str">
        <x:v>https://www.firstsolar.com/</x:v>
      </x:c>
    </x:row>
    <x:row r="471" ht="15" hidden="0" customHeight="1">
      <x:c r="A471" s="12" t="n">
        <x:v>31</x:v>
      </x:c>
      <x:c r="B471" s="6" t="str">
        <x:v>Perovskite-silicon tandem solar</x:v>
      </x:c>
      <x:c r="C471" s="6" t="str">
        <x:v>b31c6</x:v>
      </x:c>
      <x:c r="D471" s="6" t="str">
        <x:v>Oxford PV — official company information</x:v>
      </x:c>
      <x:c r="E471" s="6" t="str">
        <x:v>Oxford PV</x:v>
      </x:c>
      <x:c r="F471" s="6" t="str"/>
      <x:c r="G471" s="6" t="str">
        <x:v>Company website</x:v>
      </x:c>
      <x:c r="H471" s="6" t="str">
        <x:v>Perovskite-on-silicon tandem cells and initial commercial modules.</x:v>
      </x:c>
      <x:c r="I471" s="6" t="str">
        <x:v>https://www.oxfordpv.com/</x:v>
      </x:c>
    </x:row>
    <x:row r="472" ht="15" hidden="0" customHeight="1">
      <x:c r="A472" s="12" t="n">
        <x:v>31</x:v>
      </x:c>
      <x:c r="B472" s="6" t="str">
        <x:v>Perovskite-silicon tandem solar</x:v>
      </x:c>
      <x:c r="C472" s="6" t="str">
        <x:v>b31c7</x:v>
      </x:c>
      <x:c r="D472" s="6" t="str">
        <x:v>Tandem PV — official company information</x:v>
      </x:c>
      <x:c r="E472" s="6" t="str">
        <x:v>Tandem PV</x:v>
      </x:c>
      <x:c r="F472" s="6" t="str"/>
      <x:c r="G472" s="6" t="str">
        <x:v>Company website</x:v>
      </x:c>
      <x:c r="H472" s="6" t="str">
        <x:v>Commercial tandem solar development and manufacturing scale-up.</x:v>
      </x:c>
      <x:c r="I472" s="6" t="str">
        <x:v>https://www.tandempv.com/</x:v>
      </x:c>
    </x:row>
    <x:row r="473" ht="15" hidden="0" customHeight="1">
      <x:c r="A473" s="12" t="n">
        <x:v>31</x:v>
      </x:c>
      <x:c r="B473" s="6" t="str">
        <x:v>Perovskite-silicon tandem solar</x:v>
      </x:c>
      <x:c r="C473" s="6" t="str">
        <x:v>b31c8</x:v>
      </x:c>
      <x:c r="D473" s="6" t="str">
        <x:v>CubicPV — official company information</x:v>
      </x:c>
      <x:c r="E473" s="6" t="str">
        <x:v>CubicPV</x:v>
      </x:c>
      <x:c r="F473" s="6" t="str"/>
      <x:c r="G473" s="6" t="str">
        <x:v>Company website</x:v>
      </x:c>
      <x:c r="H473" s="6" t="str">
        <x:v>Perovskite tandem materials and module development.</x:v>
      </x:c>
      <x:c r="I473" s="6" t="str">
        <x:v>https://cubicpv.com/</x:v>
      </x:c>
    </x:row>
    <x:row r="474" ht="15" hidden="0" customHeight="1">
      <x:c r="A474" s="12" t="n">
        <x:v>31</x:v>
      </x:c>
      <x:c r="B474" s="6" t="str">
        <x:v>Perovskite-silicon tandem solar</x:v>
      </x:c>
      <x:c r="C474" s="6" t="str">
        <x:v>b31c9</x:v>
      </x:c>
      <x:c r="D474" s="6" t="str">
        <x:v>Swift Solar — official company information</x:v>
      </x:c>
      <x:c r="E474" s="6" t="str">
        <x:v>Swift Solar</x:v>
      </x:c>
      <x:c r="F474" s="6" t="str"/>
      <x:c r="G474" s="6" t="str">
        <x:v>Company website</x:v>
      </x:c>
      <x:c r="H474" s="6" t="str">
        <x:v>Perovskite tandem technology and manufacturing.</x:v>
      </x:c>
      <x:c r="I474" s="6" t="str">
        <x:v>https://www.swiftsolar.com/</x:v>
      </x:c>
    </x:row>
    <x:row r="475" ht="15" hidden="0" customHeight="1">
      <x:c r="A475" s="12" t="n">
        <x:v>31</x:v>
      </x:c>
      <x:c r="B475" s="6" t="str">
        <x:v>Perovskite-silicon tandem solar</x:v>
      </x:c>
      <x:c r="C475" s="6" t="str">
        <x:v>b31c10</x:v>
      </x:c>
      <x:c r="D475" s="6" t="str">
        <x:v>UtmoLight — official company information</x:v>
      </x:c>
      <x:c r="E475" s="6" t="str">
        <x:v>UtmoLight</x:v>
      </x:c>
      <x:c r="F475" s="6" t="str"/>
      <x:c r="G475" s="6" t="str">
        <x:v>Company website</x:v>
      </x:c>
      <x:c r="H475" s="6" t="str">
        <x:v>Perovskite manufacturing and tandem-related development; some products are standalone perovskite.</x:v>
      </x:c>
      <x:c r="I475" s="6" t="str">
        <x:v>https://www.utmolight.com/</x:v>
      </x:c>
    </x:row>
    <x:row r="476" ht="15" hidden="0" customHeight="1">
      <x:c r="A476" s="12" t="n">
        <x:v>32</x:v>
      </x:c>
      <x:c r="B476" s="6" t="str">
        <x:v>Long-duration energy storage</x:v>
      </x:c>
      <x:c r="C476" s="6" t="str">
        <x:v>b32s1</x:v>
      </x:c>
      <x:c r="D476" s="6" t="str">
        <x:v>Long-duration energy storage 2025 outlook</x:v>
      </x:c>
      <x:c r="E476" s="6" t="str">
        <x:v>Wood Mackenzie</x:v>
      </x:c>
      <x:c r="F476" s="6" t="str">
        <x:v>2026-03-09</x:v>
      </x:c>
      <x:c r="G476" s="6" t="str">
        <x:v>Industry research</x:v>
      </x:c>
      <x:c r="H476" s="6" t="str">
        <x:v>More than 15 GWh deployed in 2025, 49% growth, category definitions and funding constraints.</x:v>
      </x:c>
      <x:c r="I476" s="6" t="str">
        <x:v>https://www.woodmac.com/press-releases/ldes-2025-outlook/</x:v>
      </x:c>
    </x:row>
    <x:row r="477" ht="15" hidden="0" customHeight="1">
      <x:c r="A477" s="12" t="n">
        <x:v>32</x:v>
      </x:c>
      <x:c r="B477" s="6" t="str">
        <x:v>Long-duration energy storage</x:v>
      </x:c>
      <x:c r="C477" s="6" t="str">
        <x:v>b32s2</x:v>
      </x:c>
      <x:c r="D477" s="6" t="str">
        <x:v>Long Duration Storage Shot announced</x:v>
      </x:c>
      <x:c r="E477" s="6" t="str">
        <x:v>US Department of Energy</x:v>
      </x:c>
      <x:c r="F477" s="6" t="str">
        <x:v>2021-07-14</x:v>
      </x:c>
      <x:c r="G477" s="6" t="str">
        <x:v>Government programme</x:v>
      </x:c>
      <x:c r="H477" s="6" t="str">
        <x:v>Long-duration storage cost-reduction goal.</x:v>
      </x:c>
      <x:c r="I477" s="6" t="str">
        <x:v>https://www.energy.gov/articles/secretary-granholm-announces-new-goal-cut-costs-long-duration-energy-storage-90-percent</x:v>
      </x:c>
    </x:row>
    <x:row r="478" ht="15" hidden="0" customHeight="1">
      <x:c r="A478" s="12" t="n">
        <x:v>32</x:v>
      </x:c>
      <x:c r="B478" s="6" t="str">
        <x:v>Long-duration energy storage</x:v>
      </x:c>
      <x:c r="C478" s="6" t="str">
        <x:v>b32s3</x:v>
      </x:c>
      <x:c r="D478" s="6" t="str">
        <x:v>Long Duration Energy Storage Program</x:v>
      </x:c>
      <x:c r="E478" s="6" t="str">
        <x:v>California Energy Commission</x:v>
      </x:c>
      <x:c r="F478" s="6" t="str"/>
      <x:c r="G478" s="6" t="str">
        <x:v>Government programme</x:v>
      </x:c>
      <x:c r="H478" s="6" t="str">
        <x:v>Demonstration and commercialisation project support.</x:v>
      </x:c>
      <x:c r="I478" s="6" t="str">
        <x:v>https://www.energy.ca.gov/programs-and-topics/programs/long-duration-energy-storage-program</x:v>
      </x:c>
    </x:row>
    <x:row r="479" ht="15" hidden="0" customHeight="1">
      <x:c r="A479" s="12" t="n">
        <x:v>32</x:v>
      </x:c>
      <x:c r="B479" s="6" t="str">
        <x:v>Long-duration energy storage</x:v>
      </x:c>
      <x:c r="C479" s="6" t="str">
        <x:v>b32c1</x:v>
      </x:c>
      <x:c r="D479" s="6" t="str">
        <x:v>Eos Energy — official company information</x:v>
      </x:c>
      <x:c r="E479" s="6" t="str">
        <x:v>Eos Energy</x:v>
      </x:c>
      <x:c r="F479" s="6" t="str"/>
      <x:c r="G479" s="6" t="str">
        <x:v>Company website</x:v>
      </x:c>
      <x:c r="H479" s="6" t="str">
        <x:v>Zinc-based stationary battery systems.</x:v>
      </x:c>
      <x:c r="I479" s="6" t="str">
        <x:v>https://www.eose.com/</x:v>
      </x:c>
    </x:row>
    <x:row r="480" ht="15" hidden="0" customHeight="1">
      <x:c r="A480" s="12" t="n">
        <x:v>32</x:v>
      </x:c>
      <x:c r="B480" s="6" t="str">
        <x:v>Long-duration energy storage</x:v>
      </x:c>
      <x:c r="C480" s="6" t="str">
        <x:v>b32c2</x:v>
      </x:c>
      <x:c r="D480" s="6" t="str">
        <x:v>Invinity Energy Systems — official company information</x:v>
      </x:c>
      <x:c r="E480" s="6" t="str">
        <x:v>Invinity Energy Systems</x:v>
      </x:c>
      <x:c r="F480" s="6" t="str"/>
      <x:c r="G480" s="6" t="str">
        <x:v>Company website</x:v>
      </x:c>
      <x:c r="H480" s="6" t="str">
        <x:v>Vanadium flow batteries.</x:v>
      </x:c>
      <x:c r="I480" s="6" t="str">
        <x:v>https://invinity.com/</x:v>
      </x:c>
    </x:row>
    <x:row r="481" ht="15" hidden="0" customHeight="1">
      <x:c r="A481" s="12" t="n">
        <x:v>32</x:v>
      </x:c>
      <x:c r="B481" s="6" t="str">
        <x:v>Long-duration energy storage</x:v>
      </x:c>
      <x:c r="C481" s="6" t="str">
        <x:v>b32c3</x:v>
      </x:c>
      <x:c r="D481" s="6" t="str">
        <x:v>Sumitomo Electric — official company information</x:v>
      </x:c>
      <x:c r="E481" s="6" t="str">
        <x:v>Sumitomo Electric</x:v>
      </x:c>
      <x:c r="F481" s="6" t="str"/>
      <x:c r="G481" s="6" t="str">
        <x:v>Company website</x:v>
      </x:c>
      <x:c r="H481" s="6" t="str">
        <x:v>Flow-battery systems and grid equipment.</x:v>
      </x:c>
      <x:c r="I481" s="6" t="str">
        <x:v>https://sumitomoelectric.com/</x:v>
      </x:c>
    </x:row>
    <x:row r="482" ht="15" hidden="0" customHeight="1">
      <x:c r="A482" s="12" t="n">
        <x:v>32</x:v>
      </x:c>
      <x:c r="B482" s="6" t="str">
        <x:v>Long-duration energy storage</x:v>
      </x:c>
      <x:c r="C482" s="6" t="str">
        <x:v>b32c4</x:v>
      </x:c>
      <x:c r="D482" s="6" t="str">
        <x:v>Energy Vault — official company information</x:v>
      </x:c>
      <x:c r="E482" s="6" t="str">
        <x:v>Energy Vault</x:v>
      </x:c>
      <x:c r="F482" s="6" t="str"/>
      <x:c r="G482" s="6" t="str">
        <x:v>Company website</x:v>
      </x:c>
      <x:c r="H482" s="6" t="str">
        <x:v>Gravity and other storage project development; mixed-technology exposure.</x:v>
      </x:c>
      <x:c r="I482" s="6" t="str">
        <x:v>https://www.energyvault.com/</x:v>
      </x:c>
    </x:row>
    <x:row r="483" ht="15" hidden="0" customHeight="1">
      <x:c r="A483" s="12" t="n">
        <x:v>32</x:v>
      </x:c>
      <x:c r="B483" s="6" t="str">
        <x:v>Long-duration energy storage</x:v>
      </x:c>
      <x:c r="C483" s="6" t="str">
        <x:v>b32c5</x:v>
      </x:c>
      <x:c r="D483" s="6" t="str">
        <x:v>GE Vernova — official company information</x:v>
      </x:c>
      <x:c r="E483" s="6" t="str">
        <x:v>GE Vernova</x:v>
      </x:c>
      <x:c r="F483" s="6" t="str"/>
      <x:c r="G483" s="6" t="str">
        <x:v>Company website</x:v>
      </x:c>
      <x:c r="H483" s="6" t="str">
        <x:v>Hydropower and grid equipment; legacy pumped-storage exposure is adjacent to emerging LDES.</x:v>
      </x:c>
      <x:c r="I483" s="6" t="str">
        <x:v>https://www.gevernova.com/</x:v>
      </x:c>
    </x:row>
    <x:row r="484" ht="15" hidden="0" customHeight="1">
      <x:c r="A484" s="12" t="n">
        <x:v>32</x:v>
      </x:c>
      <x:c r="B484" s="6" t="str">
        <x:v>Long-duration energy storage</x:v>
      </x:c>
      <x:c r="C484" s="6" t="str">
        <x:v>b32c6</x:v>
      </x:c>
      <x:c r="D484" s="6" t="str">
        <x:v>Form Energy — official company information</x:v>
      </x:c>
      <x:c r="E484" s="6" t="str">
        <x:v>Form Energy</x:v>
      </x:c>
      <x:c r="F484" s="6" t="str"/>
      <x:c r="G484" s="6" t="str">
        <x:v>Company website</x:v>
      </x:c>
      <x:c r="H484" s="6" t="str">
        <x:v>Multi-day iron-air storage systems.</x:v>
      </x:c>
      <x:c r="I484" s="6" t="str">
        <x:v>https://formenergy.com/</x:v>
      </x:c>
    </x:row>
    <x:row r="485" ht="15" hidden="0" customHeight="1">
      <x:c r="A485" s="12" t="n">
        <x:v>32</x:v>
      </x:c>
      <x:c r="B485" s="6" t="str">
        <x:v>Long-duration energy storage</x:v>
      </x:c>
      <x:c r="C485" s="6" t="str">
        <x:v>b32c7</x:v>
      </x:c>
      <x:c r="D485" s="6" t="str">
        <x:v>Hydrostor — official company information</x:v>
      </x:c>
      <x:c r="E485" s="6" t="str">
        <x:v>Hydrostor</x:v>
      </x:c>
      <x:c r="F485" s="6" t="str"/>
      <x:c r="G485" s="6" t="str">
        <x:v>Company website</x:v>
      </x:c>
      <x:c r="H485" s="6" t="str">
        <x:v>Advanced compressed-air energy storage.</x:v>
      </x:c>
      <x:c r="I485" s="6" t="str">
        <x:v>https://hydrostor.ca/</x:v>
      </x:c>
    </x:row>
    <x:row r="486" ht="15" hidden="0" customHeight="1">
      <x:c r="A486" s="12" t="n">
        <x:v>32</x:v>
      </x:c>
      <x:c r="B486" s="6" t="str">
        <x:v>Long-duration energy storage</x:v>
      </x:c>
      <x:c r="C486" s="6" t="str">
        <x:v>b32c8</x:v>
      </x:c>
      <x:c r="D486" s="6" t="str">
        <x:v>Highview Power — official company information</x:v>
      </x:c>
      <x:c r="E486" s="6" t="str">
        <x:v>Highview Power</x:v>
      </x:c>
      <x:c r="F486" s="6" t="str"/>
      <x:c r="G486" s="6" t="str">
        <x:v>Company website</x:v>
      </x:c>
      <x:c r="H486" s="6" t="str">
        <x:v>Liquid-air energy storage.</x:v>
      </x:c>
      <x:c r="I486" s="6" t="str">
        <x:v>https://highviewpower.com/</x:v>
      </x:c>
    </x:row>
    <x:row r="487" ht="15" hidden="0" customHeight="1">
      <x:c r="A487" s="12" t="n">
        <x:v>32</x:v>
      </x:c>
      <x:c r="B487" s="6" t="str">
        <x:v>Long-duration energy storage</x:v>
      </x:c>
      <x:c r="C487" s="6" t="str">
        <x:v>b32c9</x:v>
      </x:c>
      <x:c r="D487" s="6" t="str">
        <x:v>Energy Dome — official company information</x:v>
      </x:c>
      <x:c r="E487" s="6" t="str">
        <x:v>Energy Dome</x:v>
      </x:c>
      <x:c r="F487" s="6" t="str"/>
      <x:c r="G487" s="6" t="str">
        <x:v>Company website</x:v>
      </x:c>
      <x:c r="H487" s="6" t="str">
        <x:v>Closed-loop carbon-dioxide energy storage.</x:v>
      </x:c>
      <x:c r="I487" s="6" t="str">
        <x:v>https://energydome.com/</x:v>
      </x:c>
    </x:row>
    <x:row r="488" ht="15" hidden="0" customHeight="1">
      <x:c r="A488" s="12" t="n">
        <x:v>32</x:v>
      </x:c>
      <x:c r="B488" s="6" t="str">
        <x:v>Long-duration energy storage</x:v>
      </x:c>
      <x:c r="C488" s="6" t="str">
        <x:v>b32c10</x:v>
      </x:c>
      <x:c r="D488" s="6" t="str">
        <x:v>Rondo Energy — official company information</x:v>
      </x:c>
      <x:c r="E488" s="6" t="str">
        <x:v>Rondo Energy</x:v>
      </x:c>
      <x:c r="F488" s="6" t="str"/>
      <x:c r="G488" s="6" t="str">
        <x:v>Company website</x:v>
      </x:c>
      <x:c r="H488" s="6" t="str">
        <x:v>Industrial thermal energy storage.</x:v>
      </x:c>
      <x:c r="I488" s="6" t="str">
        <x:v>https://rondo.com/</x:v>
      </x:c>
    </x:row>
    <x:row r="489" ht="15" hidden="0" customHeight="1">
      <x:c r="A489" s="12" t="n">
        <x:v>33</x:v>
      </x:c>
      <x:c r="B489" s="6" t="str">
        <x:v>Sodium-ion batteries</x:v>
      </x:c>
      <x:c r="C489" s="6" t="str">
        <x:v>b33s1</x:v>
      </x:c>
      <x:c r="D489" s="6" t="str">
        <x:v>CATL historical sodium-ion disclosure</x:v>
      </x:c>
      <x:c r="E489" s="6" t="str">
        <x:v>CATL</x:v>
      </x:c>
      <x:c r="F489" s="6" t="str"/>
      <x:c r="G489" s="6" t="str">
        <x:v>Company report</x:v>
      </x:c>
      <x:c r="H489" s="6" t="str">
        <x:v>First-generation sodium-ion cell energy density of 160 Wh/kg.</x:v>
      </x:c>
      <x:c r="I489" s="6" t="str">
        <x:v>https://www.catl.com/es/uploads/1/file/public/202304/20230423150316_scwl3op487.pdf</x:v>
      </x:c>
    </x:row>
    <x:row r="490" ht="15" hidden="0" customHeight="1">
      <x:c r="A490" s="12" t="n">
        <x:v>33</x:v>
      </x:c>
      <x:c r="B490" s="6" t="str">
        <x:v>Sodium-ion batteries</x:v>
      </x:c>
      <x:c r="C490" s="6" t="str">
        <x:v>b33s2</x:v>
      </x:c>
      <x:c r="D490" s="6" t="str">
        <x:v>Naxtra sodium-ion battery launch</x:v>
      </x:c>
      <x:c r="E490" s="6" t="str">
        <x:v>CATL</x:v>
      </x:c>
      <x:c r="F490" s="6" t="str">
        <x:v>2025-04-21</x:v>
      </x:c>
      <x:c r="G490" s="6" t="str">
        <x:v>Company disclosure</x:v>
      </x:c>
      <x:c r="H490" s="6" t="str">
        <x:v>Naxtra stated cell energy density of 175 Wh/kg.</x:v>
      </x:c>
      <x:c r="I490" s="6" t="str">
        <x:v>https://www.catl.com/en/news/6401.html</x:v>
      </x:c>
    </x:row>
    <x:row r="491" ht="15" hidden="0" customHeight="1">
      <x:c r="A491" s="12" t="n">
        <x:v>33</x:v>
      </x:c>
      <x:c r="B491" s="6" t="str">
        <x:v>Sodium-ion batteries</x:v>
      </x:c>
      <x:c r="C491" s="6" t="str">
        <x:v>b33s3</x:v>
      </x:c>
      <x:c r="D491" s="6" t="str">
        <x:v>CATL and Changan unveil sodium-ion passenger vehicle</x:v>
      </x:c>
      <x:c r="E491" s="6" t="str">
        <x:v>CATL</x:v>
      </x:c>
      <x:c r="F491" s="6" t="str">
        <x:v>2026-02-05</x:v>
      </x:c>
      <x:c r="G491" s="6" t="str">
        <x:v>Company disclosure</x:v>
      </x:c>
      <x:c r="H491" s="6" t="str">
        <x:v>Passenger vehicle unveiling and 175 Wh/kg specification; not shipped volume.</x:v>
      </x:c>
      <x:c r="I491" s="6" t="str">
        <x:v>https://www.catl.com/en/news/6720.html</x:v>
      </x:c>
    </x:row>
    <x:row r="492" ht="15" hidden="0" customHeight="1">
      <x:c r="A492" s="12" t="n">
        <x:v>33</x:v>
      </x:c>
      <x:c r="B492" s="6" t="str">
        <x:v>Sodium-ion batteries</x:v>
      </x:c>
      <x:c r="C492" s="6" t="str">
        <x:v>b33s4</x:v>
      </x:c>
      <x:c r="D492" s="6" t="str">
        <x:v>Sodium-ion safety standard certification</x:v>
      </x:c>
      <x:c r="E492" s="6" t="str">
        <x:v>CATL</x:v>
      </x:c>
      <x:c r="F492" s="6" t="str">
        <x:v>2025-09-05</x:v>
      </x:c>
      <x:c r="G492" s="6" t="str">
        <x:v>Company disclosure</x:v>
      </x:c>
      <x:c r="H492" s="6" t="str">
        <x:v>Product qualification milestone.</x:v>
      </x:c>
      <x:c r="I492" s="6" t="str">
        <x:v>https://www.catl.com/en/news/6563.html</x:v>
      </x:c>
    </x:row>
    <x:row r="493" ht="15" hidden="0" customHeight="1">
      <x:c r="A493" s="12" t="n">
        <x:v>33</x:v>
      </x:c>
      <x:c r="B493" s="6" t="str">
        <x:v>Sodium-ion batteries</x:v>
      </x:c>
      <x:c r="C493" s="6" t="str">
        <x:v>b33c1</x:v>
      </x:c>
      <x:c r="D493" s="6" t="str">
        <x:v>CATL — official company information</x:v>
      </x:c>
      <x:c r="E493" s="6" t="str">
        <x:v>CATL</x:v>
      </x:c>
      <x:c r="F493" s="6" t="str"/>
      <x:c r="G493" s="6" t="str">
        <x:v>Company website</x:v>
      </x:c>
      <x:c r="H493" s="6" t="str">
        <x:v>Sodium-ion cells and vehicle/storage supply relationships.</x:v>
      </x:c>
      <x:c r="I493" s="6" t="str">
        <x:v>https://www.catl.com/en/</x:v>
      </x:c>
    </x:row>
    <x:row r="494" ht="15" hidden="0" customHeight="1">
      <x:c r="A494" s="12" t="n">
        <x:v>33</x:v>
      </x:c>
      <x:c r="B494" s="6" t="str">
        <x:v>Sodium-ion batteries</x:v>
      </x:c>
      <x:c r="C494" s="6" t="str">
        <x:v>b33c2</x:v>
      </x:c>
      <x:c r="D494" s="6" t="str">
        <x:v>BYD — official company information</x:v>
      </x:c>
      <x:c r="E494" s="6" t="str">
        <x:v>BYD</x:v>
      </x:c>
      <x:c r="F494" s="6" t="str"/>
      <x:c r="G494" s="6" t="str">
        <x:v>Company website</x:v>
      </x:c>
      <x:c r="H494" s="6" t="str">
        <x:v>Battery and vehicle manufacturing with sodium-ion development.</x:v>
      </x:c>
      <x:c r="I494" s="6" t="str">
        <x:v>https://www.bydglobal.com/</x:v>
      </x:c>
    </x:row>
    <x:row r="495" ht="15" hidden="0" customHeight="1">
      <x:c r="A495" s="12" t="n">
        <x:v>33</x:v>
      </x:c>
      <x:c r="B495" s="6" t="str">
        <x:v>Sodium-ion batteries</x:v>
      </x:c>
      <x:c r="C495" s="6" t="str">
        <x:v>b33c3</x:v>
      </x:c>
      <x:c r="D495" s="6" t="str">
        <x:v>Reliance Industries / Faradion — official company information</x:v>
      </x:c>
      <x:c r="E495" s="6" t="str">
        <x:v>Reliance Industries / Faradion</x:v>
      </x:c>
      <x:c r="F495" s="6" t="str"/>
      <x:c r="G495" s="6" t="str">
        <x:v>Company website</x:v>
      </x:c>
      <x:c r="H495" s="6" t="str">
        <x:v>Public parent; sodium-ion intellectual property and commercialisation.</x:v>
      </x:c>
      <x:c r="I495" s="6" t="str">
        <x:v>https://faradion.co.uk/</x:v>
      </x:c>
    </x:row>
    <x:row r="496" ht="15" hidden="0" customHeight="1">
      <x:c r="A496" s="12" t="n">
        <x:v>33</x:v>
      </x:c>
      <x:c r="B496" s="6" t="str">
        <x:v>Sodium-ion batteries</x:v>
      </x:c>
      <x:c r="C496" s="6" t="str">
        <x:v>b33c4</x:v>
      </x:c>
      <x:c r="D496" s="6" t="str">
        <x:v>Changan Automobile — official company information</x:v>
      </x:c>
      <x:c r="E496" s="6" t="str">
        <x:v>Changan Automobile</x:v>
      </x:c>
      <x:c r="F496" s="6" t="str"/>
      <x:c r="G496" s="6" t="str">
        <x:v>Company website</x:v>
      </x:c>
      <x:c r="H496" s="6" t="str">
        <x:v>Vehicle integration and customer demand for sodium-ion packs.</x:v>
      </x:c>
      <x:c r="I496" s="6" t="str">
        <x:v>https://www.globalchangan.com/</x:v>
      </x:c>
    </x:row>
    <x:row r="497" ht="15" hidden="0" customHeight="1">
      <x:c r="A497" s="12" t="n">
        <x:v>33</x:v>
      </x:c>
      <x:c r="B497" s="6" t="str">
        <x:v>Sodium-ion batteries</x:v>
      </x:c>
      <x:c r="C497" s="6" t="str">
        <x:v>b33c5</x:v>
      </x:c>
      <x:c r="D497" s="6" t="str">
        <x:v>JAC Motors — official company information</x:v>
      </x:c>
      <x:c r="E497" s="6" t="str">
        <x:v>JAC Motors</x:v>
      </x:c>
      <x:c r="F497" s="6" t="str"/>
      <x:c r="G497" s="6" t="str">
        <x:v>Company website</x:v>
      </x:c>
      <x:c r="H497" s="6" t="str">
        <x:v>Vehicle integration of sodium-ion battery programmes.</x:v>
      </x:c>
      <x:c r="I497" s="6" t="str">
        <x:v>https://jacen.jac.com.cn/</x:v>
      </x:c>
    </x:row>
    <x:row r="498" ht="15" hidden="0" customHeight="1">
      <x:c r="A498" s="12" t="n">
        <x:v>33</x:v>
      </x:c>
      <x:c r="B498" s="6" t="str">
        <x:v>Sodium-ion batteries</x:v>
      </x:c>
      <x:c r="C498" s="6" t="str">
        <x:v>b33c6</x:v>
      </x:c>
      <x:c r="D498" s="6" t="str">
        <x:v>HiNa Battery — official company information</x:v>
      </x:c>
      <x:c r="E498" s="6" t="str">
        <x:v>HiNa Battery</x:v>
      </x:c>
      <x:c r="F498" s="6" t="str"/>
      <x:c r="G498" s="6" t="str">
        <x:v>Company website</x:v>
      </x:c>
      <x:c r="H498" s="6" t="str">
        <x:v>Sodium-ion cell development and manufacturing.</x:v>
      </x:c>
      <x:c r="I498" s="6" t="str">
        <x:v>https://www.hinabattery.com/</x:v>
      </x:c>
    </x:row>
    <x:row r="499" ht="15" hidden="0" customHeight="1">
      <x:c r="A499" s="12" t="n">
        <x:v>33</x:v>
      </x:c>
      <x:c r="B499" s="6" t="str">
        <x:v>Sodium-ion batteries</x:v>
      </x:c>
      <x:c r="C499" s="6" t="str">
        <x:v>b33c7</x:v>
      </x:c>
      <x:c r="D499" s="6" t="str">
        <x:v>Altris — official company information</x:v>
      </x:c>
      <x:c r="E499" s="6" t="str">
        <x:v>Altris</x:v>
      </x:c>
      <x:c r="F499" s="6" t="str"/>
      <x:c r="G499" s="6" t="str">
        <x:v>Company website</x:v>
      </x:c>
      <x:c r="H499" s="6" t="str">
        <x:v>Sodium-ion cathode materials and battery technology.</x:v>
      </x:c>
      <x:c r="I499" s="6" t="str">
        <x:v>https://www.altris.se/</x:v>
      </x:c>
    </x:row>
    <x:row r="500" ht="15" hidden="0" customHeight="1">
      <x:c r="A500" s="12" t="n">
        <x:v>33</x:v>
      </x:c>
      <x:c r="B500" s="6" t="str">
        <x:v>Sodium-ion batteries</x:v>
      </x:c>
      <x:c r="C500" s="6" t="str">
        <x:v>b33c8</x:v>
      </x:c>
      <x:c r="D500" s="6" t="str">
        <x:v>Tiamat — official company information</x:v>
      </x:c>
      <x:c r="E500" s="6" t="str">
        <x:v>Tiamat</x:v>
      </x:c>
      <x:c r="F500" s="6" t="str"/>
      <x:c r="G500" s="6" t="str">
        <x:v>Company website</x:v>
      </x:c>
      <x:c r="H500" s="6" t="str">
        <x:v>Sodium-ion cells for power and industrial applications.</x:v>
      </x:c>
      <x:c r="I500" s="6" t="str">
        <x:v>https://www.tiamat-energy.com/</x:v>
      </x:c>
    </x:row>
    <x:row r="501" ht="15" hidden="0" customHeight="1">
      <x:c r="A501" s="12" t="n">
        <x:v>33</x:v>
      </x:c>
      <x:c r="B501" s="6" t="str">
        <x:v>Sodium-ion batteries</x:v>
      </x:c>
      <x:c r="C501" s="6" t="str">
        <x:v>b33c9</x:v>
      </x:c>
      <x:c r="D501" s="6" t="str">
        <x:v>Peak Energy — official company information</x:v>
      </x:c>
      <x:c r="E501" s="6" t="str">
        <x:v>Peak Energy</x:v>
      </x:c>
      <x:c r="F501" s="6" t="str"/>
      <x:c r="G501" s="6" t="str">
        <x:v>Company website</x:v>
      </x:c>
      <x:c r="H501" s="6" t="str">
        <x:v>Sodium-ion stationary energy storage.</x:v>
      </x:c>
      <x:c r="I501" s="6" t="str">
        <x:v>https://www.peakenergy.com/</x:v>
      </x:c>
    </x:row>
    <x:row r="502" ht="15" hidden="0" customHeight="1">
      <x:c r="A502" s="12" t="n">
        <x:v>33</x:v>
      </x:c>
      <x:c r="B502" s="6" t="str">
        <x:v>Sodium-ion batteries</x:v>
      </x:c>
      <x:c r="C502" s="6" t="str">
        <x:v>b33c10</x:v>
      </x:c>
      <x:c r="D502" s="6" t="str">
        <x:v>Zoolnasm — official company information</x:v>
      </x:c>
      <x:c r="E502" s="6" t="str">
        <x:v>Zoolnasm</x:v>
      </x:c>
      <x:c r="F502" s="6" t="str"/>
      <x:c r="G502" s="6" t="str">
        <x:v>Company website</x:v>
      </x:c>
      <x:c r="H502" s="6" t="str">
        <x:v>Sodium-ion battery development and manufacturing.</x:v>
      </x:c>
      <x:c r="I502" s="6" t="str">
        <x:v>https://www.zoolnasm.com/</x:v>
      </x:c>
    </x:row>
    <x:row r="503" ht="15" hidden="0" customHeight="1">
      <x:c r="A503" s="12" t="n">
        <x:v>33</x:v>
      </x:c>
      <x:c r="B503" s="6" t="str">
        <x:v>Sodium-ion batteries</x:v>
      </x:c>
      <x:c r="C503" s="6" t="str">
        <x:v>b33s5</x:v>
      </x:c>
      <x:c r="D503" s="6" t="str">
        <x:v>CATL and HyperStrong sodium-ion storage agreement</x:v>
      </x:c>
      <x:c r="E503" s="6" t="str">
        <x:v>CATL</x:v>
      </x:c>
      <x:c r="F503" s="6" t="str">
        <x:v>2026-05-06</x:v>
      </x:c>
      <x:c r="G503" s="6" t="str">
        <x:v>Company disclosure</x:v>
      </x:c>
      <x:c r="H503" s="6" t="str">
        <x:v>Three-year agreement announced April 27, 2026 covers 60 GWh of sodium-ion battery supply.</x:v>
      </x:c>
      <x:c r="I503" s="6" t="str">
        <x:v>https://www.catl.com/en/news/6812.html</x:v>
      </x:c>
    </x:row>
    <x:row r="504" ht="15" hidden="0" customHeight="1">
      <x:c r="A504" s="12" t="n">
        <x:v>33</x:v>
      </x:c>
      <x:c r="B504" s="6" t="str">
        <x:v>Sodium-ion batteries</x:v>
      </x:c>
      <x:c r="C504" s="6" t="str">
        <x:v>b33s6</x:v>
      </x:c>
      <x:c r="D504" s="6" t="str">
        <x:v>TENER Sodium Energy Storage System unveiled</x:v>
      </x:c>
      <x:c r="E504" s="6" t="str">
        <x:v>CATL</x:v>
      </x:c>
      <x:c r="F504" s="6" t="str">
        <x:v>2026-06-22</x:v>
      </x:c>
      <x:c r="G504" s="6" t="str">
        <x:v>Company disclosure</x:v>
      </x:c>
      <x:c r="H504" s="6" t="str">
        <x:v>Company targets cumulative shipments of 1 GWh by end-2026, with global deliveries planned from June 2027.</x:v>
      </x:c>
      <x:c r="I504" s="6" t="str">
        <x:v>https://www.catl.com/en/news/6861.html</x:v>
      </x:c>
    </x:row>
    <x:row r="505" ht="15" hidden="0" customHeight="1">
      <x:c r="A505" s="12" t="n">
        <x:v>34</x:v>
      </x:c>
      <x:c r="B505" s="6" t="str">
        <x:v>Advanced geothermal</x:v>
      </x:c>
      <x:c r="C505" s="6" t="str">
        <x:v>c34a</x:v>
      </x:c>
      <x:c r="D505" s="6" t="str">
        <x:v>Fervo Energy Drilling Results Show Rapid Advancement of Geothermal Performance</x:v>
      </x:c>
      <x:c r="E505" s="6" t="str">
        <x:v>Fervo Energy</x:v>
      </x:c>
      <x:c r="F505" s="6" t="str">
        <x:v>2024-02-12</x:v>
      </x:c>
      <x:c r="G505" s="6" t="str">
        <x:v>Company disclosure</x:v>
      </x:c>
      <x:c r="H505" s="6" t="str">
        <x:v>2022-to-2024 drilling comparison; fastest Cape Station well 21 days, 70% reduction.</x:v>
      </x:c>
      <x:c r="I505" s="6" t="str">
        <x:v>https://fervoenergy.com/fervo-energy-drilling-results-show-rapid-advancement-of-geothermal-performance/</x:v>
      </x:c>
    </x:row>
    <x:row r="506" ht="15" hidden="0" customHeight="1">
      <x:c r="A506" s="12" t="n">
        <x:v>34</x:v>
      </x:c>
      <x:c r="B506" s="6" t="str">
        <x:v>Advanced geothermal</x:v>
      </x:c>
      <x:c r="C506" s="6" t="str">
        <x:v>c34b</x:v>
      </x:c>
      <x:c r="D506" s="6" t="str">
        <x:v>Cape Station first GeoBlock achieves commercial operation</x:v>
      </x:c>
      <x:c r="E506" s="6" t="str">
        <x:v>Fervo Energy</x:v>
      </x:c>
      <x:c r="F506" s="6" t="str">
        <x:v>2026-10-01</x:v>
      </x:c>
      <x:c r="G506" s="6" t="str">
        <x:v>Company disclosure</x:v>
      </x:c>
      <x:c r="H506" s="6" t="str">
        <x:v>First block 33 MW; remaining Phase I commissioning; Nasdaq FRVO; future phases are plans.</x:v>
      </x:c>
      <x:c r="I506" s="6" t="str">
        <x:v>https://ir.fervoenergy.com/news-releases/news-release-details/fervo-energy-declares-commercial-operation-cape-station-ahead</x:v>
      </x:c>
    </x:row>
    <x:row r="507" ht="15" hidden="0" customHeight="1">
      <x:c r="A507" s="12" t="n">
        <x:v>34</x:v>
      </x:c>
      <x:c r="B507" s="6" t="str">
        <x:v>Advanced geothermal</x:v>
      </x:c>
      <x:c r="C507" s="6" t="str">
        <x:v>c34c</x:v>
      </x:c>
      <x:c r="D507" s="6" t="str">
        <x:v>Eavor Technologies Achieves First Electricity Production at Geretsried Site</x:v>
      </x:c>
      <x:c r="E507" s="6" t="str">
        <x:v>Eavor</x:v>
      </x:c>
      <x:c r="F507" s="6" t="str">
        <x:v>2025-12-04</x:v>
      </x:c>
      <x:c r="G507" s="6" t="str">
        <x:v>Company disclosure</x:v>
      </x:c>
      <x:c r="H507" s="6" t="str">
        <x:v>First electricity from Geretsried delivered to grid.</x:v>
      </x:c>
      <x:c r="I507" s="6" t="str">
        <x:v>https://eavor.com/press-releases/eavor-technologies-achieves-first-electricity-production-at-geretsried-site/</x:v>
      </x:c>
    </x:row>
    <x:row r="508" ht="15" hidden="0" customHeight="1">
      <x:c r="A508" s="12" t="n">
        <x:v>34</x:v>
      </x:c>
      <x:c r="B508" s="6" t="str">
        <x:v>Advanced geothermal</x:v>
      </x:c>
      <x:c r="C508" s="6" t="str">
        <x:v>c34d</x:v>
      </x:c>
      <x:c r="D508" s="6" t="str">
        <x:v>Fervo Energy Learning Curve Continues on 3rd Generation Well Design</x:v>
      </x:c>
      <x:c r="E508" s="6" t="str">
        <x:v>Fervo Energy</x:v>
      </x:c>
      <x:c r="F508" s="6" t="str">
        <x:v>2026-07-08</x:v>
      </x:c>
      <x:c r="G508" s="6" t="str">
        <x:v>Company disclosure</x:v>
      </x:c>
      <x:c r="H508" s="6" t="str">
        <x:v>Deeper Sawtooth 7 third-generation well drilled in 21 days.</x:v>
      </x:c>
      <x:c r="I508" s="6" t="str">
        <x:v>https://fervoenergy.com/fervo-energy-learning-curve-continues-on-3rd-generation-well-design-boosting-drilling-rates-by-143-since-its-first-cape-station-well/</x:v>
      </x:c>
    </x:row>
    <x:row r="509" ht="15" hidden="0" customHeight="1">
      <x:c r="A509" s="12" t="n">
        <x:v>34</x:v>
      </x:c>
      <x:c r="B509" s="6" t="str">
        <x:v>Advanced geothermal</x:v>
      </x:c>
      <x:c r="C509" s="6" t="str">
        <x:v>c34e</x:v>
      </x:c>
      <x:c r="D509" s="6" t="str">
        <x:v>The Future of Geothermal Energy: executive summary</x:v>
      </x:c>
      <x:c r="E509" s="6" t="str">
        <x:v>IEA</x:v>
      </x:c>
      <x:c r="F509" s="6" t="str">
        <x:v>2024-12-13</x:v>
      </x:c>
      <x:c r="G509" s="6" t="str">
        <x:v>Primary research</x:v>
      </x:c>
      <x:c r="H509" s="6" t="str">
        <x:v>Conditional economic potential; possible 80% cost reduction by 2035.</x:v>
      </x:c>
      <x:c r="I509" s="6" t="str">
        <x:v>https://www.iea.org/reports/the-future-of-geothermal-energy/executive-summary</x:v>
      </x:c>
    </x:row>
    <x:row r="510" ht="15" hidden="0" customHeight="1">
      <x:c r="A510" s="12" t="n">
        <x:v>34</x:v>
      </x:c>
      <x:c r="B510" s="6" t="str">
        <x:v>Advanced geothermal</x:v>
      </x:c>
      <x:c r="C510" s="6" t="str">
        <x:v>c34co1</x:v>
      </x:c>
      <x:c r="D510" s="6" t="str">
        <x:v>Fervo Energy: official company information</x:v>
      </x:c>
      <x:c r="E510" s="6" t="str">
        <x:v>Fervo Energy</x:v>
      </x:c>
      <x:c r="F510" s="6" t="str"/>
      <x:c r="G510" s="6" t="str">
        <x:v>Company disclosure</x:v>
      </x:c>
      <x:c r="H510" s="6" t="str">
        <x:v>Direct developer of enhanced geothermal plants; IPO completed in May 2026.</x:v>
      </x:c>
      <x:c r="I510" s="6" t="str">
        <x:v>https://ir.fervoenergy.com/</x:v>
      </x:c>
    </x:row>
    <x:row r="511" ht="15" hidden="0" customHeight="1">
      <x:c r="A511" s="12" t="n">
        <x:v>34</x:v>
      </x:c>
      <x:c r="B511" s="6" t="str">
        <x:v>Advanced geothermal</x:v>
      </x:c>
      <x:c r="C511" s="6" t="str">
        <x:v>c34co2</x:v>
      </x:c>
      <x:c r="D511" s="6" t="str">
        <x:v>Ormat Technologies: official company information</x:v>
      </x:c>
      <x:c r="E511" s="6" t="str">
        <x:v>Ormat Technologies</x:v>
      </x:c>
      <x:c r="F511" s="6" t="str"/>
      <x:c r="G511" s="6" t="str">
        <x:v>Company disclosure</x:v>
      </x:c>
      <x:c r="H511" s="6" t="str">
        <x:v>Geothermal plant operator and supplier of binary-cycle power equipment; exposure includes conventional and next-generation projects.</x:v>
      </x:c>
      <x:c r="I511" s="6" t="str">
        <x:v>https://www.ormat.com/</x:v>
      </x:c>
    </x:row>
    <x:row r="512" ht="15" hidden="0" customHeight="1">
      <x:c r="A512" s="12" t="n">
        <x:v>34</x:v>
      </x:c>
      <x:c r="B512" s="6" t="str">
        <x:v>Advanced geothermal</x:v>
      </x:c>
      <x:c r="C512" s="6" t="str">
        <x:v>c34co3</x:v>
      </x:c>
      <x:c r="D512" s="6" t="str">
        <x:v>Baker Hughes: official company information</x:v>
      </x:c>
      <x:c r="E512" s="6" t="str">
        <x:v>Baker Hughes</x:v>
      </x:c>
      <x:c r="F512" s="6" t="str"/>
      <x:c r="G512" s="6" t="str">
        <x:v>Company disclosure</x:v>
      </x:c>
      <x:c r="H512" s="6" t="str">
        <x:v>Drilling, subsurface and turbomachinery supplier; geothermal is a portion of a diversified business.</x:v>
      </x:c>
      <x:c r="I512" s="6" t="str">
        <x:v>https://www.bakerhughes.com/geothermal-solutions</x:v>
      </x:c>
    </x:row>
    <x:row r="513" ht="15" hidden="0" customHeight="1">
      <x:c r="A513" s="12" t="n">
        <x:v>34</x:v>
      </x:c>
      <x:c r="B513" s="6" t="str">
        <x:v>Advanced geothermal</x:v>
      </x:c>
      <x:c r="C513" s="6" t="str">
        <x:v>c34co4</x:v>
      </x:c>
      <x:c r="D513" s="6" t="str">
        <x:v>SLB: official company information</x:v>
      </x:c>
      <x:c r="E513" s="6" t="str">
        <x:v>SLB</x:v>
      </x:c>
      <x:c r="F513" s="6" t="str"/>
      <x:c r="G513" s="6" t="str">
        <x:v>Company disclosure</x:v>
      </x:c>
      <x:c r="H513" s="6" t="str">
        <x:v>Subsurface modelling, drilling and well construction; indirect equipment and services exposure.</x:v>
      </x:c>
      <x:c r="I513" s="6" t="str">
        <x:v>https://www.slb.com/</x:v>
      </x:c>
    </x:row>
    <x:row r="514" ht="15" hidden="0" customHeight="1">
      <x:c r="A514" s="12" t="n">
        <x:v>34</x:v>
      </x:c>
      <x:c r="B514" s="6" t="str">
        <x:v>Advanced geothermal</x:v>
      </x:c>
      <x:c r="C514" s="6" t="str">
        <x:v>c34co5</x:v>
      </x:c>
      <x:c r="D514" s="6" t="str">
        <x:v>Halliburton: official company information</x:v>
      </x:c>
      <x:c r="E514" s="6" t="str">
        <x:v>Halliburton</x:v>
      </x:c>
      <x:c r="F514" s="6" t="str"/>
      <x:c r="G514" s="6" t="str">
        <x:v>Company disclosure</x:v>
      </x:c>
      <x:c r="H514" s="6" t="str">
        <x:v>Well construction and stimulation services used in geothermal development; diversified exposure.</x:v>
      </x:c>
      <x:c r="I514" s="6" t="str">
        <x:v>https://www.halliburton.com/</x:v>
      </x:c>
    </x:row>
    <x:row r="515" ht="15" hidden="0" customHeight="1">
      <x:c r="A515" s="12" t="n">
        <x:v>34</x:v>
      </x:c>
      <x:c r="B515" s="6" t="str">
        <x:v>Advanced geothermal</x:v>
      </x:c>
      <x:c r="C515" s="6" t="str">
        <x:v>c34co6</x:v>
      </x:c>
      <x:c r="D515" s="6" t="str">
        <x:v>Mitsubishi Heavy Industries: official company information</x:v>
      </x:c>
      <x:c r="E515" s="6" t="str">
        <x:v>Mitsubishi Heavy Industries</x:v>
      </x:c>
      <x:c r="F515" s="6" t="str"/>
      <x:c r="G515" s="6" t="str">
        <x:v>Company disclosure</x:v>
      </x:c>
      <x:c r="H515" s="6" t="str">
        <x:v>Parent of Turboden, supplying organic Rankine-cycle turbines for geothermal projects.</x:v>
      </x:c>
      <x:c r="I515" s="6" t="str">
        <x:v>https://www.mhi.com/</x:v>
      </x:c>
    </x:row>
    <x:row r="516" ht="15" hidden="0" customHeight="1">
      <x:c r="A516" s="12" t="n">
        <x:v>34</x:v>
      </x:c>
      <x:c r="B516" s="6" t="str">
        <x:v>Advanced geothermal</x:v>
      </x:c>
      <x:c r="C516" s="6" t="str">
        <x:v>c34co7</x:v>
      </x:c>
      <x:c r="D516" s="6" t="str">
        <x:v>Eavor: official company information</x:v>
      </x:c>
      <x:c r="E516" s="6" t="str">
        <x:v>Eavor</x:v>
      </x:c>
      <x:c r="F516" s="6" t="str"/>
      <x:c r="G516" s="6" t="str">
        <x:v>Company disclosure</x:v>
      </x:c>
      <x:c r="H516" s="6" t="str">
        <x:v>Closed-loop geothermal developer and licensor; Geretsried is its initial commercial demonstration.</x:v>
      </x:c>
      <x:c r="I516" s="6" t="str">
        <x:v>https://eavor.com/</x:v>
      </x:c>
    </x:row>
    <x:row r="517" ht="15" hidden="0" customHeight="1">
      <x:c r="A517" s="12" t="n">
        <x:v>34</x:v>
      </x:c>
      <x:c r="B517" s="6" t="str">
        <x:v>Advanced geothermal</x:v>
      </x:c>
      <x:c r="C517" s="6" t="str">
        <x:v>c34co8</x:v>
      </x:c>
      <x:c r="D517" s="6" t="str">
        <x:v>Quaise Energy: official company information</x:v>
      </x:c>
      <x:c r="E517" s="6" t="str">
        <x:v>Quaise Energy</x:v>
      </x:c>
      <x:c r="F517" s="6" t="str"/>
      <x:c r="G517" s="6" t="str">
        <x:v>Company disclosure</x:v>
      </x:c>
      <x:c r="H517" s="6" t="str">
        <x:v>Develops millimetre-wave drilling for very deep, superhot geothermal; early technology risk.</x:v>
      </x:c>
      <x:c r="I517" s="6" t="str">
        <x:v>https://www.quaise.energy/</x:v>
      </x:c>
    </x:row>
    <x:row r="518" ht="15" hidden="0" customHeight="1">
      <x:c r="A518" s="12" t="n">
        <x:v>34</x:v>
      </x:c>
      <x:c r="B518" s="6" t="str">
        <x:v>Advanced geothermal</x:v>
      </x:c>
      <x:c r="C518" s="6" t="str">
        <x:v>c34co9</x:v>
      </x:c>
      <x:c r="D518" s="6" t="str">
        <x:v>Sage Geosystems: official company information</x:v>
      </x:c>
      <x:c r="E518" s="6" t="str">
        <x:v>Sage Geosystems</x:v>
      </x:c>
      <x:c r="F518" s="6" t="str"/>
      <x:c r="G518" s="6" t="str">
        <x:v>Company disclosure</x:v>
      </x:c>
      <x:c r="H518" s="6" t="str">
        <x:v>Develops pressure-based geothermal power and subsurface energy storage.</x:v>
      </x:c>
      <x:c r="I518" s="6" t="str">
        <x:v>https://www.sagegeosystems.com/</x:v>
      </x:c>
    </x:row>
    <x:row r="519" ht="15" hidden="0" customHeight="1">
      <x:c r="A519" s="12" t="n">
        <x:v>34</x:v>
      </x:c>
      <x:c r="B519" s="6" t="str">
        <x:v>Advanced geothermal</x:v>
      </x:c>
      <x:c r="C519" s="6" t="str">
        <x:v>c34co10</x:v>
      </x:c>
      <x:c r="D519" s="6" t="str">
        <x:v>XGS Energy: official company information</x:v>
      </x:c>
      <x:c r="E519" s="6" t="str">
        <x:v>XGS Energy</x:v>
      </x:c>
      <x:c r="F519" s="6" t="str"/>
      <x:c r="G519" s="6" t="str">
        <x:v>Company disclosure</x:v>
      </x:c>
      <x:c r="H519" s="6" t="str">
        <x:v>Develops water-independent geothermal heat harvesting; an IPO being explored is not a completed listing.</x:v>
      </x:c>
      <x:c r="I519" s="6" t="str">
        <x:v>https://www.xgsenergy.com/</x:v>
      </x:c>
    </x:row>
    <x:row r="520" ht="15" hidden="0" customHeight="1">
      <x:c r="A520" s="12" t="n">
        <x:v>34</x:v>
      </x:c>
      <x:c r="B520" s="6" t="str">
        <x:v>Advanced geothermal</x:v>
      </x:c>
      <x:c r="C520" s="6" t="str">
        <x:v>c34co11</x:v>
      </x:c>
      <x:c r="D520" s="6" t="str">
        <x:v>Zanskar: official company information</x:v>
      </x:c>
      <x:c r="E520" s="6" t="str">
        <x:v>Zanskar</x:v>
      </x:c>
      <x:c r="F520" s="6" t="str"/>
      <x:c r="G520" s="6" t="str">
        <x:v>Company disclosure</x:v>
      </x:c>
      <x:c r="H520" s="6" t="str">
        <x:v>AI-assisted geothermal resource discovery and project development.</x:v>
      </x:c>
      <x:c r="I520" s="6" t="str">
        <x:v>https://www.zanskar.com/</x:v>
      </x:c>
    </x:row>
    <x:row r="521" ht="15" hidden="0" customHeight="1">
      <x:c r="A521" s="12" t="n">
        <x:v>35</x:v>
      </x:c>
      <x:c r="B521" s="6" t="str">
        <x:v>Small modular nuclear reactors</x:v>
      </x:c>
      <x:c r="C521" s="6" t="str">
        <x:v>c35a</x:v>
      </x:c>
      <x:c r="D521" s="6" t="str">
        <x:v>NEA Small Modular Reactor Dashboard</x:v>
      </x:c>
      <x:c r="E521" s="6" t="str">
        <x:v>OECD Nuclear Energy Agency</x:v>
      </x:c>
      <x:c r="F521" s="6" t="str"/>
      <x:c r="G521" s="6" t="str">
        <x:v>Primary research</x:v>
      </x:c>
      <x:c r="H521" s="6" t="str">
        <x:v>42 designs in 2023, 56 in 2024 and 74 in 2025; readiness methodology.</x:v>
      </x:c>
      <x:c r="I521" s="6" t="str">
        <x:v>https://www.oecd-nea.org/jcms/pl_73678/nea-small-modular-reactor-smr-dashboard</x:v>
      </x:c>
    </x:row>
    <x:row r="522" ht="15" hidden="0" customHeight="1">
      <x:c r="A522" s="12" t="n">
        <x:v>35</x:v>
      </x:c>
      <x:c r="B522" s="6" t="str">
        <x:v>Small modular nuclear reactors</x:v>
      </x:c>
      <x:c r="C522" s="6" t="str">
        <x:v>c35b</x:v>
      </x:c>
      <x:c r="D522" s="6" t="str">
        <x:v>New NEA Small Modular Reactor Dashboard edition reveals global expansion</x:v>
      </x:c>
      <x:c r="E522" s="6" t="str">
        <x:v>OECD Nuclear Energy Agency</x:v>
      </x:c>
      <x:c r="F522" s="6" t="str">
        <x:v>2025-07-17</x:v>
      </x:c>
      <x:c r="G522" s="6" t="str">
        <x:v>Primary research</x:v>
      </x:c>
      <x:c r="H522" s="6" t="str">
        <x:v>Seven designs either operating or under construction.</x:v>
      </x:c>
      <x:c r="I522" s="6" t="str">
        <x:v>https://cms.oecd-nea.org/jcms/pl_108268/new-nea-small-modular-reactor-dashboard-edition-reveals-global-expansion-of-smr-deployment</x:v>
      </x:c>
    </x:row>
    <x:row r="523" ht="15" hidden="0" customHeight="1">
      <x:c r="A523" s="12" t="n">
        <x:v>35</x:v>
      </x:c>
      <x:c r="B523" s="6" t="str">
        <x:v>Small modular nuclear reactors</x:v>
      </x:c>
      <x:c r="C523" s="6" t="str">
        <x:v>c35c</x:v>
      </x:c>
      <x:c r="D523" s="6" t="str">
        <x:v>Release of the NEA Small Modular Reactor Digital Dashboard: Fourth Edition</x:v>
      </x:c>
      <x:c r="E523" s="6" t="str">
        <x:v>OECD Nuclear Energy Agency</x:v>
      </x:c>
      <x:c r="F523" s="6" t="str">
        <x:v>2026-09-28</x:v>
      </x:c>
      <x:c r="G523" s="6" t="str">
        <x:v>Primary research</x:v>
      </x:c>
      <x:c r="H523" s="6" t="str">
        <x:v>Latest edition released 28 September 2026.</x:v>
      </x:c>
      <x:c r="I523" s="6" t="str">
        <x:v>https://oecd-nea.org/jcms/pl_122015/release-of-the-nea-small-modular-reactor-digital-dashboard-fourth-edition</x:v>
      </x:c>
    </x:row>
    <x:row r="524" ht="15" hidden="0" customHeight="1">
      <x:c r="A524" s="12" t="n">
        <x:v>35</x:v>
      </x:c>
      <x:c r="B524" s="6" t="str">
        <x:v>Small modular nuclear reactors</x:v>
      </x:c>
      <x:c r="C524" s="6" t="str">
        <x:v>c35d</x:v>
      </x:c>
      <x:c r="D524" s="6" t="str">
        <x:v>NEA Small Modular Reactor Digital Dashboard</x:v>
      </x:c>
      <x:c r="E524" s="6" t="str">
        <x:v>OECD Nuclear Energy Agency</x:v>
      </x:c>
      <x:c r="F524" s="6" t="str"/>
      <x:c r="G524" s="6" t="str">
        <x:v>Primary research</x:v>
      </x:c>
      <x:c r="H524" s="6" t="str">
        <x:v>Digital dashboard reports 79 assessed designs, 129 tracked.</x:v>
      </x:c>
      <x:c r="I524" s="6" t="str">
        <x:v>https://cms.oecd-nea.org/jcms/pl_107879/nea-small-modular-reactor-digital-dashboard</x:v>
      </x:c>
    </x:row>
    <x:row r="525" ht="15" hidden="0" customHeight="1">
      <x:c r="A525" s="12" t="n">
        <x:v>35</x:v>
      </x:c>
      <x:c r="B525" s="6" t="str">
        <x:v>Small modular nuclear reactors</x:v>
      </x:c>
      <x:c r="C525" s="6" t="str">
        <x:v>c35e</x:v>
      </x:c>
      <x:c r="D525" s="6" t="str">
        <x:v>The Path to a New Era for Nuclear Energy</x:v>
      </x:c>
      <x:c r="E525" s="6" t="str">
        <x:v>IEA</x:v>
      </x:c>
      <x:c r="F525" s="6" t="str">
        <x:v>2025-01-16</x:v>
      </x:c>
      <x:c r="G525" s="6" t="str">
        <x:v>Primary research</x:v>
      </x:c>
      <x:c r="H525" s="6" t="str">
        <x:v>First commercial projects around 2030; 40 GW SMR capacity in 2050 under current policies, 120 GW in faster-growth scenario.</x:v>
      </x:c>
      <x:c r="I525" s="6" t="str">
        <x:v>https://www.iea.org/reports/the-path-to-a-new-era-for-nuclear-energy/executive-summary</x:v>
      </x:c>
    </x:row>
    <x:row r="526" ht="15" hidden="0" customHeight="1">
      <x:c r="A526" s="12" t="n">
        <x:v>35</x:v>
      </x:c>
      <x:c r="B526" s="6" t="str">
        <x:v>Small modular nuclear reactors</x:v>
      </x:c>
      <x:c r="C526" s="6" t="str">
        <x:v>c35co1</x:v>
      </x:c>
      <x:c r="D526" s="6" t="str">
        <x:v>GE Vernova: official company information</x:v>
      </x:c>
      <x:c r="E526" s="6" t="str">
        <x:v>GE Vernova</x:v>
      </x:c>
      <x:c r="F526" s="6" t="str"/>
      <x:c r="G526" s="6" t="str">
        <x:v>Company disclosure</x:v>
      </x:c>
      <x:c r="H526" s="6" t="str">
        <x:v>GE Vernova Hitachi nuclear reactor design and services, including BWRX-300.</x:v>
      </x:c>
      <x:c r="I526" s="6" t="str">
        <x:v>https://www.gevernova.com/nuclear/</x:v>
      </x:c>
    </x:row>
    <x:row r="527" ht="15" hidden="0" customHeight="1">
      <x:c r="A527" s="12" t="n">
        <x:v>35</x:v>
      </x:c>
      <x:c r="B527" s="6" t="str">
        <x:v>Small modular nuclear reactors</x:v>
      </x:c>
      <x:c r="C527" s="6" t="str">
        <x:v>c35co2</x:v>
      </x:c>
      <x:c r="D527" s="6" t="str">
        <x:v>Hitachi: official company information</x:v>
      </x:c>
      <x:c r="E527" s="6" t="str">
        <x:v>Hitachi</x:v>
      </x:c>
      <x:c r="F527" s="6" t="str"/>
      <x:c r="G527" s="6" t="str">
        <x:v>Company disclosure</x:v>
      </x:c>
      <x:c r="H527" s="6" t="str">
        <x:v>Nuclear joint ventures and supply chain; BWRX-300 exposure through GE Vernova Hitachi.</x:v>
      </x:c>
      <x:c r="I527" s="6" t="str">
        <x:v>https://www.hitachi.com/</x:v>
      </x:c>
    </x:row>
    <x:row r="528" ht="15" hidden="0" customHeight="1">
      <x:c r="A528" s="12" t="n">
        <x:v>35</x:v>
      </x:c>
      <x:c r="B528" s="6" t="str">
        <x:v>Small modular nuclear reactors</x:v>
      </x:c>
      <x:c r="C528" s="6" t="str">
        <x:v>c35co3</x:v>
      </x:c>
      <x:c r="D528" s="6" t="str">
        <x:v>BWX Technologies: official company information</x:v>
      </x:c>
      <x:c r="E528" s="6" t="str">
        <x:v>BWX Technologies</x:v>
      </x:c>
      <x:c r="F528" s="6" t="str"/>
      <x:c r="G528" s="6" t="str">
        <x:v>Company disclosure</x:v>
      </x:c>
      <x:c r="H528" s="6" t="str">
        <x:v>Nuclear components, fuel and reactor engineering; diversified nuclear supplier.</x:v>
      </x:c>
      <x:c r="I528" s="6" t="str">
        <x:v>https://www.bwxt.com/</x:v>
      </x:c>
    </x:row>
    <x:row r="529" ht="15" hidden="0" customHeight="1">
      <x:c r="A529" s="12" t="n">
        <x:v>35</x:v>
      </x:c>
      <x:c r="B529" s="6" t="str">
        <x:v>Small modular nuclear reactors</x:v>
      </x:c>
      <x:c r="C529" s="6" t="str">
        <x:v>c35co4</x:v>
      </x:c>
      <x:c r="D529" s="6" t="str">
        <x:v>NuScale Power: official company information</x:v>
      </x:c>
      <x:c r="E529" s="6" t="str">
        <x:v>NuScale Power</x:v>
      </x:c>
      <x:c r="F529" s="6" t="str"/>
      <x:c r="G529" s="6" t="str">
        <x:v>Company disclosure</x:v>
      </x:c>
      <x:c r="H529" s="6" t="str">
        <x:v>Modular light-water reactor design and licensing; development exposure before fleet-scale deployment.</x:v>
      </x:c>
      <x:c r="I529" s="6" t="str">
        <x:v>https://www.nuscalepower.com/</x:v>
      </x:c>
    </x:row>
    <x:row r="530" ht="15" hidden="0" customHeight="1">
      <x:c r="A530" s="12" t="n">
        <x:v>35</x:v>
      </x:c>
      <x:c r="B530" s="6" t="str">
        <x:v>Small modular nuclear reactors</x:v>
      </x:c>
      <x:c r="C530" s="6" t="str">
        <x:v>c35co5</x:v>
      </x:c>
      <x:c r="D530" s="6" t="str">
        <x:v>Oklo: official company information</x:v>
      </x:c>
      <x:c r="E530" s="6" t="str">
        <x:v>Oklo</x:v>
      </x:c>
      <x:c r="F530" s="6" t="str"/>
      <x:c r="G530" s="6" t="str">
        <x:v>Company disclosure</x:v>
      </x:c>
      <x:c r="H530" s="6" t="str">
        <x:v>Advanced fast-reactor developer; material licensing, fuel and construction risks remain.</x:v>
      </x:c>
      <x:c r="I530" s="6" t="str">
        <x:v>https://oklo.com/</x:v>
      </x:c>
    </x:row>
    <x:row r="531" ht="15" hidden="0" customHeight="1">
      <x:c r="A531" s="12" t="n">
        <x:v>35</x:v>
      </x:c>
      <x:c r="B531" s="6" t="str">
        <x:v>Small modular nuclear reactors</x:v>
      </x:c>
      <x:c r="C531" s="6" t="str">
        <x:v>c35co6</x:v>
      </x:c>
      <x:c r="D531" s="6" t="str">
        <x:v>X-energy: official company information</x:v>
      </x:c>
      <x:c r="E531" s="6" t="str">
        <x:v>X-energy</x:v>
      </x:c>
      <x:c r="F531" s="6" t="str"/>
      <x:c r="G531" s="6" t="str">
        <x:v>Company disclosure</x:v>
      </x:c>
      <x:c r="H531" s="6" t="str">
        <x:v>Xe-100 reactor and TRISO fuel developer; publicly listed since April 2026.</x:v>
      </x:c>
      <x:c r="I531" s="6" t="str">
        <x:v>https://investors.x-energy.com/stock</x:v>
      </x:c>
    </x:row>
    <x:row r="532" ht="15" hidden="0" customHeight="1">
      <x:c r="A532" s="12" t="n">
        <x:v>35</x:v>
      </x:c>
      <x:c r="B532" s="6" t="str">
        <x:v>Small modular nuclear reactors</x:v>
      </x:c>
      <x:c r="C532" s="6" t="str">
        <x:v>c35co7</x:v>
      </x:c>
      <x:c r="D532" s="6" t="str">
        <x:v>Rolls-Royce Holdings: official company information</x:v>
      </x:c>
      <x:c r="E532" s="6" t="str">
        <x:v>Rolls-Royce Holdings</x:v>
      </x:c>
      <x:c r="F532" s="6" t="str"/>
      <x:c r="G532" s="6" t="str">
        <x:v>Company disclosure</x:v>
      </x:c>
      <x:c r="H532" s="6" t="str">
        <x:v>Parent/shareholder exposure to Rolls-Royce SMR, alongside a much larger aerospace business.</x:v>
      </x:c>
      <x:c r="I532" s="6" t="str">
        <x:v>https://www.rolls-royce.com/</x:v>
      </x:c>
    </x:row>
    <x:row r="533" ht="15" hidden="0" customHeight="1">
      <x:c r="A533" s="12" t="n">
        <x:v>35</x:v>
      </x:c>
      <x:c r="B533" s="6" t="str">
        <x:v>Small modular nuclear reactors</x:v>
      </x:c>
      <x:c r="C533" s="6" t="str">
        <x:v>c35co8</x:v>
      </x:c>
      <x:c r="D533" s="6" t="str">
        <x:v>TerraPower: official company information</x:v>
      </x:c>
      <x:c r="E533" s="6" t="str">
        <x:v>TerraPower</x:v>
      </x:c>
      <x:c r="F533" s="6" t="str"/>
      <x:c r="G533" s="6" t="str">
        <x:v>Company disclosure</x:v>
      </x:c>
      <x:c r="H533" s="6" t="str">
        <x:v>Developer of the Natrium reactor and thermal-storage project.</x:v>
      </x:c>
      <x:c r="I533" s="6" t="str">
        <x:v>https://www.terrapower.com/</x:v>
      </x:c>
    </x:row>
    <x:row r="534" ht="15" hidden="0" customHeight="1">
      <x:c r="A534" s="12" t="n">
        <x:v>35</x:v>
      </x:c>
      <x:c r="B534" s="6" t="str">
        <x:v>Small modular nuclear reactors</x:v>
      </x:c>
      <x:c r="C534" s="6" t="str">
        <x:v>c35co9</x:v>
      </x:c>
      <x:c r="D534" s="6" t="str">
        <x:v>Kairos Power: official company information</x:v>
      </x:c>
      <x:c r="E534" s="6" t="str">
        <x:v>Kairos Power</x:v>
      </x:c>
      <x:c r="F534" s="6" t="str"/>
      <x:c r="G534" s="6" t="str">
        <x:v>Company disclosure</x:v>
      </x:c>
      <x:c r="H534" s="6" t="str">
        <x:v>Fluoride-salt-cooled advanced reactor developer pursuing staged demonstration.</x:v>
      </x:c>
      <x:c r="I534" s="6" t="str">
        <x:v>https://kairospower.com/</x:v>
      </x:c>
    </x:row>
    <x:row r="535" ht="15" hidden="0" customHeight="1">
      <x:c r="A535" s="12" t="n">
        <x:v>35</x:v>
      </x:c>
      <x:c r="B535" s="6" t="str">
        <x:v>Small modular nuclear reactors</x:v>
      </x:c>
      <x:c r="C535" s="6" t="str">
        <x:v>c35co10</x:v>
      </x:c>
      <x:c r="D535" s="6" t="str">
        <x:v>Holtec International: official company information</x:v>
      </x:c>
      <x:c r="E535" s="6" t="str">
        <x:v>Holtec International</x:v>
      </x:c>
      <x:c r="F535" s="6" t="str"/>
      <x:c r="G535" s="6" t="str">
        <x:v>Company disclosure</x:v>
      </x:c>
      <x:c r="H535" s="6" t="str">
        <x:v>SMR-300 developer and nuclear equipment supplier.</x:v>
      </x:c>
      <x:c r="I535" s="6" t="str">
        <x:v>https://holtecinternational.com/</x:v>
      </x:c>
    </x:row>
    <x:row r="536" ht="15" hidden="0" customHeight="1">
      <x:c r="A536" s="12" t="n">
        <x:v>35</x:v>
      </x:c>
      <x:c r="B536" s="6" t="str">
        <x:v>Small modular nuclear reactors</x:v>
      </x:c>
      <x:c r="C536" s="6" t="str">
        <x:v>c35co11</x:v>
      </x:c>
      <x:c r="D536" s="6" t="str">
        <x:v>newcleo: official company information</x:v>
      </x:c>
      <x:c r="E536" s="6" t="str">
        <x:v>newcleo</x:v>
      </x:c>
      <x:c r="F536" s="6" t="str"/>
      <x:c r="G536" s="6" t="str">
        <x:v>Company disclosure</x:v>
      </x:c>
      <x:c r="H536" s="6" t="str">
        <x:v>Lead-cooled reactor and recycled-fuel developer; long technology and qualification timeline.</x:v>
      </x:c>
      <x:c r="I536" s="6" t="str">
        <x:v>https://www.newcleo.com/</x:v>
      </x:c>
    </x:row>
    <x:row r="537" ht="15" hidden="0" customHeight="1">
      <x:c r="A537" s="12" t="n">
        <x:v>36</x:v>
      </x:c>
      <x:c r="B537" s="6" t="str">
        <x:v>High-temperature and industrial heat pumps</x:v>
      </x:c>
      <x:c r="C537" s="6" t="str">
        <x:v>c36a</x:v>
      </x:c>
      <x:c r="D537" s="6" t="str">
        <x:v>Heat Pump Monitor 2026: key findings</x:v>
      </x:c>
      <x:c r="E537" s="6" t="str">
        <x:v>IEA</x:v>
      </x:c>
      <x:c r="F537" s="6" t="str">
        <x:v>2026-07-28</x:v>
      </x:c>
      <x:c r="G537" s="6" t="str">
        <x:v>Primary research</x:v>
      </x:c>
      <x:c r="H537" s="6" t="str">
        <x:v>Japan capacity, temperature readiness, and scenario-dependent industrial uptake by 2035.</x:v>
      </x:c>
      <x:c r="I537" s="6" t="str">
        <x:v>https://www.iea.org/reports/heat-pump-monitor-2026/key-findings</x:v>
      </x:c>
    </x:row>
    <x:row r="538" ht="15" hidden="0" customHeight="1">
      <x:c r="A538" s="12" t="n">
        <x:v>36</x:v>
      </x:c>
      <x:c r="B538" s="6" t="str">
        <x:v>High-temperature and industrial heat pumps</x:v>
      </x:c>
      <x:c r="C538" s="6" t="str">
        <x:v>c36b</x:v>
      </x:c>
      <x:c r="D538" s="6" t="str">
        <x:v>Heat Pumps Step Up: What the IEA Heat Pump Monitor 2026 Means</x:v>
      </x:c>
      <x:c r="E538" s="6" t="str">
        <x:v>IEA HPT TCP</x:v>
      </x:c>
      <x:c r="F538" s="6" t="str"/>
      <x:c r="G538" s="6" t="str">
        <x:v>Primary research</x:v>
      </x:c>
      <x:c r="H538" s="6" t="str">
        <x:v>Technical synthesis: historical Japan baseline, process temperatures and industrial economics.</x:v>
      </x:c>
      <x:c r="I538" s="6" t="str">
        <x:v>https://heatpumpingtechnologies.org/articles/heat-pumps-step-up-what-the-ieas-heat-pump-monitor-2026-means-for-heating-industry-and-energy-security/</x:v>
      </x:c>
    </x:row>
    <x:row r="539" ht="15" hidden="0" customHeight="1">
      <x:c r="A539" s="12" t="n">
        <x:v>36</x:v>
      </x:c>
      <x:c r="B539" s="6" t="str">
        <x:v>High-temperature and industrial heat pumps</x:v>
      </x:c>
      <x:c r="C539" s="6" t="str">
        <x:v>c36c</x:v>
      </x:c>
      <x:c r="D539" s="6" t="str">
        <x:v>Project 58: High-Temperature Heat Pumps</x:v>
      </x:c>
      <x:c r="E539" s="6" t="str">
        <x:v>IEA HPT TCP</x:v>
      </x:c>
      <x:c r="F539" s="6" t="str"/>
      <x:c r="G539" s="6" t="str">
        <x:v>Primary research</x:v>
      </x:c>
      <x:c r="H539" s="6" t="str">
        <x:v>2021–2023 programme and September 2023 technology report.</x:v>
      </x:c>
      <x:c r="I539" s="6" t="str">
        <x:v>https://heatpumpingtechnologies.org/project58/</x:v>
      </x:c>
    </x:row>
    <x:row r="540" ht="15" hidden="0" customHeight="1">
      <x:c r="A540" s="12" t="n">
        <x:v>36</x:v>
      </x:c>
      <x:c r="B540" s="6" t="str">
        <x:v>High-temperature and industrial heat pumps</x:v>
      </x:c>
      <x:c r="C540" s="6" t="str">
        <x:v>c36d</x:v>
      </x:c>
      <x:c r="D540" s="6" t="str">
        <x:v>Annual report 2025: the industrial sleeping giant</x:v>
      </x:c>
      <x:c r="E540" s="6" t="str">
        <x:v>European Heat Pump Association</x:v>
      </x:c>
      <x:c r="F540" s="6" t="str">
        <x:v>2026-01-28</x:v>
      </x:c>
      <x:c r="G540" s="6" t="str">
        <x:v>Primary research</x:v>
      </x:c>
      <x:c r="H540" s="6" t="str">
        <x:v>Industrial programme and operating sectors; technical potential is not adoption.</x:v>
      </x:c>
      <x:c r="I540" s="6" t="str">
        <x:v>https://ehpa.org/news-and-resources/publications/annual-report-2025-the-industrial-sleeping-giant/</x:v>
      </x:c>
    </x:row>
    <x:row r="541" ht="15" hidden="0" customHeight="1">
      <x:c r="A541" s="12" t="n">
        <x:v>36</x:v>
      </x:c>
      <x:c r="B541" s="6" t="str">
        <x:v>High-temperature and industrial heat pumps</x:v>
      </x:c>
      <x:c r="C541" s="6" t="str">
        <x:v>c36co1</x:v>
      </x:c>
      <x:c r="D541" s="6" t="str">
        <x:v>GEA Group: official company information</x:v>
      </x:c>
      <x:c r="E541" s="6" t="str">
        <x:v>GEA Group</x:v>
      </x:c>
      <x:c r="F541" s="6" t="str"/>
      <x:c r="G541" s="6" t="str">
        <x:v>Company disclosure</x:v>
      </x:c>
      <x:c r="H541" s="6" t="str">
        <x:v>Industrial heat pumps and integrated heating/refrigeration equipment.</x:v>
      </x:c>
      <x:c r="I541" s="6" t="str">
        <x:v>https://www.gea.com/en/products/heat-pumps/</x:v>
      </x:c>
    </x:row>
    <x:row r="542" ht="15" hidden="0" customHeight="1">
      <x:c r="A542" s="12" t="n">
        <x:v>36</x:v>
      </x:c>
      <x:c r="B542" s="6" t="str">
        <x:v>High-temperature and industrial heat pumps</x:v>
      </x:c>
      <x:c r="C542" s="6" t="str">
        <x:v>c36co2</x:v>
      </x:c>
      <x:c r="D542" s="6" t="str">
        <x:v>Johnson Controls: official company information</x:v>
      </x:c>
      <x:c r="E542" s="6" t="str">
        <x:v>Johnson Controls</x:v>
      </x:c>
      <x:c r="F542" s="6" t="str"/>
      <x:c r="G542" s="6" t="str">
        <x:v>Company disclosure</x:v>
      </x:c>
      <x:c r="H542" s="6" t="str">
        <x:v>Sabroe and other industrial high-temperature heat-pump systems and controls.</x:v>
      </x:c>
      <x:c r="I542" s="6" t="str">
        <x:v>https://www.johnsoncontrols.com/</x:v>
      </x:c>
    </x:row>
    <x:row r="543" ht="15" hidden="0" customHeight="1">
      <x:c r="A543" s="12" t="n">
        <x:v>36</x:v>
      </x:c>
      <x:c r="B543" s="6" t="str">
        <x:v>High-temperature and industrial heat pumps</x:v>
      </x:c>
      <x:c r="C543" s="6" t="str">
        <x:v>c36co3</x:v>
      </x:c>
      <x:c r="D543" s="6" t="str">
        <x:v>Trane Technologies: official company information</x:v>
      </x:c>
      <x:c r="E543" s="6" t="str">
        <x:v>Trane Technologies</x:v>
      </x:c>
      <x:c r="F543" s="6" t="str"/>
      <x:c r="G543" s="6" t="str">
        <x:v>Company disclosure</x:v>
      </x:c>
      <x:c r="H543" s="6" t="str">
        <x:v>Large commercial and industrial heat pumps and heat-recovery systems.</x:v>
      </x:c>
      <x:c r="I543" s="6" t="str">
        <x:v>https://www.tranetechnologies.com/</x:v>
      </x:c>
    </x:row>
    <x:row r="544" ht="15" hidden="0" customHeight="1">
      <x:c r="A544" s="12" t="n">
        <x:v>36</x:v>
      </x:c>
      <x:c r="B544" s="6" t="str">
        <x:v>High-temperature and industrial heat pumps</x:v>
      </x:c>
      <x:c r="C544" s="6" t="str">
        <x:v>c36co4</x:v>
      </x:c>
      <x:c r="D544" s="6" t="str">
        <x:v>Daikin Industries: official company information</x:v>
      </x:c>
      <x:c r="E544" s="6" t="str">
        <x:v>Daikin Industries</x:v>
      </x:c>
      <x:c r="F544" s="6" t="str"/>
      <x:c r="G544" s="6" t="str">
        <x:v>Company disclosure</x:v>
      </x:c>
      <x:c r="H544" s="6" t="str">
        <x:v>Heat-pump equipment and compressors; industrial exposure within a broad HVAC business.</x:v>
      </x:c>
      <x:c r="I544" s="6" t="str">
        <x:v>https://www.daikin.com/</x:v>
      </x:c>
    </x:row>
    <x:row r="545" ht="15" hidden="0" customHeight="1">
      <x:c r="A545" s="12" t="n">
        <x:v>36</x:v>
      </x:c>
      <x:c r="B545" s="6" t="str">
        <x:v>High-temperature and industrial heat pumps</x:v>
      </x:c>
      <x:c r="C545" s="6" t="str">
        <x:v>c36co5</x:v>
      </x:c>
      <x:c r="D545" s="6" t="str">
        <x:v>Mitsubishi Electric: official company information</x:v>
      </x:c>
      <x:c r="E545" s="6" t="str">
        <x:v>Mitsubishi Electric</x:v>
      </x:c>
      <x:c r="F545" s="6" t="str"/>
      <x:c r="G545" s="6" t="str">
        <x:v>Company disclosure</x:v>
      </x:c>
      <x:c r="H545" s="6" t="str">
        <x:v>Heat pumps, compressors and industrial electrification components; diversified exposure.</x:v>
      </x:c>
      <x:c r="I545" s="6" t="str">
        <x:v>https://www.mitsubishielectric.com/</x:v>
      </x:c>
    </x:row>
    <x:row r="546" ht="15" hidden="0" customHeight="1">
      <x:c r="A546" s="12" t="n">
        <x:v>36</x:v>
      </x:c>
      <x:c r="B546" s="6" t="str">
        <x:v>High-temperature and industrial heat pumps</x:v>
      </x:c>
      <x:c r="C546" s="6" t="str">
        <x:v>c36co6</x:v>
      </x:c>
      <x:c r="D546" s="6" t="str">
        <x:v>Danfoss: official company information</x:v>
      </x:c>
      <x:c r="E546" s="6" t="str">
        <x:v>Danfoss</x:v>
      </x:c>
      <x:c r="F546" s="6" t="str"/>
      <x:c r="G546" s="6" t="str">
        <x:v>Company disclosure</x:v>
      </x:c>
      <x:c r="H546" s="6" t="str">
        <x:v>Compressors, drives, heat exchangers and controls that enable industrial heat pumps.</x:v>
      </x:c>
      <x:c r="I546" s="6" t="str">
        <x:v>https://www.danfoss.com/</x:v>
      </x:c>
    </x:row>
    <x:row r="547" ht="15" hidden="0" customHeight="1">
      <x:c r="A547" s="12" t="n">
        <x:v>36</x:v>
      </x:c>
      <x:c r="B547" s="6" t="str">
        <x:v>High-temperature and industrial heat pumps</x:v>
      </x:c>
      <x:c r="C547" s="6" t="str">
        <x:v>c36co7</x:v>
      </x:c>
      <x:c r="D547" s="6" t="str">
        <x:v>Mayekawa: official company information</x:v>
      </x:c>
      <x:c r="E547" s="6" t="str">
        <x:v>Mayekawa</x:v>
      </x:c>
      <x:c r="F547" s="6" t="str"/>
      <x:c r="G547" s="6" t="str">
        <x:v>Company disclosure</x:v>
      </x:c>
      <x:c r="H547" s="6" t="str">
        <x:v>Industrial refrigeration and heat-pump systems using natural refrigerants.</x:v>
      </x:c>
      <x:c r="I547" s="6" t="str">
        <x:v>https://www.mayekawa.com/</x:v>
      </x:c>
    </x:row>
    <x:row r="548" ht="15" hidden="0" customHeight="1">
      <x:c r="A548" s="12" t="n">
        <x:v>36</x:v>
      </x:c>
      <x:c r="B548" s="6" t="str">
        <x:v>High-temperature and industrial heat pumps</x:v>
      </x:c>
      <x:c r="C548" s="6" t="str">
        <x:v>c36co8</x:v>
      </x:c>
      <x:c r="D548" s="6" t="str">
        <x:v>Oilon: official company information</x:v>
      </x:c>
      <x:c r="E548" s="6" t="str">
        <x:v>Oilon</x:v>
      </x:c>
      <x:c r="F548" s="6" t="str"/>
      <x:c r="G548" s="6" t="str">
        <x:v>Company disclosure</x:v>
      </x:c>
      <x:c r="H548" s="6" t="str">
        <x:v>Industrial and district-heating heat pumps and thermal engineering.</x:v>
      </x:c>
      <x:c r="I548" s="6" t="str">
        <x:v>https://oilon.com/</x:v>
      </x:c>
    </x:row>
    <x:row r="549" ht="15" hidden="0" customHeight="1">
      <x:c r="A549" s="12" t="n">
        <x:v>36</x:v>
      </x:c>
      <x:c r="B549" s="6" t="str">
        <x:v>High-temperature and industrial heat pumps</x:v>
      </x:c>
      <x:c r="C549" s="6" t="str">
        <x:v>c36co9</x:v>
      </x:c>
      <x:c r="D549" s="6" t="str">
        <x:v>Skyven Technologies: official company information</x:v>
      </x:c>
      <x:c r="E549" s="6" t="str">
        <x:v>Skyven Technologies</x:v>
      </x:c>
      <x:c r="F549" s="6" t="str"/>
      <x:c r="G549" s="6" t="str">
        <x:v>Company disclosure</x:v>
      </x:c>
      <x:c r="H549" s="6" t="str">
        <x:v>Steam-generating industrial heat pumps and heat-as-a-service projects.</x:v>
      </x:c>
      <x:c r="I549" s="6" t="str">
        <x:v>https://www.skyven.co/</x:v>
      </x:c>
    </x:row>
    <x:row r="550" ht="15" hidden="0" customHeight="1">
      <x:c r="A550" s="12" t="n">
        <x:v>36</x:v>
      </x:c>
      <x:c r="B550" s="6" t="str">
        <x:v>High-temperature and industrial heat pumps</x:v>
      </x:c>
      <x:c r="C550" s="6" t="str">
        <x:v>c36co10</x:v>
      </x:c>
      <x:c r="D550" s="6" t="str">
        <x:v>Futraheat: official company information</x:v>
      </x:c>
      <x:c r="E550" s="6" t="str">
        <x:v>Futraheat</x:v>
      </x:c>
      <x:c r="F550" s="6" t="str"/>
      <x:c r="G550" s="6" t="str">
        <x:v>Company disclosure</x:v>
      </x:c>
      <x:c r="H550" s="6" t="str">
        <x:v>High-temperature heat-pump technology designed to supply industrial steam.</x:v>
      </x:c>
      <x:c r="I550" s="6" t="str">
        <x:v>https://www.futraheat.com/</x:v>
      </x:c>
    </x:row>
    <x:row r="551" ht="15" hidden="0" customHeight="1">
      <x:c r="A551" s="12" t="n">
        <x:v>37</x:v>
      </x:c>
      <x:c r="B551" s="6" t="str">
        <x:v>Virtual power plants and demand flexibility</x:v>
      </x:c>
      <x:c r="C551" s="6" t="str">
        <x:v>c37a</x:v>
      </x:c>
      <x:c r="D551" s="6" t="str">
        <x:v>Virtual power plant capacity expands 13.7% to reach 37.5 GW</x:v>
      </x:c>
      <x:c r="E551" s="6" t="str">
        <x:v>Wood Mackenzie</x:v>
      </x:c>
      <x:c r="F551" s="6" t="str">
        <x:v>2025-09-18</x:v>
      </x:c>
      <x:c r="G551" s="6" t="str">
        <x:v>Primary research</x:v>
      </x:c>
      <x:c r="H551" s="6" t="str">
        <x:v>North America VPP capacity and residential shares of wholesale capacity.</x:v>
      </x:c>
      <x:c r="I551" s="6" t="str">
        <x:v>https://www.woodmac.com/press-releases/virtual-power-plant-capacity-expands-13.7-year-over-year-to-reach-37.5-gw</x:v>
      </x:c>
    </x:row>
    <x:row r="552" ht="15" hidden="0" customHeight="1">
      <x:c r="A552" s="12" t="n">
        <x:v>37</x:v>
      </x:c>
      <x:c r="B552" s="6" t="str">
        <x:v>Virtual power plants and demand flexibility</x:v>
      </x:c>
      <x:c r="C552" s="6" t="str">
        <x:v>c37b</x:v>
      </x:c>
      <x:c r="D552" s="6" t="str">
        <x:v>Virtual Power Plants Projects</x:v>
      </x:c>
      <x:c r="E552" s="6" t="str">
        <x:v>US Department of Energy</x:v>
      </x:c>
      <x:c r="F552" s="6" t="str"/>
      <x:c r="G552" s="6" t="str">
        <x:v>Primary research</x:v>
      </x:c>
      <x:c r="H552" s="6" t="str">
        <x:v>Existing US 30–60 GW and conditional 80–160 GW 2030 potential; not comparable to WoodMac scope.</x:v>
      </x:c>
      <x:c r="I552" s="6" t="str">
        <x:v>https://www.energy.gov/edf/virtual-power-plants-projects</x:v>
      </x:c>
    </x:row>
    <x:row r="553" ht="15" hidden="0" customHeight="1">
      <x:c r="A553" s="12" t="n">
        <x:v>37</x:v>
      </x:c>
      <x:c r="B553" s="6" t="str">
        <x:v>Virtual power plants and demand flexibility</x:v>
      </x:c>
      <x:c r="C553" s="6" t="str">
        <x:v>c37c</x:v>
      </x:c>
      <x:c r="D553" s="6" t="str">
        <x:v>Voltus and Octopus Energy Launch Partnership</x:v>
      </x:c>
      <x:c r="E553" s="6" t="str">
        <x:v>Voltus</x:v>
      </x:c>
      <x:c r="F553" s="6" t="str">
        <x:v>2026-02-03</x:v>
      </x:c>
      <x:c r="G553" s="6" t="str">
        <x:v>Company disclosure</x:v>
      </x:c>
      <x:c r="H553" s="6" t="str">
        <x:v>2026 commercial collaboration and resource types.</x:v>
      </x:c>
      <x:c r="I553" s="6" t="str">
        <x:v>https://www.voltus.co/press/voltus-octopus-energy-launch-partnership</x:v>
      </x:c>
    </x:row>
    <x:row r="554" ht="15" hidden="0" customHeight="1">
      <x:c r="A554" s="12" t="n">
        <x:v>37</x:v>
      </x:c>
      <x:c r="B554" s="6" t="str">
        <x:v>Virtual power plants and demand flexibility</x:v>
      </x:c>
      <x:c r="C554" s="6" t="str">
        <x:v>c37d</x:v>
      </x:c>
      <x:c r="D554" s="6" t="str">
        <x:v>Renew Home is now Everyday Electric</x:v>
      </x:c>
      <x:c r="E554" s="6" t="str">
        <x:v>Everyday Electric</x:v>
      </x:c>
      <x:c r="F554" s="6" t="str">
        <x:v>2026-10-06</x:v>
      </x:c>
      <x:c r="G554" s="6" t="str">
        <x:v>Company disclosure</x:v>
      </x:c>
      <x:c r="H554" s="6" t="str">
        <x:v>Current company identity.</x:v>
      </x:c>
      <x:c r="I554" s="6" t="str">
        <x:v>https://www.everydayelectric.com/news/renew-home-is-now-everyday-electric</x:v>
      </x:c>
    </x:row>
    <x:row r="555" ht="15" hidden="0" customHeight="1">
      <x:c r="A555" s="12" t="n">
        <x:v>37</x:v>
      </x:c>
      <x:c r="B555" s="6" t="str">
        <x:v>Virtual power plants and demand flexibility</x:v>
      </x:c>
      <x:c r="C555" s="6" t="str">
        <x:v>c37co1</x:v>
      </x:c>
      <x:c r="D555" s="6" t="str">
        <x:v>Tesla: official company information</x:v>
      </x:c>
      <x:c r="E555" s="6" t="str">
        <x:v>Tesla</x:v>
      </x:c>
      <x:c r="F555" s="6" t="str"/>
      <x:c r="G555" s="6" t="str">
        <x:v>Company disclosure</x:v>
      </x:c>
      <x:c r="H555" s="6" t="str">
        <x:v>Powerwall batteries and VPP orchestration; exposure within automotive and energy businesses.</x:v>
      </x:c>
      <x:c r="I555" s="6" t="str">
        <x:v>https://www.tesla.com/virtual-power-plant</x:v>
      </x:c>
    </x:row>
    <x:row r="556" ht="15" hidden="0" customHeight="1">
      <x:c r="A556" s="12" t="n">
        <x:v>37</x:v>
      </x:c>
      <x:c r="B556" s="6" t="str">
        <x:v>Virtual power plants and demand flexibility</x:v>
      </x:c>
      <x:c r="C556" s="6" t="str">
        <x:v>c37co2</x:v>
      </x:c>
      <x:c r="D556" s="6" t="str">
        <x:v>Sunrun: official company information</x:v>
      </x:c>
      <x:c r="E556" s="6" t="str">
        <x:v>Sunrun</x:v>
      </x:c>
      <x:c r="F556" s="6" t="str"/>
      <x:c r="G556" s="6" t="str">
        <x:v>Company disclosure</x:v>
      </x:c>
      <x:c r="H556" s="6" t="str">
        <x:v>Distributed solar/battery fleet and utility grid-service contracts.</x:v>
      </x:c>
      <x:c r="I556" s="6" t="str">
        <x:v>https://www.sunrun.com/</x:v>
      </x:c>
    </x:row>
    <x:row r="557" ht="15" hidden="0" customHeight="1">
      <x:c r="A557" s="12" t="n">
        <x:v>37</x:v>
      </x:c>
      <x:c r="B557" s="6" t="str">
        <x:v>Virtual power plants and demand flexibility</x:v>
      </x:c>
      <x:c r="C557" s="6" t="str">
        <x:v>c37co3</x:v>
      </x:c>
      <x:c r="D557" s="6" t="str">
        <x:v>Enphase Energy: official company information</x:v>
      </x:c>
      <x:c r="E557" s="6" t="str">
        <x:v>Enphase Energy</x:v>
      </x:c>
      <x:c r="F557" s="6" t="str"/>
      <x:c r="G557" s="6" t="str">
        <x:v>Company disclosure</x:v>
      </x:c>
      <x:c r="H557" s="6" t="str">
        <x:v>Home batteries, inverters and distributed-energy control technology.</x:v>
      </x:c>
      <x:c r="I557" s="6" t="str">
        <x:v>https://enphase.com/</x:v>
      </x:c>
    </x:row>
    <x:row r="558" ht="15" hidden="0" customHeight="1">
      <x:c r="A558" s="12" t="n">
        <x:v>37</x:v>
      </x:c>
      <x:c r="B558" s="6" t="str">
        <x:v>Virtual power plants and demand flexibility</x:v>
      </x:c>
      <x:c r="C558" s="6" t="str">
        <x:v>c37co4</x:v>
      </x:c>
      <x:c r="D558" s="6" t="str">
        <x:v>Generac: official company information</x:v>
      </x:c>
      <x:c r="E558" s="6" t="str">
        <x:v>Generac</x:v>
      </x:c>
      <x:c r="F558" s="6" t="str"/>
      <x:c r="G558" s="6" t="str">
        <x:v>Company disclosure</x:v>
      </x:c>
      <x:c r="H558" s="6" t="str">
        <x:v>Connected storage, backup power and energy management through grid-service capabilities.</x:v>
      </x:c>
      <x:c r="I558" s="6" t="str">
        <x:v>https://www.generac.com/</x:v>
      </x:c>
    </x:row>
    <x:row r="559" ht="15" hidden="0" customHeight="1">
      <x:c r="A559" s="12" t="n">
        <x:v>37</x:v>
      </x:c>
      <x:c r="B559" s="6" t="str">
        <x:v>Virtual power plants and demand flexibility</x:v>
      </x:c>
      <x:c r="C559" s="6" t="str">
        <x:v>c37co5</x:v>
      </x:c>
      <x:c r="D559" s="6" t="str">
        <x:v>Schneider Electric: official company information</x:v>
      </x:c>
      <x:c r="E559" s="6" t="str">
        <x:v>Schneider Electric</x:v>
      </x:c>
      <x:c r="F559" s="6" t="str"/>
      <x:c r="G559" s="6" t="str">
        <x:v>Company disclosure</x:v>
      </x:c>
      <x:c r="H559" s="6" t="str">
        <x:v>Distributed-energy, building and microgrid controls; diversified enabling supplier.</x:v>
      </x:c>
      <x:c r="I559" s="6" t="str">
        <x:v>https://www.se.com/</x:v>
      </x:c>
    </x:row>
    <x:row r="560" ht="15" hidden="0" customHeight="1">
      <x:c r="A560" s="12" t="n">
        <x:v>37</x:v>
      </x:c>
      <x:c r="B560" s="6" t="str">
        <x:v>Virtual power plants and demand flexibility</x:v>
      </x:c>
      <x:c r="C560" s="6" t="str">
        <x:v>c37co6</x:v>
      </x:c>
      <x:c r="D560" s="6" t="str">
        <x:v>Alarm.com / EnergyHub: official company information</x:v>
      </x:c>
      <x:c r="E560" s="6" t="str">
        <x:v>Alarm.com / EnergyHub</x:v>
      </x:c>
      <x:c r="F560" s="6" t="str"/>
      <x:c r="G560" s="6" t="str">
        <x:v>Company disclosure</x:v>
      </x:c>
      <x:c r="H560" s="6" t="str">
        <x:v>EnergyHub is a subsidiary providing distributed-energy-resource aggregation software.</x:v>
      </x:c>
      <x:c r="I560" s="6" t="str">
        <x:v>https://www.energyhub.com/</x:v>
      </x:c>
    </x:row>
    <x:row r="561" ht="15" hidden="0" customHeight="1">
      <x:c r="A561" s="12" t="n">
        <x:v>37</x:v>
      </x:c>
      <x:c r="B561" s="6" t="str">
        <x:v>Virtual power plants and demand flexibility</x:v>
      </x:c>
      <x:c r="C561" s="6" t="str">
        <x:v>c37co7</x:v>
      </x:c>
      <x:c r="D561" s="6" t="str">
        <x:v>Octopus Energy: official company information</x:v>
      </x:c>
      <x:c r="E561" s="6" t="str">
        <x:v>Octopus Energy</x:v>
      </x:c>
      <x:c r="F561" s="6" t="str"/>
      <x:c r="G561" s="6" t="str">
        <x:v>Company disclosure</x:v>
      </x:c>
      <x:c r="H561" s="6" t="str">
        <x:v>Retail tariffs, asset optimisation and customer-device flexibility.</x:v>
      </x:c>
      <x:c r="I561" s="6" t="str">
        <x:v>https://octopusenergy.com/</x:v>
      </x:c>
    </x:row>
    <x:row r="562" ht="15" hidden="0" customHeight="1">
      <x:c r="A562" s="12" t="n">
        <x:v>37</x:v>
      </x:c>
      <x:c r="B562" s="6" t="str">
        <x:v>Virtual power plants and demand flexibility</x:v>
      </x:c>
      <x:c r="C562" s="6" t="str">
        <x:v>c37co8</x:v>
      </x:c>
      <x:c r="D562" s="6" t="str">
        <x:v>Voltus: official company information</x:v>
      </x:c>
      <x:c r="E562" s="6" t="str">
        <x:v>Voltus</x:v>
      </x:c>
      <x:c r="F562" s="6" t="str"/>
      <x:c r="G562" s="6" t="str">
        <x:v>Company disclosure</x:v>
      </x:c>
      <x:c r="H562" s="6" t="str">
        <x:v>Aggregates commercial, industrial and distributed resources for grid programmes.</x:v>
      </x:c>
      <x:c r="I562" s="6" t="str">
        <x:v>https://www.voltus.co/</x:v>
      </x:c>
    </x:row>
    <x:row r="563" ht="15" hidden="0" customHeight="1">
      <x:c r="A563" s="12" t="n">
        <x:v>37</x:v>
      </x:c>
      <x:c r="B563" s="6" t="str">
        <x:v>Virtual power plants and demand flexibility</x:v>
      </x:c>
      <x:c r="C563" s="6" t="str">
        <x:v>c37co9</x:v>
      </x:c>
      <x:c r="D563" s="6" t="str">
        <x:v>CPower: official company information</x:v>
      </x:c>
      <x:c r="E563" s="6" t="str">
        <x:v>CPower</x:v>
      </x:c>
      <x:c r="F563" s="6" t="str"/>
      <x:c r="G563" s="6" t="str">
        <x:v>Company disclosure</x:v>
      </x:c>
      <x:c r="H563" s="6" t="str">
        <x:v>Commercial and industrial demand response and DER aggregation.</x:v>
      </x:c>
      <x:c r="I563" s="6" t="str">
        <x:v>https://cpowerenergy.com/</x:v>
      </x:c>
    </x:row>
    <x:row r="564" ht="15" hidden="0" customHeight="1">
      <x:c r="A564" s="12" t="n">
        <x:v>37</x:v>
      </x:c>
      <x:c r="B564" s="6" t="str">
        <x:v>Virtual power plants and demand flexibility</x:v>
      </x:c>
      <x:c r="C564" s="6" t="str">
        <x:v>c37co10</x:v>
      </x:c>
      <x:c r="D564" s="6" t="str">
        <x:v>Everyday Electric: official company information</x:v>
      </x:c>
      <x:c r="E564" s="6" t="str">
        <x:v>Everyday Electric</x:v>
      </x:c>
      <x:c r="F564" s="6" t="str"/>
      <x:c r="G564" s="6" t="str">
        <x:v>Company disclosure</x:v>
      </x:c>
      <x:c r="H564" s="6" t="str">
        <x:v>Residential VPP and whole-home energy platform, formerly Renew Home.</x:v>
      </x:c>
      <x:c r="I564" s="6" t="str">
        <x:v>https://www.everydayelectric.com/</x:v>
      </x:c>
    </x:row>
    <x:row r="565" ht="15" hidden="0" customHeight="1">
      <x:c r="A565" s="12" t="n">
        <x:v>38</x:v>
      </x:c>
      <x:c r="B565" s="6" t="str">
        <x:v>Advanced transmission and grid-enhancing technologies</x:v>
      </x:c>
      <x:c r="C565" s="6" t="str">
        <x:v>c38a</x:v>
      </x:c>
      <x:c r="D565" s="6" t="str">
        <x:v>CTC Global 2024 newsletter: ACCC deployment and project footprint</x:v>
      </x:c>
      <x:c r="E565" s="6" t="str">
        <x:v>CTC Global</x:v>
      </x:c>
      <x:c r="F565" s="6" t="str"/>
      <x:c r="G565" s="6" t="str">
        <x:v>Company disclosure</x:v>
      </x:c>
      <x:c r="H565" s="6" t="str">
        <x:v>2024 newsletter context; more than 175,000 km installed.</x:v>
      </x:c>
      <x:c r="I565" s="6" t="str">
        <x:v>https://campaignlp.constantcontact.com/em/1110237241357/8029ecbb-5c34-4563-85c9-5e3fe119ff91</x:v>
      </x:c>
    </x:row>
    <x:row r="566" ht="15" hidden="0" customHeight="1">
      <x:c r="A566" s="12" t="n">
        <x:v>38</x:v>
      </x:c>
      <x:c r="B566" s="6" t="str">
        <x:v>Advanced transmission and grid-enhancing technologies</x:v>
      </x:c>
      <x:c r="C566" s="6" t="str">
        <x:v>c38b</x:v>
      </x:c>
      <x:c r="D566" s="6" t="str">
        <x:v>Meeting the Moment: ACCC Conductor and Surging Power Demand</x:v>
      </x:c>
      <x:c r="E566" s="6" t="str">
        <x:v>CTC Global</x:v>
      </x:c>
      <x:c r="F566" s="6" t="str">
        <x:v>2025-07-15</x:v>
      </x:c>
      <x:c r="G566" s="6" t="str">
        <x:v>Company disclosure</x:v>
      </x:c>
      <x:c r="H566" s="6" t="str">
        <x:v>More than 185,000 km deployed; existing-corridor upgrading.</x:v>
      </x:c>
      <x:c r="I566" s="6" t="str">
        <x:v>https://ctcglobal.com/meeting-the-moment-how-ctc-globals-accc-conductor-helps-address-surging-power-demand-from-data-centers-electrification-and-industrial-growth/</x:v>
      </x:c>
    </x:row>
    <x:row r="567" ht="15" hidden="0" customHeight="1">
      <x:c r="A567" s="12" t="n">
        <x:v>38</x:v>
      </x:c>
      <x:c r="B567" s="6" t="str">
        <x:v>Advanced transmission and grid-enhancing technologies</x:v>
      </x:c>
      <x:c r="C567" s="6" t="str">
        <x:v>c38c</x:v>
      </x:c>
      <x:c r="D567" s="6" t="str">
        <x:v>Grid-Enhancing Technologies Improve Existing Power Lines</x:v>
      </x:c>
      <x:c r="E567" s="6" t="str">
        <x:v>US Department of Energy</x:v>
      </x:c>
      <x:c r="F567" s="6" t="str">
        <x:v>2026-06-03</x:v>
      </x:c>
      <x:c r="G567" s="6" t="str">
        <x:v>Primary research</x:v>
      </x:c>
      <x:c r="H567" s="6" t="str">
        <x:v>Technology categories and application to existing lines.</x:v>
      </x:c>
      <x:c r="I567" s="6" t="str">
        <x:v>https://www.energy.gov/oe/grid-enhancing-technologies-improve-existing-power-lines</x:v>
      </x:c>
    </x:row>
    <x:row r="568" ht="15" hidden="0" customHeight="1">
      <x:c r="A568" s="12" t="n">
        <x:v>38</x:v>
      </x:c>
      <x:c r="B568" s="6" t="str">
        <x:v>Advanced transmission and grid-enhancing technologies</x:v>
      </x:c>
      <x:c r="C568" s="6" t="str">
        <x:v>c38d</x:v>
      </x:c>
      <x:c r="D568" s="6" t="str">
        <x:v>Why the ACCC Conductor Has Been Selected for More Than 1,250 Projects in 66 Countries</x:v>
      </x:c>
      <x:c r="E568" s="6" t="str">
        <x:v>CTC Global</x:v>
      </x:c>
      <x:c r="F568" s="6" t="str">
        <x:v>2024-02-27</x:v>
      </x:c>
      <x:c r="G568" s="6" t="str">
        <x:v>Company disclosure</x:v>
      </x:c>
      <x:c r="H568" s="6" t="str">
        <x:v>Selected-project footprint; distinguishes projects from installed conductor kilometres.</x:v>
      </x:c>
      <x:c r="I568" s="6" t="str">
        <x:v>https://ctcglobal.com/why-the-accc-conductor-has-been-selected-for-more-than-1250-projects-in-66-countries/</x:v>
      </x:c>
    </x:row>
    <x:row r="569" ht="15" hidden="0" customHeight="1">
      <x:c r="A569" s="12" t="n">
        <x:v>38</x:v>
      </x:c>
      <x:c r="B569" s="6" t="str">
        <x:v>Advanced transmission and grid-enhancing technologies</x:v>
      </x:c>
      <x:c r="C569" s="6" t="str">
        <x:v>c38co1</x:v>
      </x:c>
      <x:c r="D569" s="6" t="str">
        <x:v>GE Vernova: official company information</x:v>
      </x:c>
      <x:c r="E569" s="6" t="str">
        <x:v>GE Vernova</x:v>
      </x:c>
      <x:c r="F569" s="6" t="str"/>
      <x:c r="G569" s="6" t="str">
        <x:v>Company disclosure</x:v>
      </x:c>
      <x:c r="H569" s="6" t="str">
        <x:v>Grid equipment, digital controls and power-flow technology; broad transmission exposure.</x:v>
      </x:c>
      <x:c r="I569" s="6" t="str">
        <x:v>https://www.gevernova.com/</x:v>
      </x:c>
    </x:row>
    <x:row r="570" ht="15" hidden="0" customHeight="1">
      <x:c r="A570" s="12" t="n">
        <x:v>38</x:v>
      </x:c>
      <x:c r="B570" s="6" t="str">
        <x:v>Advanced transmission and grid-enhancing technologies</x:v>
      </x:c>
      <x:c r="C570" s="6" t="str">
        <x:v>c38co2</x:v>
      </x:c>
      <x:c r="D570" s="6" t="str">
        <x:v>Hitachi: official company information</x:v>
      </x:c>
      <x:c r="E570" s="6" t="str">
        <x:v>Hitachi</x:v>
      </x:c>
      <x:c r="F570" s="6" t="str"/>
      <x:c r="G570" s="6" t="str">
        <x:v>Company disclosure</x:v>
      </x:c>
      <x:c r="H570" s="6" t="str">
        <x:v>Parent of Hitachi Energy, supplying transmission systems and grid controls.</x:v>
      </x:c>
      <x:c r="I570" s="6" t="str">
        <x:v>https://www.hitachienergy.com/</x:v>
      </x:c>
    </x:row>
    <x:row r="571" ht="15" hidden="0" customHeight="1">
      <x:c r="A571" s="12" t="n">
        <x:v>38</x:v>
      </x:c>
      <x:c r="B571" s="6" t="str">
        <x:v>Advanced transmission and grid-enhancing technologies</x:v>
      </x:c>
      <x:c r="C571" s="6" t="str">
        <x:v>c38co3</x:v>
      </x:c>
      <x:c r="D571" s="6" t="str">
        <x:v>Siemens Energy: official company information</x:v>
      </x:c>
      <x:c r="E571" s="6" t="str">
        <x:v>Siemens Energy</x:v>
      </x:c>
      <x:c r="F571" s="6" t="str"/>
      <x:c r="G571" s="6" t="str">
        <x:v>Company disclosure</x:v>
      </x:c>
      <x:c r="H571" s="6" t="str">
        <x:v>Transmission equipment, substations and grid stabilisation technology.</x:v>
      </x:c>
      <x:c r="I571" s="6" t="str">
        <x:v>https://www.siemens-energy.com/</x:v>
      </x:c>
    </x:row>
    <x:row r="572" ht="15" hidden="0" customHeight="1">
      <x:c r="A572" s="12" t="n">
        <x:v>38</x:v>
      </x:c>
      <x:c r="B572" s="6" t="str">
        <x:v>Advanced transmission and grid-enhancing technologies</x:v>
      </x:c>
      <x:c r="C572" s="6" t="str">
        <x:v>c38co4</x:v>
      </x:c>
      <x:c r="D572" s="6" t="str">
        <x:v>Prysmian: official company information</x:v>
      </x:c>
      <x:c r="E572" s="6" t="str">
        <x:v>Prysmian</x:v>
      </x:c>
      <x:c r="F572" s="6" t="str"/>
      <x:c r="G572" s="6" t="str">
        <x:v>Company disclosure</x:v>
      </x:c>
      <x:c r="H572" s="6" t="str">
        <x:v>High-voltage cable and conductor systems for grid expansion and upgrades.</x:v>
      </x:c>
      <x:c r="I572" s="6" t="str">
        <x:v>https://www.prysmian.com/</x:v>
      </x:c>
    </x:row>
    <x:row r="573" ht="15" hidden="0" customHeight="1">
      <x:c r="A573" s="12" t="n">
        <x:v>38</x:v>
      </x:c>
      <x:c r="B573" s="6" t="str">
        <x:v>Advanced transmission and grid-enhancing technologies</x:v>
      </x:c>
      <x:c r="C573" s="6" t="str">
        <x:v>c38co5</x:v>
      </x:c>
      <x:c r="D573" s="6" t="str">
        <x:v>Nexans: official company information</x:v>
      </x:c>
      <x:c r="E573" s="6" t="str">
        <x:v>Nexans</x:v>
      </x:c>
      <x:c r="F573" s="6" t="str"/>
      <x:c r="G573" s="6" t="str">
        <x:v>Company disclosure</x:v>
      </x:c>
      <x:c r="H573" s="6" t="str">
        <x:v>Electrification cable and grid infrastructure; indirect exposure to advanced-line adoption.</x:v>
      </x:c>
      <x:c r="I573" s="6" t="str">
        <x:v>https://www.nexans.com/</x:v>
      </x:c>
    </x:row>
    <x:row r="574" ht="15" hidden="0" customHeight="1">
      <x:c r="A574" s="12" t="n">
        <x:v>38</x:v>
      </x:c>
      <x:c r="B574" s="6" t="str">
        <x:v>Advanced transmission and grid-enhancing technologies</x:v>
      </x:c>
      <x:c r="C574" s="6" t="str">
        <x:v>c38co6</x:v>
      </x:c>
      <x:c r="D574" s="6" t="str">
        <x:v>Quanta Services: official company information</x:v>
      </x:c>
      <x:c r="E574" s="6" t="str">
        <x:v>Quanta Services</x:v>
      </x:c>
      <x:c r="F574" s="6" t="str"/>
      <x:c r="G574" s="6" t="str">
        <x:v>Company disclosure</x:v>
      </x:c>
      <x:c r="H574" s="6" t="str">
        <x:v>Engineering and construction contractor for transmission upgrades and reconductoring.</x:v>
      </x:c>
      <x:c r="I574" s="6" t="str">
        <x:v>https://www.quantaservices.com/</x:v>
      </x:c>
    </x:row>
    <x:row r="575" ht="15" hidden="0" customHeight="1">
      <x:c r="A575" s="12" t="n">
        <x:v>38</x:v>
      </x:c>
      <x:c r="B575" s="6" t="str">
        <x:v>Advanced transmission and grid-enhancing technologies</x:v>
      </x:c>
      <x:c r="C575" s="6" t="str">
        <x:v>c38co7</x:v>
      </x:c>
      <x:c r="D575" s="6" t="str">
        <x:v>CTC Global: official company information</x:v>
      </x:c>
      <x:c r="E575" s="6" t="str">
        <x:v>CTC Global</x:v>
      </x:c>
      <x:c r="F575" s="6" t="str"/>
      <x:c r="G575" s="6" t="str">
        <x:v>Company disclosure</x:v>
      </x:c>
      <x:c r="H575" s="6" t="str">
        <x:v>Composite-core ACCC conductor design and licensing.</x:v>
      </x:c>
      <x:c r="I575" s="6" t="str">
        <x:v>https://ctcglobal.com/</x:v>
      </x:c>
    </x:row>
    <x:row r="576" ht="15" hidden="0" customHeight="1">
      <x:c r="A576" s="12" t="n">
        <x:v>38</x:v>
      </x:c>
      <x:c r="B576" s="6" t="str">
        <x:v>Advanced transmission and grid-enhancing technologies</x:v>
      </x:c>
      <x:c r="C576" s="6" t="str">
        <x:v>c38co8</x:v>
      </x:c>
      <x:c r="D576" s="6" t="str">
        <x:v>LineVision: official company information</x:v>
      </x:c>
      <x:c r="E576" s="6" t="str">
        <x:v>LineVision</x:v>
      </x:c>
      <x:c r="F576" s="6" t="str"/>
      <x:c r="G576" s="6" t="str">
        <x:v>Company disclosure</x:v>
      </x:c>
      <x:c r="H576" s="6" t="str">
        <x:v>Non-contact line monitoring and dynamic line rating software.</x:v>
      </x:c>
      <x:c r="I576" s="6" t="str">
        <x:v>https://www.linevisioninc.com/</x:v>
      </x:c>
    </x:row>
    <x:row r="577" ht="15" hidden="0" customHeight="1">
      <x:c r="A577" s="12" t="n">
        <x:v>38</x:v>
      </x:c>
      <x:c r="B577" s="6" t="str">
        <x:v>Advanced transmission and grid-enhancing technologies</x:v>
      </x:c>
      <x:c r="C577" s="6" t="str">
        <x:v>c38co9</x:v>
      </x:c>
      <x:c r="D577" s="6" t="str">
        <x:v>Heimdall Power: official company information</x:v>
      </x:c>
      <x:c r="E577" s="6" t="str">
        <x:v>Heimdall Power</x:v>
      </x:c>
      <x:c r="F577" s="6" t="str"/>
      <x:c r="G577" s="6" t="str">
        <x:v>Company disclosure</x:v>
      </x:c>
      <x:c r="H577" s="6" t="str">
        <x:v>Grid-line sensors and software for dynamic capacity management.</x:v>
      </x:c>
      <x:c r="I577" s="6" t="str">
        <x:v>https://heimdallpower.com/</x:v>
      </x:c>
    </x:row>
    <x:row r="578" ht="15" hidden="0" customHeight="1">
      <x:c r="A578" s="12" t="n">
        <x:v>38</x:v>
      </x:c>
      <x:c r="B578" s="6" t="str">
        <x:v>Advanced transmission and grid-enhancing technologies</x:v>
      </x:c>
      <x:c r="C578" s="6" t="str">
        <x:v>c38co10</x:v>
      </x:c>
      <x:c r="D578" s="6" t="str">
        <x:v>Smart Wires: official company information</x:v>
      </x:c>
      <x:c r="E578" s="6" t="str">
        <x:v>Smart Wires</x:v>
      </x:c>
      <x:c r="F578" s="6" t="str"/>
      <x:c r="G578" s="6" t="str">
        <x:v>Company disclosure</x:v>
      </x:c>
      <x:c r="H578" s="6" t="str">
        <x:v>Modular power-flow control systems; no longer treated as an independently listed company.</x:v>
      </x:c>
      <x:c r="I578" s="6" t="str">
        <x:v>https://www.smartwires.com/</x:v>
      </x:c>
    </x:row>
    <x:row r="579" ht="15" hidden="0" customHeight="1">
      <x:c r="A579" s="12" t="n">
        <x:v>39</x:v>
      </x:c>
      <x:c r="B579" s="6" t="str">
        <x:v>Smart and bidirectional EV charging</x:v>
      </x:c>
      <x:c r="C579" s="6" t="str">
        <x:v>c39a</x:v>
      </x:c>
      <x:c r="D579" s="6" t="str">
        <x:v>Global EV Outlook 2026: electric vehicle charging</x:v>
      </x:c>
      <x:c r="E579" s="6" t="str">
        <x:v>IEA</x:v>
      </x:c>
      <x:c r="F579" s="6" t="str"/>
      <x:c r="G579" s="6" t="str">
        <x:v>Primary research</x:v>
      </x:c>
      <x:c r="H579" s="6" t="str">
        <x:v>China 2024–2025 public charging stock and 2035 CPS/STEPS infrastructure scenario.</x:v>
      </x:c>
      <x:c r="I579" s="6" t="str">
        <x:v>https://www.iea.org/reports/global-ev-outlook-2026/electric-vehicle-charging-chap-6-and-10</x:v>
      </x:c>
    </x:row>
    <x:row r="580" ht="24" hidden="0" customHeight="1">
      <x:c r="A580" s="12" t="n">
        <x:v>39</x:v>
      </x:c>
      <x:c r="B580" s="6" t="str">
        <x:v>Smart and bidirectional EV charging</x:v>
      </x:c>
      <x:c r="C580" s="6" t="str">
        <x:v>c39b</x:v>
      </x:c>
      <x:c r="D580" s="6" t="str">
        <x:v>The Mobility House transfers Solutions to Edenred and focuses on energy</x:v>
      </x:c>
      <x:c r="E580" s="6" t="str">
        <x:v>The Mobility House</x:v>
      </x:c>
      <x:c r="F580" s="6" t="str">
        <x:v>2026-06-15</x:v>
      </x:c>
      <x:c r="G580" s="6" t="str">
        <x:v>Company disclosure</x:v>
      </x:c>
      <x:c r="H580" s="6" t="str">
        <x:v>2026 restructuring; distinguish charging services from energy business.</x:v>
      </x:c>
      <x:c r="I580" s="6" t="str">
        <x:v>https://www.mobilityhouse.com/int_en/our-company/newsroom/article/the-mobility-house-ubergibt-business-unit-solutions-an-edenred-und-fokussiert-sich-starker-auf-das-energiegeschaft-der-zukunft</x:v>
      </x:c>
    </x:row>
    <x:row r="581" ht="15" hidden="0" customHeight="1">
      <x:c r="A581" s="12" t="n">
        <x:v>39</x:v>
      </x:c>
      <x:c r="B581" s="6" t="str">
        <x:v>Smart and bidirectional EV charging</x:v>
      </x:c>
      <x:c r="C581" s="6" t="str">
        <x:v>c39c</x:v>
      </x:c>
      <x:c r="D581" s="6" t="str">
        <x:v>Virtual Power Plants Projects</x:v>
      </x:c>
      <x:c r="E581" s="6" t="str">
        <x:v>US Department of Energy</x:v>
      </x:c>
      <x:c r="F581" s="6" t="str"/>
      <x:c r="G581" s="6" t="str">
        <x:v>Primary research</x:v>
      </x:c>
      <x:c r="H581" s="6" t="str">
        <x:v>EV charging as one distributed flexible resource; dependable capacity and aggregation context.</x:v>
      </x:c>
      <x:c r="I581" s="6" t="str">
        <x:v>https://www.energy.gov/edf/virtual-power-plants-projects</x:v>
      </x:c>
    </x:row>
    <x:row r="582" ht="15" hidden="0" customHeight="1">
      <x:c r="A582" s="12" t="n">
        <x:v>39</x:v>
      </x:c>
      <x:c r="B582" s="6" t="str">
        <x:v>Smart and bidirectional EV charging</x:v>
      </x:c>
      <x:c r="C582" s="6" t="str">
        <x:v>c39co1</x:v>
      </x:c>
      <x:c r="D582" s="6" t="str">
        <x:v>Tesla: official company information</x:v>
      </x:c>
      <x:c r="E582" s="6" t="str">
        <x:v>Tesla</x:v>
      </x:c>
      <x:c r="F582" s="6" t="str"/>
      <x:c r="G582" s="6" t="str">
        <x:v>Company disclosure</x:v>
      </x:c>
      <x:c r="H582" s="6" t="str">
        <x:v>Vehicle, charging and energy ecosystem; bidirectional availability differs by model and product.</x:v>
      </x:c>
      <x:c r="I582" s="6" t="str">
        <x:v>https://www.tesla.com/</x:v>
      </x:c>
    </x:row>
    <x:row r="583" ht="15" hidden="0" customHeight="1">
      <x:c r="A583" s="12" t="n">
        <x:v>39</x:v>
      </x:c>
      <x:c r="B583" s="6" t="str">
        <x:v>Smart and bidirectional EV charging</x:v>
      </x:c>
      <x:c r="C583" s="6" t="str">
        <x:v>c39co2</x:v>
      </x:c>
      <x:c r="D583" s="6" t="str">
        <x:v>Ford Motor: official company information</x:v>
      </x:c>
      <x:c r="E583" s="6" t="str">
        <x:v>Ford Motor</x:v>
      </x:c>
      <x:c r="F583" s="6" t="str"/>
      <x:c r="G583" s="6" t="str">
        <x:v>Company disclosure</x:v>
      </x:c>
      <x:c r="H583" s="6" t="str">
        <x:v>EVs and supported home-backup/charging systems; compatibility must be checked by model.</x:v>
      </x:c>
      <x:c r="I583" s="6" t="str">
        <x:v>https://www.ford.com/</x:v>
      </x:c>
    </x:row>
    <x:row r="584" ht="15" hidden="0" customHeight="1">
      <x:c r="A584" s="12" t="n">
        <x:v>39</x:v>
      </x:c>
      <x:c r="B584" s="6" t="str">
        <x:v>Smart and bidirectional EV charging</x:v>
      </x:c>
      <x:c r="C584" s="6" t="str">
        <x:v>c39co3</x:v>
      </x:c>
      <x:c r="D584" s="6" t="str">
        <x:v>General Motors: official company information</x:v>
      </x:c>
      <x:c r="E584" s="6" t="str">
        <x:v>General Motors</x:v>
      </x:c>
      <x:c r="F584" s="6" t="str"/>
      <x:c r="G584" s="6" t="str">
        <x:v>Company disclosure</x:v>
      </x:c>
      <x:c r="H584" s="6" t="str">
        <x:v>GM Energy home charging and vehicle-to-home ecosystem.</x:v>
      </x:c>
      <x:c r="I584" s="6" t="str">
        <x:v>https://gmenergy.gm.com/</x:v>
      </x:c>
    </x:row>
    <x:row r="585" ht="15" hidden="0" customHeight="1">
      <x:c r="A585" s="12" t="n">
        <x:v>39</x:v>
      </x:c>
      <x:c r="B585" s="6" t="str">
        <x:v>Smart and bidirectional EV charging</x:v>
      </x:c>
      <x:c r="C585" s="6" t="str">
        <x:v>c39co4</x:v>
      </x:c>
      <x:c r="D585" s="6" t="str">
        <x:v>Hyundai Motor: official company information</x:v>
      </x:c>
      <x:c r="E585" s="6" t="str">
        <x:v>Hyundai Motor</x:v>
      </x:c>
      <x:c r="F585" s="6" t="str"/>
      <x:c r="G585" s="6" t="str">
        <x:v>Company disclosure</x:v>
      </x:c>
      <x:c r="H585" s="6" t="str">
        <x:v>EV platform and vehicle energy-service development; V2L is distinct from grid export.</x:v>
      </x:c>
      <x:c r="I585" s="6" t="str">
        <x:v>https://www.hyundai.com/worldwide/en/</x:v>
      </x:c>
    </x:row>
    <x:row r="586" ht="15" hidden="0" customHeight="1">
      <x:c r="A586" s="12" t="n">
        <x:v>39</x:v>
      </x:c>
      <x:c r="B586" s="6" t="str">
        <x:v>Smart and bidirectional EV charging</x:v>
      </x:c>
      <x:c r="C586" s="6" t="str">
        <x:v>c39co5</x:v>
      </x:c>
      <x:c r="D586" s="6" t="str">
        <x:v>Kia: official company information</x:v>
      </x:c>
      <x:c r="E586" s="6" t="str">
        <x:v>Kia</x:v>
      </x:c>
      <x:c r="F586" s="6" t="str"/>
      <x:c r="G586" s="6" t="str">
        <x:v>Company disclosure</x:v>
      </x:c>
      <x:c r="H586" s="6" t="str">
        <x:v>Compatible EVs and bidirectional charging partnerships.</x:v>
      </x:c>
      <x:c r="I586" s="6" t="str">
        <x:v>https://worldwide.kia.com/</x:v>
      </x:c>
    </x:row>
    <x:row r="587" ht="15" hidden="0" customHeight="1">
      <x:c r="A587" s="12" t="n">
        <x:v>39</x:v>
      </x:c>
      <x:c r="B587" s="6" t="str">
        <x:v>Smart and bidirectional EV charging</x:v>
      </x:c>
      <x:c r="C587" s="6" t="str">
        <x:v>c39co6</x:v>
      </x:c>
      <x:c r="D587" s="6" t="str">
        <x:v>ChargePoint: official company information</x:v>
      </x:c>
      <x:c r="E587" s="6" t="str">
        <x:v>ChargePoint</x:v>
      </x:c>
      <x:c r="F587" s="6" t="str"/>
      <x:c r="G587" s="6" t="str">
        <x:v>Company disclosure</x:v>
      </x:c>
      <x:c r="H587" s="6" t="str">
        <x:v>Charging networks, fleet software and managed charging; not all ports support V2G.</x:v>
      </x:c>
      <x:c r="I587" s="6" t="str">
        <x:v>https://www.chargepoint.com/</x:v>
      </x:c>
    </x:row>
    <x:row r="588" ht="15" hidden="0" customHeight="1">
      <x:c r="A588" s="12" t="n">
        <x:v>39</x:v>
      </x:c>
      <x:c r="B588" s="6" t="str">
        <x:v>Smart and bidirectional EV charging</x:v>
      </x:c>
      <x:c r="C588" s="6" t="str">
        <x:v>c39co7</x:v>
      </x:c>
      <x:c r="D588" s="6" t="str">
        <x:v>Enphase Energy: official company information</x:v>
      </x:c>
      <x:c r="E588" s="6" t="str">
        <x:v>Enphase Energy</x:v>
      </x:c>
      <x:c r="F588" s="6" t="str"/>
      <x:c r="G588" s="6" t="str">
        <x:v>Company disclosure</x:v>
      </x:c>
      <x:c r="H588" s="6" t="str">
        <x:v>Home energy controls and bidirectional charging development.</x:v>
      </x:c>
      <x:c r="I588" s="6" t="str">
        <x:v>https://enphase.com/</x:v>
      </x:c>
    </x:row>
    <x:row r="589" ht="15" hidden="0" customHeight="1">
      <x:c r="A589" s="12" t="n">
        <x:v>39</x:v>
      </x:c>
      <x:c r="B589" s="6" t="str">
        <x:v>Smart and bidirectional EV charging</x:v>
      </x:c>
      <x:c r="C589" s="6" t="str">
        <x:v>c39co8</x:v>
      </x:c>
      <x:c r="D589" s="6" t="str">
        <x:v>The Mobility House: official company information</x:v>
      </x:c>
      <x:c r="E589" s="6" t="str">
        <x:v>The Mobility House</x:v>
      </x:c>
      <x:c r="F589" s="6" t="str"/>
      <x:c r="G589" s="6" t="str">
        <x:v>Company disclosure</x:v>
      </x:c>
      <x:c r="H589" s="6" t="str">
        <x:v>Energy optimisation and vehicle-to-grid operations; Solutions unit sale does not mean the entire energy business was acquired.</x:v>
      </x:c>
      <x:c r="I589" s="6" t="str">
        <x:v>https://www.mobilityhouse.com/</x:v>
      </x:c>
    </x:row>
    <x:row r="590" ht="15" hidden="0" customHeight="1">
      <x:c r="A590" s="12" t="n">
        <x:v>39</x:v>
      </x:c>
      <x:c r="B590" s="6" t="str">
        <x:v>Smart and bidirectional EV charging</x:v>
      </x:c>
      <x:c r="C590" s="6" t="str">
        <x:v>c39co9</x:v>
      </x:c>
      <x:c r="D590" s="6" t="str">
        <x:v>dcbel: official company information</x:v>
      </x:c>
      <x:c r="E590" s="6" t="str">
        <x:v>dcbel</x:v>
      </x:c>
      <x:c r="F590" s="6" t="str"/>
      <x:c r="G590" s="6" t="str">
        <x:v>Company disclosure</x:v>
      </x:c>
      <x:c r="H590" s="6" t="str">
        <x:v>Residential bidirectional charging and home energy orchestration.</x:v>
      </x:c>
      <x:c r="I590" s="6" t="str">
        <x:v>https://www.dcbel.energy/</x:v>
      </x:c>
    </x:row>
    <x:row r="591" ht="15" hidden="0" customHeight="1">
      <x:c r="A591" s="12" t="n">
        <x:v>39</x:v>
      </x:c>
      <x:c r="B591" s="6" t="str">
        <x:v>Smart and bidirectional EV charging</x:v>
      </x:c>
      <x:c r="C591" s="6" t="str">
        <x:v>c39co10</x:v>
      </x:c>
      <x:c r="D591" s="6" t="str">
        <x:v>We Drive Solar: official company information</x:v>
      </x:c>
      <x:c r="E591" s="6" t="str">
        <x:v>We Drive Solar</x:v>
      </x:c>
      <x:c r="F591" s="6" t="str"/>
      <x:c r="G591" s="6" t="str">
        <x:v>Company disclosure</x:v>
      </x:c>
      <x:c r="H591" s="6" t="str">
        <x:v>Bidirectional charging infrastructure and shared-EV energy services.</x:v>
      </x:c>
      <x:c r="I591" s="6" t="str">
        <x:v>https://www.wedrivesolar.nl/</x:v>
      </x:c>
    </x:row>
    <x:row r="592" ht="15" hidden="0" customHeight="1">
      <x:c r="A592" s="12" t="n">
        <x:v>40</x:v>
      </x:c>
      <x:c r="B592" s="6" t="str">
        <x:v>Battery recycling and materials recovery</x:v>
      </x:c>
      <x:c r="C592" s="6" t="str">
        <x:v>c40a</x:v>
      </x:c>
      <x:c r="D592" s="6" t="str">
        <x:v>Policy momentum behind critical minerals recycling gathering pace</x:v>
      </x:c>
      <x:c r="E592" s="6" t="str">
        <x:v>IEA</x:v>
      </x:c>
      <x:c r="F592" s="6" t="str">
        <x:v>2024-11-18</x:v>
      </x:c>
      <x:c r="G592" s="6" t="str">
        <x:v>Primary research</x:v>
      </x:c>
      <x:c r="H592" s="6" t="str">
        <x:v>Battery recycling capacity increased 50% in 2023.</x:v>
      </x:c>
      <x:c r="I592" s="6" t="str">
        <x:v>https://www.iea.org/news/policy-momentum-behind-critical-minerals-recycling-gathering-pace-but-greater-uptake-required</x:v>
      </x:c>
    </x:row>
    <x:row r="593" ht="15" hidden="0" customHeight="1">
      <x:c r="A593" s="12" t="n">
        <x:v>40</x:v>
      </x:c>
      <x:c r="B593" s="6" t="str">
        <x:v>Battery recycling and materials recovery</x:v>
      </x:c>
      <x:c r="C593" s="6" t="str">
        <x:v>c40b</x:v>
      </x:c>
      <x:c r="D593" s="6" t="str">
        <x:v>Recycling of Critical Minerals: executive summary</x:v>
      </x:c>
      <x:c r="E593" s="6" t="str">
        <x:v>IEA</x:v>
      </x:c>
      <x:c r="F593" s="6" t="str">
        <x:v>2024-11-18</x:v>
      </x:c>
      <x:c r="G593" s="6" t="str">
        <x:v>Primary research</x:v>
      </x:c>
      <x:c r="H593" s="6" t="str">
        <x:v>Announced 2030 recycling capacity could be seven times available feedstock in the Announced Pledges Scenario.</x:v>
      </x:c>
      <x:c r="I593" s="6" t="str">
        <x:v>https://www.iea.org/reports/recycling-of-critical-minerals/executive-summary</x:v>
      </x:c>
    </x:row>
    <x:row r="594" ht="15" hidden="0" customHeight="1">
      <x:c r="A594" s="12" t="n">
        <x:v>40</x:v>
      </x:c>
      <x:c r="B594" s="6" t="str">
        <x:v>Battery recycling and materials recovery</x:v>
      </x:c>
      <x:c r="C594" s="6" t="str">
        <x:v>c40c</x:v>
      </x:c>
      <x:c r="D594" s="6" t="str">
        <x:v>SQM and Marubeni reaffirm commitment to Altilium</x:v>
      </x:c>
      <x:c r="E594" s="6" t="str">
        <x:v>Altilium</x:v>
      </x:c>
      <x:c r="F594" s="6" t="str">
        <x:v>2026-10-06</x:v>
      </x:c>
      <x:c r="G594" s="6" t="str">
        <x:v>Company disclosure</x:v>
      </x:c>
      <x:c r="H594" s="6" t="str">
        <x:v>Active private company and follow-on investment for scale-up.</x:v>
      </x:c>
      <x:c r="I594" s="6" t="str">
        <x:v>https://altilium.tech/2026/10/06/strategic-investors-sqm-and-marubeni-reaffirm-commitment-to-altilium-with-follow-on-investment-for-battery-materials-scale-up/</x:v>
      </x:c>
    </x:row>
    <x:row r="595" ht="15" hidden="0" customHeight="1">
      <x:c r="A595" s="12" t="n">
        <x:v>40</x:v>
      </x:c>
      <x:c r="B595" s="6" t="str">
        <x:v>Battery recycling and materials recovery</x:v>
      </x:c>
      <x:c r="C595" s="6" t="str">
        <x:v>c40d</x:v>
      </x:c>
      <x:c r="D595" s="6" t="str">
        <x:v>cylib company news and battery recycling development</x:v>
      </x:c>
      <x:c r="E595" s="6" t="str">
        <x:v>cylib</x:v>
      </x:c>
      <x:c r="F595" s="6" t="str">
        <x:v>2025-12-19</x:v>
      </x:c>
      <x:c r="G595" s="6" t="str">
        <x:v>Company disclosure</x:v>
      </x:c>
      <x:c r="H595" s="6" t="str">
        <x:v>Company reported 2025 support for recycling expansion; ongoing private company activity.</x:v>
      </x:c>
      <x:c r="I595" s="6" t="str">
        <x:v>https://www.cylib.de/</x:v>
      </x:c>
    </x:row>
    <x:row r="596" ht="15" hidden="0" customHeight="1">
      <x:c r="A596" s="12" t="n">
        <x:v>40</x:v>
      </x:c>
      <x:c r="B596" s="6" t="str">
        <x:v>Battery recycling and materials recovery</x:v>
      </x:c>
      <x:c r="C596" s="6" t="str">
        <x:v>c40co1</x:v>
      </x:c>
      <x:c r="D596" s="6" t="str">
        <x:v>Umicore: official company information</x:v>
      </x:c>
      <x:c r="E596" s="6" t="str">
        <x:v>Umicore</x:v>
      </x:c>
      <x:c r="F596" s="6" t="str"/>
      <x:c r="G596" s="6" t="str">
        <x:v>Company disclosure</x:v>
      </x:c>
      <x:c r="H596" s="6" t="str">
        <x:v>Battery recycling and refining; exposure also includes materials and catalysts.</x:v>
      </x:c>
      <x:c r="I596" s="6" t="str">
        <x:v>https://www.umicore.com/</x:v>
      </x:c>
    </x:row>
    <x:row r="597" ht="15" hidden="0" customHeight="1">
      <x:c r="A597" s="12" t="n">
        <x:v>40</x:v>
      </x:c>
      <x:c r="B597" s="6" t="str">
        <x:v>Battery recycling and materials recovery</x:v>
      </x:c>
      <x:c r="C597" s="6" t="str">
        <x:v>c40co2</x:v>
      </x:c>
      <x:c r="D597" s="6" t="str">
        <x:v>BASF: official company information</x:v>
      </x:c>
      <x:c r="E597" s="6" t="str">
        <x:v>BASF</x:v>
      </x:c>
      <x:c r="F597" s="6" t="str"/>
      <x:c r="G597" s="6" t="str">
        <x:v>Company disclosure</x:v>
      </x:c>
      <x:c r="H597" s="6" t="str">
        <x:v>Battery recycling and battery-materials processing within a diversified chemical group.</x:v>
      </x:c>
      <x:c r="I597" s="6" t="str">
        <x:v>https://www.basf.com/</x:v>
      </x:c>
    </x:row>
    <x:row r="598" ht="15" hidden="0" customHeight="1">
      <x:c r="A598" s="12" t="n">
        <x:v>40</x:v>
      </x:c>
      <x:c r="B598" s="6" t="str">
        <x:v>Battery recycling and materials recovery</x:v>
      </x:c>
      <x:c r="C598" s="6" t="str">
        <x:v>c40co3</x:v>
      </x:c>
      <x:c r="D598" s="6" t="str">
        <x:v>Fortum: official company information</x:v>
      </x:c>
      <x:c r="E598" s="6" t="str">
        <x:v>Fortum</x:v>
      </x:c>
      <x:c r="F598" s="6" t="str"/>
      <x:c r="G598" s="6" t="str">
        <x:v>Company disclosure</x:v>
      </x:c>
      <x:c r="H598" s="6" t="str">
        <x:v>Battery recycling and recovered materials; alongside a much larger energy business.</x:v>
      </x:c>
      <x:c r="I598" s="6" t="str">
        <x:v>https://www.fortum.com/</x:v>
      </x:c>
    </x:row>
    <x:row r="599" ht="15" hidden="0" customHeight="1">
      <x:c r="A599" s="12" t="n">
        <x:v>40</x:v>
      </x:c>
      <x:c r="B599" s="6" t="str">
        <x:v>Battery recycling and materials recovery</x:v>
      </x:c>
      <x:c r="C599" s="6" t="str">
        <x:v>c40co4</x:v>
      </x:c>
      <x:c r="D599" s="6" t="str">
        <x:v>GEM: official company information</x:v>
      </x:c>
      <x:c r="E599" s="6" t="str">
        <x:v>GEM</x:v>
      </x:c>
      <x:c r="F599" s="6" t="str"/>
      <x:c r="G599" s="6" t="str">
        <x:v>Company disclosure</x:v>
      </x:c>
      <x:c r="H599" s="6" t="str">
        <x:v>Battery recycling and precursor materials; substantial Chinese operating exposure.</x:v>
      </x:c>
      <x:c r="I599" s="6" t="str">
        <x:v>https://en.gem.com.cn/</x:v>
      </x:c>
    </x:row>
    <x:row r="600" ht="15" hidden="0" customHeight="1">
      <x:c r="A600" s="12" t="n">
        <x:v>40</x:v>
      </x:c>
      <x:c r="B600" s="6" t="str">
        <x:v>Battery recycling and materials recovery</x:v>
      </x:c>
      <x:c r="C600" s="6" t="str">
        <x:v>c40co5</x:v>
      </x:c>
      <x:c r="D600" s="6" t="str">
        <x:v>CATL: official company information</x:v>
      </x:c>
      <x:c r="E600" s="6" t="str">
        <x:v>CATL</x:v>
      </x:c>
      <x:c r="F600" s="6" t="str"/>
      <x:c r="G600" s="6" t="str">
        <x:v>Company disclosure</x:v>
      </x:c>
      <x:c r="H600" s="6" t="str">
        <x:v>Battery manufacturing and recycling exposure through its Brunp ecosystem.</x:v>
      </x:c>
      <x:c r="I600" s="6" t="str">
        <x:v>https://www.catl.com/en/</x:v>
      </x:c>
    </x:row>
    <x:row r="601" ht="15" hidden="0" customHeight="1">
      <x:c r="A601" s="12" t="n">
        <x:v>40</x:v>
      </x:c>
      <x:c r="B601" s="6" t="str">
        <x:v>Battery recycling and materials recovery</x:v>
      </x:c>
      <x:c r="C601" s="6" t="str">
        <x:v>c40co6</x:v>
      </x:c>
      <x:c r="D601" s="6" t="str">
        <x:v>Redwood Materials: official company information</x:v>
      </x:c>
      <x:c r="E601" s="6" t="str">
        <x:v>Redwood Materials</x:v>
      </x:c>
      <x:c r="F601" s="6" t="str"/>
      <x:c r="G601" s="6" t="str">
        <x:v>Company disclosure</x:v>
      </x:c>
      <x:c r="H601" s="6" t="str">
        <x:v>Battery recycling and domestic cathode/anode material supply.</x:v>
      </x:c>
      <x:c r="I601" s="6" t="str">
        <x:v>https://www.redwoodmaterials.com/</x:v>
      </x:c>
    </x:row>
    <x:row r="602" ht="15" hidden="0" customHeight="1">
      <x:c r="A602" s="12" t="n">
        <x:v>40</x:v>
      </x:c>
      <x:c r="B602" s="6" t="str">
        <x:v>Battery recycling and materials recovery</x:v>
      </x:c>
      <x:c r="C602" s="6" t="str">
        <x:v>c40co7</x:v>
      </x:c>
      <x:c r="D602" s="6" t="str">
        <x:v>Cirba Solutions: official company information</x:v>
      </x:c>
      <x:c r="E602" s="6" t="str">
        <x:v>Cirba Solutions</x:v>
      </x:c>
      <x:c r="F602" s="6" t="str"/>
      <x:c r="G602" s="6" t="str">
        <x:v>Company disclosure</x:v>
      </x:c>
      <x:c r="H602" s="6" t="str">
        <x:v>Battery collection, sorting and recycling services.</x:v>
      </x:c>
      <x:c r="I602" s="6" t="str">
        <x:v>https://www.cirbasolutions.com/</x:v>
      </x:c>
    </x:row>
    <x:row r="603" ht="15" hidden="0" customHeight="1">
      <x:c r="A603" s="12" t="n">
        <x:v>40</x:v>
      </x:c>
      <x:c r="B603" s="6" t="str">
        <x:v>Battery recycling and materials recovery</x:v>
      </x:c>
      <x:c r="C603" s="6" t="str">
        <x:v>c40co8</x:v>
      </x:c>
      <x:c r="D603" s="6" t="str">
        <x:v>cylib: official company information</x:v>
      </x:c>
      <x:c r="E603" s="6" t="str">
        <x:v>cylib</x:v>
      </x:c>
      <x:c r="F603" s="6" t="str"/>
      <x:c r="G603" s="6" t="str">
        <x:v>Company disclosure</x:v>
      </x:c>
      <x:c r="H603" s="6" t="str">
        <x:v>Lithium-ion battery recycling and recovery process developer scaling industrial capacity.</x:v>
      </x:c>
      <x:c r="I603" s="6" t="str">
        <x:v>https://www.cylib.de/</x:v>
      </x:c>
    </x:row>
    <x:row r="604" ht="15" hidden="0" customHeight="1">
      <x:c r="A604" s="12" t="n">
        <x:v>40</x:v>
      </x:c>
      <x:c r="B604" s="6" t="str">
        <x:v>Battery recycling and materials recovery</x:v>
      </x:c>
      <x:c r="C604" s="6" t="str">
        <x:v>c40co9</x:v>
      </x:c>
      <x:c r="D604" s="6" t="str">
        <x:v>Altilium: official company information</x:v>
      </x:c>
      <x:c r="E604" s="6" t="str">
        <x:v>Altilium</x:v>
      </x:c>
      <x:c r="F604" s="6" t="str"/>
      <x:c r="G604" s="6" t="str">
        <x:v>Company disclosure</x:v>
      </x:c>
      <x:c r="H604" s="6" t="str">
        <x:v>UK battery recycling and recovered cathode-material development.</x:v>
      </x:c>
      <x:c r="I604" s="6" t="str">
        <x:v>https://altilium.tech/</x:v>
      </x:c>
    </x:row>
    <x:row r="605" ht="15" hidden="0" customHeight="1">
      <x:c r="A605" s="12" t="n">
        <x:v>40</x:v>
      </x:c>
      <x:c r="B605" s="6" t="str">
        <x:v>Battery recycling and materials recovery</x:v>
      </x:c>
      <x:c r="C605" s="6" t="str">
        <x:v>c40co10</x:v>
      </x:c>
      <x:c r="D605" s="6" t="str">
        <x:v>Nth Cycle: official company information</x:v>
      </x:c>
      <x:c r="E605" s="6" t="str">
        <x:v>Nth Cycle</x:v>
      </x:c>
      <x:c r="F605" s="6" t="str"/>
      <x:c r="G605" s="6" t="str">
        <x:v>Company disclosure</x:v>
      </x:c>
      <x:c r="H605" s="6" t="str">
        <x:v>Electrochemical metals recovery for battery and industrial feedstocks.</x:v>
      </x:c>
      <x:c r="I605" s="6" t="str">
        <x:v>https://nthcycle.com/</x:v>
      </x:c>
    </x:row>
    <x:row r="606" ht="15" hidden="0" customHeight="1">
      <x:c r="A606" s="12" t="n">
        <x:v>41</x:v>
      </x:c>
      <x:c r="B606" s="6" t="str">
        <x:v>Low-emissions hydrogen and electrolyzers</x:v>
      </x:c>
      <x:c r="C606" s="6" t="str">
        <x:v>c41a</x:v>
      </x:c>
      <x:c r="D606" s="6" t="str">
        <x:v>Global Hydrogen Review 2026: executive summary</x:v>
      </x:c>
      <x:c r="E606" s="6" t="str">
        <x:v>IEA</x:v>
      </x:c>
      <x:c r="F606" s="6" t="str"/>
      <x:c r="G606" s="6" t="str">
        <x:v>Primary research</x:v>
      </x:c>
      <x:c r="H606" s="6" t="str">
        <x:v>Actual 2025 growth; revised 2030 pipeline; offtake and regional barriers.</x:v>
      </x:c>
      <x:c r="I606" s="6" t="str">
        <x:v>https://www.iea.org/reports/global-hydrogen-review-2026/executive-summary</x:v>
      </x:c>
    </x:row>
    <x:row r="607" ht="15" hidden="0" customHeight="1">
      <x:c r="A607" s="12" t="n">
        <x:v>41</x:v>
      </x:c>
      <x:c r="B607" s="6" t="str">
        <x:v>Low-emissions hydrogen and electrolyzers</x:v>
      </x:c>
      <x:c r="C607" s="6" t="str">
        <x:v>c41b</x:v>
      </x:c>
      <x:c r="D607" s="6" t="str">
        <x:v>Global Hydrogen Review 2025: executive summary</x:v>
      </x:c>
      <x:c r="E607" s="6" t="str">
        <x:v>IEA</x:v>
      </x:c>
      <x:c r="F607" s="6" t="str">
        <x:v>2025-09-12</x:v>
      </x:c>
      <x:c r="G607" s="6" t="str">
        <x:v>Primary research</x:v>
      </x:c>
      <x:c r="H607" s="6" t="str">
        <x:v>2030 announced pipeline revisions from 49 Mt in 2024 to 37 Mt in 2025.</x:v>
      </x:c>
      <x:c r="I607" s="6" t="str">
        <x:v>https://www.iea.org/reports/global-hydrogen-review-2025/executive-summary</x:v>
      </x:c>
    </x:row>
    <x:row r="608" ht="15" hidden="0" customHeight="1">
      <x:c r="A608" s="12" t="n">
        <x:v>41</x:v>
      </x:c>
      <x:c r="B608" s="6" t="str">
        <x:v>Low-emissions hydrogen and electrolyzers</x:v>
      </x:c>
      <x:c r="C608" s="6" t="str">
        <x:v>c41c</x:v>
      </x:c>
      <x:c r="D608" s="6" t="str">
        <x:v>Global Hydrogen Review 2026: production</x:v>
      </x:c>
      <x:c r="E608" s="6" t="str">
        <x:v>IEA</x:v>
      </x:c>
      <x:c r="F608" s="6" t="str"/>
      <x:c r="G608" s="6" t="str">
        <x:v>Primary research</x:v>
      </x:c>
      <x:c r="H608" s="6" t="str">
        <x:v>Committed 2030 production pathway; electrolyzer deployment and project readiness.</x:v>
      </x:c>
      <x:c r="I608" s="6" t="str">
        <x:v>https://www.iea.org/reports/global-hydrogen-review-2026/production</x:v>
      </x:c>
    </x:row>
    <x:row r="609" ht="15" hidden="0" customHeight="1">
      <x:c r="A609" s="12" t="n">
        <x:v>41</x:v>
      </x:c>
      <x:c r="B609" s="6" t="str">
        <x:v>Low-emissions hydrogen and electrolyzers</x:v>
      </x:c>
      <x:c r="C609" s="6" t="str">
        <x:v>c41d</x:v>
      </x:c>
      <x:c r="D609" s="6" t="str">
        <x:v>Topsoe adjusts SOEC commercialization pathway to match market outlook</x:v>
      </x:c>
      <x:c r="E609" s="6" t="str">
        <x:v>Topsoe</x:v>
      </x:c>
      <x:c r="F609" s="6" t="str">
        <x:v>2026-05-18</x:v>
      </x:c>
      <x:c r="G609" s="6" t="str">
        <x:v>Company disclosure</x:v>
      </x:c>
      <x:c r="H609" s="6" t="str">
        <x:v>Current supplier response to slower commercial rollout.</x:v>
      </x:c>
      <x:c r="I609" s="6" t="str">
        <x:v>https://www.topsoe.com/investors/financial-releases/topsoe-adjusts-soec-commercialization-pathway-to-match-market-outlook-financial-guidance-updated</x:v>
      </x:c>
    </x:row>
    <x:row r="610" ht="15" hidden="0" customHeight="1">
      <x:c r="A610" s="12" t="n">
        <x:v>41</x:v>
      </x:c>
      <x:c r="B610" s="6" t="str">
        <x:v>Low-emissions hydrogen and electrolyzers</x:v>
      </x:c>
      <x:c r="C610" s="6" t="str">
        <x:v>c41co1</x:v>
      </x:c>
      <x:c r="D610" s="6" t="str">
        <x:v>Linde: official company information</x:v>
      </x:c>
      <x:c r="E610" s="6" t="str">
        <x:v>Linde</x:v>
      </x:c>
      <x:c r="F610" s="6" t="str"/>
      <x:c r="G610" s="6" t="str">
        <x:v>Company disclosure</x:v>
      </x:c>
      <x:c r="H610" s="6" t="str">
        <x:v>Industrial hydrogen production, plant engineering and long-term supply contracts.</x:v>
      </x:c>
      <x:c r="I610" s="6" t="str">
        <x:v>https://www.linde.com/</x:v>
      </x:c>
    </x:row>
    <x:row r="611" ht="15" hidden="0" customHeight="1">
      <x:c r="A611" s="12" t="n">
        <x:v>41</x:v>
      </x:c>
      <x:c r="B611" s="6" t="str">
        <x:v>Low-emissions hydrogen and electrolyzers</x:v>
      </x:c>
      <x:c r="C611" s="6" t="str">
        <x:v>c41co2</x:v>
      </x:c>
      <x:c r="D611" s="6" t="str">
        <x:v>Air Liquide: official company information</x:v>
      </x:c>
      <x:c r="E611" s="6" t="str">
        <x:v>Air Liquide</x:v>
      </x:c>
      <x:c r="F611" s="6" t="str"/>
      <x:c r="G611" s="6" t="str">
        <x:v>Company disclosure</x:v>
      </x:c>
      <x:c r="H611" s="6" t="str">
        <x:v>Industrial gases, electrolyzer projects and hydrogen supply networks.</x:v>
      </x:c>
      <x:c r="I611" s="6" t="str">
        <x:v>https://www.airliquide.com/</x:v>
      </x:c>
    </x:row>
    <x:row r="612" ht="15" hidden="0" customHeight="1">
      <x:c r="A612" s="12" t="n">
        <x:v>41</x:v>
      </x:c>
      <x:c r="B612" s="6" t="str">
        <x:v>Low-emissions hydrogen and electrolyzers</x:v>
      </x:c>
      <x:c r="C612" s="6" t="str">
        <x:v>c41co3</x:v>
      </x:c>
      <x:c r="D612" s="6" t="str">
        <x:v>Air Products: official company information</x:v>
      </x:c>
      <x:c r="E612" s="6" t="str">
        <x:v>Air Products</x:v>
      </x:c>
      <x:c r="F612" s="6" t="str"/>
      <x:c r="G612" s="6" t="str">
        <x:v>Company disclosure</x:v>
      </x:c>
      <x:c r="H612" s="6" t="str">
        <x:v>Hydrogen supply and large project development; exposure includes project execution risk.</x:v>
      </x:c>
      <x:c r="I612" s="6" t="str">
        <x:v>https://www.airproducts.com/</x:v>
      </x:c>
    </x:row>
    <x:row r="613" ht="15" hidden="0" customHeight="1">
      <x:c r="A613" s="12" t="n">
        <x:v>41</x:v>
      </x:c>
      <x:c r="B613" s="6" t="str">
        <x:v>Low-emissions hydrogen and electrolyzers</x:v>
      </x:c>
      <x:c r="C613" s="6" t="str">
        <x:v>c41co4</x:v>
      </x:c>
      <x:c r="D613" s="6" t="str">
        <x:v>Nel: official company information</x:v>
      </x:c>
      <x:c r="E613" s="6" t="str">
        <x:v>Nel</x:v>
      </x:c>
      <x:c r="F613" s="6" t="str"/>
      <x:c r="G613" s="6" t="str">
        <x:v>Company disclosure</x:v>
      </x:c>
      <x:c r="H613" s="6" t="str">
        <x:v>Electrolyzer systems; demand depends on financed hydrogen projects.</x:v>
      </x:c>
      <x:c r="I613" s="6" t="str">
        <x:v>https://nelhydrogen.com/</x:v>
      </x:c>
    </x:row>
    <x:row r="614" ht="15" hidden="0" customHeight="1">
      <x:c r="A614" s="12" t="n">
        <x:v>41</x:v>
      </x:c>
      <x:c r="B614" s="6" t="str">
        <x:v>Low-emissions hydrogen and electrolyzers</x:v>
      </x:c>
      <x:c r="C614" s="6" t="str">
        <x:v>c41co5</x:v>
      </x:c>
      <x:c r="D614" s="6" t="str">
        <x:v>ITM Power: official company information</x:v>
      </x:c>
      <x:c r="E614" s="6" t="str">
        <x:v>ITM Power</x:v>
      </x:c>
      <x:c r="F614" s="6" t="str"/>
      <x:c r="G614" s="6" t="str">
        <x:v>Company disclosure</x:v>
      </x:c>
      <x:c r="H614" s="6" t="str">
        <x:v>PEM electrolyzer manufacturing and engineering.</x:v>
      </x:c>
      <x:c r="I614" s="6" t="str">
        <x:v>https://itm-power.com/</x:v>
      </x:c>
    </x:row>
    <x:row r="615" ht="15" hidden="0" customHeight="1">
      <x:c r="A615" s="12" t="n">
        <x:v>41</x:v>
      </x:c>
      <x:c r="B615" s="6" t="str">
        <x:v>Low-emissions hydrogen and electrolyzers</x:v>
      </x:c>
      <x:c r="C615" s="6" t="str">
        <x:v>c41co6</x:v>
      </x:c>
      <x:c r="D615" s="6" t="str">
        <x:v>thyssenkrupp nucera: official company information</x:v>
      </x:c>
      <x:c r="E615" s="6" t="str">
        <x:v>thyssenkrupp nucera</x:v>
      </x:c>
      <x:c r="F615" s="6" t="str"/>
      <x:c r="G615" s="6" t="str">
        <x:v>Company disclosure</x:v>
      </x:c>
      <x:c r="H615" s="6" t="str">
        <x:v>Industrial-scale alkaline electrolysis systems.</x:v>
      </x:c>
      <x:c r="I615" s="6" t="str">
        <x:v>https://thyssenkrupp-nucera.com/</x:v>
      </x:c>
    </x:row>
    <x:row r="616" ht="15" hidden="0" customHeight="1">
      <x:c r="A616" s="12" t="n">
        <x:v>41</x:v>
      </x:c>
      <x:c r="B616" s="6" t="str">
        <x:v>Low-emissions hydrogen and electrolyzers</x:v>
      </x:c>
      <x:c r="C616" s="6" t="str">
        <x:v>c41co7</x:v>
      </x:c>
      <x:c r="D616" s="6" t="str">
        <x:v>Bloom Energy: official company information</x:v>
      </x:c>
      <x:c r="E616" s="6" t="str">
        <x:v>Bloom Energy</x:v>
      </x:c>
      <x:c r="F616" s="6" t="str"/>
      <x:c r="G616" s="6" t="str">
        <x:v>Company disclosure</x:v>
      </x:c>
      <x:c r="H616" s="6" t="str">
        <x:v>Solid-oxide electrolysis technology alongside its larger fuel-cell power business.</x:v>
      </x:c>
      <x:c r="I616" s="6" t="str">
        <x:v>https://www.bloomenergy.com/</x:v>
      </x:c>
    </x:row>
    <x:row r="617" ht="15" hidden="0" customHeight="1">
      <x:c r="A617" s="12" t="n">
        <x:v>41</x:v>
      </x:c>
      <x:c r="B617" s="6" t="str">
        <x:v>Low-emissions hydrogen and electrolyzers</x:v>
      </x:c>
      <x:c r="C617" s="6" t="str">
        <x:v>c41co8</x:v>
      </x:c>
      <x:c r="D617" s="6" t="str">
        <x:v>Sunfire: official company information</x:v>
      </x:c>
      <x:c r="E617" s="6" t="str">
        <x:v>Sunfire</x:v>
      </x:c>
      <x:c r="F617" s="6" t="str"/>
      <x:c r="G617" s="6" t="str">
        <x:v>Company disclosure</x:v>
      </x:c>
      <x:c r="H617" s="6" t="str">
        <x:v>Alkaline and solid-oxide electrolyzer development and manufacturing.</x:v>
      </x:c>
      <x:c r="I617" s="6" t="str">
        <x:v>https://sunfire.de/en/</x:v>
      </x:c>
    </x:row>
    <x:row r="618" ht="15" hidden="0" customHeight="1">
      <x:c r="A618" s="12" t="n">
        <x:v>41</x:v>
      </x:c>
      <x:c r="B618" s="6" t="str">
        <x:v>Low-emissions hydrogen and electrolyzers</x:v>
      </x:c>
      <x:c r="C618" s="6" t="str">
        <x:v>c41co9</x:v>
      </x:c>
      <x:c r="D618" s="6" t="str">
        <x:v>Topsoe: official company information</x:v>
      </x:c>
      <x:c r="E618" s="6" t="str">
        <x:v>Topsoe</x:v>
      </x:c>
      <x:c r="F618" s="6" t="str"/>
      <x:c r="G618" s="6" t="str">
        <x:v>Company disclosure</x:v>
      </x:c>
      <x:c r="H618" s="6" t="str">
        <x:v>Catalysts, process technology and solid-oxide electrolysis; revised commercialisation schedule in 2026.</x:v>
      </x:c>
      <x:c r="I618" s="6" t="str">
        <x:v>https://www.topsoe.com/</x:v>
      </x:c>
    </x:row>
    <x:row r="619" ht="15" hidden="0" customHeight="1">
      <x:c r="A619" s="12" t="n">
        <x:v>41</x:v>
      </x:c>
      <x:c r="B619" s="6" t="str">
        <x:v>Low-emissions hydrogen and electrolyzers</x:v>
      </x:c>
      <x:c r="C619" s="6" t="str">
        <x:v>c41co10</x:v>
      </x:c>
      <x:c r="D619" s="6" t="str">
        <x:v>Electric Hydrogen: official company information</x:v>
      </x:c>
      <x:c r="E619" s="6" t="str">
        <x:v>Electric Hydrogen</x:v>
      </x:c>
      <x:c r="F619" s="6" t="str"/>
      <x:c r="G619" s="6" t="str">
        <x:v>Company disclosure</x:v>
      </x:c>
      <x:c r="H619" s="6" t="str">
        <x:v>Large integrated electrolysis systems for industrial hydrogen projects.</x:v>
      </x:c>
      <x:c r="I619" s="6" t="str">
        <x:v>https://eh2.com/</x:v>
      </x:c>
    </x:row>
    <x:row r="620" ht="15" hidden="0" customHeight="1">
      <x:c r="A620" s="12" t="n">
        <x:v>42</x:v>
      </x:c>
      <x:c r="B620" s="6" t="str">
        <x:v>Industrial carbon capture and storage</x:v>
      </x:c>
      <x:c r="C620" s="6" t="str">
        <x:v>c42a</x:v>
      </x:c>
      <x:c r="D620" s="6" t="str">
        <x:v>Carbon capture stays the course despite global headwinds with 54% rise in operational projects</x:v>
      </x:c>
      <x:c r="E620" s="6" t="str">
        <x:v>Global CCS Institute</x:v>
      </x:c>
      <x:c r="F620" s="6" t="str">
        <x:v>2025-10-09</x:v>
      </x:c>
      <x:c r="G620" s="6" t="str">
        <x:v>Primary research</x:v>
      </x:c>
      <x:c r="H620" s="6" t="str">
        <x:v>77 operating facilities versus 50; 47 under construction; pipeline distinct from operating.</x:v>
      </x:c>
      <x:c r="I620" s="6" t="str">
        <x:v>https://www.globalccsinstitute.com/carbon-capture-stays-the-course-despite-global-headwinds-with-54-rise-in-operational-projects/</x:v>
      </x:c>
    </x:row>
    <x:row r="621" ht="15" hidden="0" customHeight="1">
      <x:c r="A621" s="12" t="n">
        <x:v>42</x:v>
      </x:c>
      <x:c r="B621" s="6" t="str">
        <x:v>Industrial carbon capture and storage</x:v>
      </x:c>
      <x:c r="C621" s="6" t="str">
        <x:v>c42b</x:v>
      </x:c>
      <x:c r="D621" s="6" t="str">
        <x:v>CCUS Projects Database</x:v>
      </x:c>
      <x:c r="E621" s="6" t="str">
        <x:v>IEA</x:v>
      </x:c>
      <x:c r="F621" s="6" t="str">
        <x:v>2026-03-26</x:v>
      </x:c>
      <x:c r="G621" s="6" t="str">
        <x:v>Primary research</x:v>
      </x:c>
      <x:c r="H621" s="6" t="str">
        <x:v>Current project-status database and lifecycle stages.</x:v>
      </x:c>
      <x:c r="I621" s="6" t="str">
        <x:v>https://www.iea.org/data-and-statistics/data-product/ccus-projects-database</x:v>
      </x:c>
    </x:row>
    <x:row r="622" ht="15" hidden="0" customHeight="1">
      <x:c r="A622" s="12" t="n">
        <x:v>42</x:v>
      </x:c>
      <x:c r="B622" s="6" t="str">
        <x:v>Industrial carbon capture and storage</x:v>
      </x:c>
      <x:c r="C622" s="6" t="str">
        <x:v>c42c</x:v>
      </x:c>
      <x:c r="D622" s="6" t="str">
        <x:v>Carbon Capture, Utilisation and Storage</x:v>
      </x:c>
      <x:c r="E622" s="6" t="str">
        <x:v>IEA</x:v>
      </x:c>
      <x:c r="F622" s="6" t="str"/>
      <x:c r="G622" s="6" t="str">
        <x:v>Primary research</x:v>
      </x:c>
      <x:c r="H622" s="6" t="str">
        <x:v>Sector scope, technology and deployment context.</x:v>
      </x:c>
      <x:c r="I622" s="6" t="str">
        <x:v>https://www.iea.org/energy-system/renewables-and-low-emissions/carbon-capture-utilisation-and-storage</x:v>
      </x:c>
    </x:row>
    <x:row r="623" ht="15" hidden="0" customHeight="1">
      <x:c r="A623" s="12" t="n">
        <x:v>42</x:v>
      </x:c>
      <x:c r="B623" s="6" t="str">
        <x:v>Industrial carbon capture and storage</x:v>
      </x:c>
      <x:c r="C623" s="6" t="str">
        <x:v>c42d</x:v>
      </x:c>
      <x:c r="D623" s="6" t="str">
        <x:v>Carbon Clean raises $150 million</x:v>
      </x:c>
      <x:c r="E623" s="6" t="str">
        <x:v>Carbon Clean</x:v>
      </x:c>
      <x:c r="F623" s="6" t="str">
        <x:v>2022-05-11</x:v>
      </x:c>
      <x:c r="G623" s="6" t="str">
        <x:v>Company disclosure</x:v>
      </x:c>
      <x:c r="H623" s="6" t="str">
        <x:v>Funding for industrial capture scale-up.</x:v>
      </x:c>
      <x:c r="I623" s="6" t="str">
        <x:v>https://www.carbonclean.com/en/press-releases/raises-150m-in-record-carbon-capture-funding-round</x:v>
      </x:c>
    </x:row>
    <x:row r="624" ht="15" hidden="0" customHeight="1">
      <x:c r="A624" s="12" t="n">
        <x:v>42</x:v>
      </x:c>
      <x:c r="B624" s="6" t="str">
        <x:v>Industrial carbon capture and storage</x:v>
      </x:c>
      <x:c r="C624" s="6" t="str">
        <x:v>c42co1</x:v>
      </x:c>
      <x:c r="D624" s="6" t="str">
        <x:v>SLB: official company information</x:v>
      </x:c>
      <x:c r="E624" s="6" t="str">
        <x:v>SLB</x:v>
      </x:c>
      <x:c r="F624" s="6" t="str"/>
      <x:c r="G624" s="6" t="str">
        <x:v>Company disclosure</x:v>
      </x:c>
      <x:c r="H624" s="6" t="str">
        <x:v>Subsurface services and SLB Capturi carbon capture; parent/JV exposure, not an independent Aker Carbon Capture listing.</x:v>
      </x:c>
      <x:c r="I624" s="6" t="str">
        <x:v>https://www.slb.com/</x:v>
      </x:c>
    </x:row>
    <x:row r="625" ht="15" hidden="0" customHeight="1">
      <x:c r="A625" s="12" t="n">
        <x:v>42</x:v>
      </x:c>
      <x:c r="B625" s="6" t="str">
        <x:v>Industrial carbon capture and storage</x:v>
      </x:c>
      <x:c r="C625" s="6" t="str">
        <x:v>c42co2</x:v>
      </x:c>
      <x:c r="D625" s="6" t="str">
        <x:v>Mitsubishi Heavy Industries: official company information</x:v>
      </x:c>
      <x:c r="E625" s="6" t="str">
        <x:v>Mitsubishi Heavy Industries</x:v>
      </x:c>
      <x:c r="F625" s="6" t="str"/>
      <x:c r="G625" s="6" t="str">
        <x:v>Company disclosure</x:v>
      </x:c>
      <x:c r="H625" s="6" t="str">
        <x:v>Industrial CO₂ capture equipment and engineering.</x:v>
      </x:c>
      <x:c r="I625" s="6" t="str">
        <x:v>https://www.mhi.com/</x:v>
      </x:c>
    </x:row>
    <x:row r="626" ht="15" hidden="0" customHeight="1">
      <x:c r="A626" s="12" t="n">
        <x:v>42</x:v>
      </x:c>
      <x:c r="B626" s="6" t="str">
        <x:v>Industrial carbon capture and storage</x:v>
      </x:c>
      <x:c r="C626" s="6" t="str">
        <x:v>c42co3</x:v>
      </x:c>
      <x:c r="D626" s="6" t="str">
        <x:v>Shell: official company information</x:v>
      </x:c>
      <x:c r="E626" s="6" t="str">
        <x:v>Shell</x:v>
      </x:c>
      <x:c r="F626" s="6" t="str"/>
      <x:c r="G626" s="6" t="str">
        <x:v>Company disclosure</x:v>
      </x:c>
      <x:c r="H626" s="6" t="str">
        <x:v>CCS project development, transport and storage; diversified energy exposure.</x:v>
      </x:c>
      <x:c r="I626" s="6" t="str">
        <x:v>https://www.shell.com/</x:v>
      </x:c>
    </x:row>
    <x:row r="627" ht="15" hidden="0" customHeight="1">
      <x:c r="A627" s="12" t="n">
        <x:v>42</x:v>
      </x:c>
      <x:c r="B627" s="6" t="str">
        <x:v>Industrial carbon capture and storage</x:v>
      </x:c>
      <x:c r="C627" s="6" t="str">
        <x:v>c42co4</x:v>
      </x:c>
      <x:c r="D627" s="6" t="str">
        <x:v>Equinor: official company information</x:v>
      </x:c>
      <x:c r="E627" s="6" t="str">
        <x:v>Equinor</x:v>
      </x:c>
      <x:c r="F627" s="6" t="str"/>
      <x:c r="G627" s="6" t="str">
        <x:v>Company disclosure</x:v>
      </x:c>
      <x:c r="H627" s="6" t="str">
        <x:v>Offshore CO₂ storage and hub development, including Northern Lights participation.</x:v>
      </x:c>
      <x:c r="I627" s="6" t="str">
        <x:v>https://www.equinor.com/</x:v>
      </x:c>
    </x:row>
    <x:row r="628" ht="15" hidden="0" customHeight="1">
      <x:c r="A628" s="12" t="n">
        <x:v>42</x:v>
      </x:c>
      <x:c r="B628" s="6" t="str">
        <x:v>Industrial carbon capture and storage</x:v>
      </x:c>
      <x:c r="C628" s="6" t="str">
        <x:v>c42co5</x:v>
      </x:c>
      <x:c r="D628" s="6" t="str">
        <x:v>TotalEnergies: official company information</x:v>
      </x:c>
      <x:c r="E628" s="6" t="str">
        <x:v>TotalEnergies</x:v>
      </x:c>
      <x:c r="F628" s="6" t="str"/>
      <x:c r="G628" s="6" t="str">
        <x:v>Company disclosure</x:v>
      </x:c>
      <x:c r="H628" s="6" t="str">
        <x:v>Storage and industrial CCS investment; diversified exposure.</x:v>
      </x:c>
      <x:c r="I628" s="6" t="str">
        <x:v>https://totalenergies.com/</x:v>
      </x:c>
    </x:row>
    <x:row r="629" ht="15" hidden="0" customHeight="1">
      <x:c r="A629" s="12" t="n">
        <x:v>42</x:v>
      </x:c>
      <x:c r="B629" s="6" t="str">
        <x:v>Industrial carbon capture and storage</x:v>
      </x:c>
      <x:c r="C629" s="6" t="str">
        <x:v>c42co6</x:v>
      </x:c>
      <x:c r="D629" s="6" t="str">
        <x:v>Exxon Mobil: official company information</x:v>
      </x:c>
      <x:c r="E629" s="6" t="str">
        <x:v>Exxon Mobil</x:v>
      </x:c>
      <x:c r="F629" s="6" t="str"/>
      <x:c r="G629" s="6" t="str">
        <x:v>Company disclosure</x:v>
      </x:c>
      <x:c r="H629" s="6" t="str">
        <x:v>Industrial CO₂ transport and storage contracts and subsurface infrastructure.</x:v>
      </x:c>
      <x:c r="I629" s="6" t="str">
        <x:v>https://corporate.exxonmobil.com/</x:v>
      </x:c>
    </x:row>
    <x:row r="630" ht="15" hidden="0" customHeight="1">
      <x:c r="A630" s="12" t="n">
        <x:v>42</x:v>
      </x:c>
      <x:c r="B630" s="6" t="str">
        <x:v>Industrial carbon capture and storage</x:v>
      </x:c>
      <x:c r="C630" s="6" t="str">
        <x:v>c42co7</x:v>
      </x:c>
      <x:c r="D630" s="6" t="str">
        <x:v>Fluor: official company information</x:v>
      </x:c>
      <x:c r="E630" s="6" t="str">
        <x:v>Fluor</x:v>
      </x:c>
      <x:c r="F630" s="6" t="str"/>
      <x:c r="G630" s="6" t="str">
        <x:v>Company disclosure</x:v>
      </x:c>
      <x:c r="H630" s="6" t="str">
        <x:v>Engineering and construction services for capture and industrial projects.</x:v>
      </x:c>
      <x:c r="I630" s="6" t="str">
        <x:v>https://www.fluor.com/</x:v>
      </x:c>
    </x:row>
    <x:row r="631" ht="15" hidden="0" customHeight="1">
      <x:c r="A631" s="12" t="n">
        <x:v>42</x:v>
      </x:c>
      <x:c r="B631" s="6" t="str">
        <x:v>Industrial carbon capture and storage</x:v>
      </x:c>
      <x:c r="C631" s="6" t="str">
        <x:v>c42co8</x:v>
      </x:c>
      <x:c r="D631" s="6" t="str">
        <x:v>Technip Energies: official company information</x:v>
      </x:c>
      <x:c r="E631" s="6" t="str">
        <x:v>Technip Energies</x:v>
      </x:c>
      <x:c r="F631" s="6" t="str"/>
      <x:c r="G631" s="6" t="str">
        <x:v>Company disclosure</x:v>
      </x:c>
      <x:c r="H631" s="6" t="str">
        <x:v>Process engineering and CO₂ capture solutions; EPC execution exposure.</x:v>
      </x:c>
      <x:c r="I631" s="6" t="str">
        <x:v>https://www.ten.com/</x:v>
      </x:c>
    </x:row>
    <x:row r="632" ht="15" hidden="0" customHeight="1">
      <x:c r="A632" s="12" t="n">
        <x:v>42</x:v>
      </x:c>
      <x:c r="B632" s="6" t="str">
        <x:v>Industrial carbon capture and storage</x:v>
      </x:c>
      <x:c r="C632" s="6" t="str">
        <x:v>c42co9</x:v>
      </x:c>
      <x:c r="D632" s="6" t="str">
        <x:v>Carbon Clean: official company information</x:v>
      </x:c>
      <x:c r="E632" s="6" t="str">
        <x:v>Carbon Clean</x:v>
      </x:c>
      <x:c r="F632" s="6" t="str"/>
      <x:c r="G632" s="6" t="str">
        <x:v>Company disclosure</x:v>
      </x:c>
      <x:c r="H632" s="6" t="str">
        <x:v>Modular point-source industrial carbon capture technology.</x:v>
      </x:c>
      <x:c r="I632" s="6" t="str">
        <x:v>https://www.carbonclean.com/</x:v>
      </x:c>
    </x:row>
    <x:row r="633" ht="15" hidden="0" customHeight="1">
      <x:c r="A633" s="12" t="n">
        <x:v>42</x:v>
      </x:c>
      <x:c r="B633" s="6" t="str">
        <x:v>Industrial carbon capture and storage</x:v>
      </x:c>
      <x:c r="C633" s="6" t="str">
        <x:v>c42co10</x:v>
      </x:c>
      <x:c r="D633" s="6" t="str">
        <x:v>Svante: official company information</x:v>
      </x:c>
      <x:c r="E633" s="6" t="str">
        <x:v>Svante</x:v>
      </x:c>
      <x:c r="F633" s="6" t="str"/>
      <x:c r="G633" s="6" t="str">
        <x:v>Company disclosure</x:v>
      </x:c>
      <x:c r="H633" s="6" t="str">
        <x:v>Solid-sorbent filters and capture technology for industrial emissions.</x:v>
      </x:c>
      <x:c r="I633" s="6" t="str">
        <x:v>https://svanteinc.com/</x:v>
      </x:c>
    </x:row>
    <x:row r="634" ht="15" hidden="0" customHeight="1">
      <x:c r="A634" s="12" t="n">
        <x:v>42</x:v>
      </x:c>
      <x:c r="B634" s="6" t="str">
        <x:v>Industrial carbon capture and storage</x:v>
      </x:c>
      <x:c r="C634" s="6" t="str">
        <x:v>c42co11</x:v>
      </x:c>
      <x:c r="D634" s="6" t="str">
        <x:v>CarbonFree: official company information</x:v>
      </x:c>
      <x:c r="E634" s="6" t="str">
        <x:v>CarbonFree</x:v>
      </x:c>
      <x:c r="F634" s="6" t="str"/>
      <x:c r="G634" s="6" t="str">
        <x:v>Company disclosure</x:v>
      </x:c>
      <x:c r="H634" s="6" t="str">
        <x:v>Industrial carbon capture and mineralisation; utilisation/permanence must be assessed by pathway.</x:v>
      </x:c>
      <x:c r="I634" s="6" t="str">
        <x:v>https://www.carbonfree.cc/</x:v>
      </x:c>
    </x:row>
    <x:row r="635" ht="15" hidden="0" customHeight="1">
      <x:c r="A635" s="12" t="n">
        <x:v>43</x:v>
      </x:c>
      <x:c r="B635" s="6" t="str">
        <x:v>Low-carbon cement and concrete</x:v>
      </x:c>
      <x:c r="C635" s="6" t="str">
        <x:v>c43a</x:v>
      </x:c>
      <x:c r="D635" s="6" t="str">
        <x:v>CarbonCure Marks 50 Million Cubic Yards Milestone</x:v>
      </x:c>
      <x:c r="E635" s="6" t="str">
        <x:v>CarbonCure</x:v>
      </x:c>
      <x:c r="F635" s="6" t="str">
        <x:v>2024-03-06</x:v>
      </x:c>
      <x:c r="G635" s="6" t="str">
        <x:v>Company disclosure</x:v>
      </x:c>
      <x:c r="H635" s="6" t="str">
        <x:v>50 million cumulative cubic yards supplied by producer network.</x:v>
      </x:c>
      <x:c r="I635" s="6" t="str">
        <x:v>https://www.carboncure.com/news/carboncure-marks-50-million-cubic-yards-milestone/</x:v>
      </x:c>
    </x:row>
    <x:row r="636" ht="15" hidden="0" customHeight="1">
      <x:c r="A636" s="12" t="n">
        <x:v>43</x:v>
      </x:c>
      <x:c r="B636" s="6" t="str">
        <x:v>Low-carbon cement and concrete</x:v>
      </x:c>
      <x:c r="C636" s="6" t="str">
        <x:v>c43b</x:v>
      </x:c>
      <x:c r="D636" s="6" t="str">
        <x:v>CarbonCure Producers Reach Milestone of 10 Million Truckloads</x:v>
      </x:c>
      <x:c r="E636" s="6" t="str">
        <x:v>CarbonCure</x:v>
      </x:c>
      <x:c r="F636" s="6" t="str">
        <x:v>2025-11-24</x:v>
      </x:c>
      <x:c r="G636" s="6" t="str">
        <x:v>Company disclosure</x:v>
      </x:c>
      <x:c r="H636" s="6" t="str">
        <x:v>More than 83.6 million cubic yards; mineralisation and cement-efficiency mechanism.</x:v>
      </x:c>
      <x:c r="I636" s="6" t="str">
        <x:v>https://www.carboncure.com/news/carboncure-producers-reach-milestone-of-10-million-truckloads/</x:v>
      </x:c>
    </x:row>
    <x:row r="637" ht="15" hidden="0" customHeight="1">
      <x:c r="A637" s="12" t="n">
        <x:v>43</x:v>
      </x:c>
      <x:c r="B637" s="6" t="str">
        <x:v>Low-carbon cement and concrete</x:v>
      </x:c>
      <x:c r="C637" s="6" t="str">
        <x:v>c43c</x:v>
      </x:c>
      <x:c r="D637" s="6" t="str">
        <x:v>Carbon Utilization with CarbonCure Concrete: A Permanent Solution</x:v>
      </x:c>
      <x:c r="E637" s="6" t="str">
        <x:v>CarbonCure</x:v>
      </x:c>
      <x:c r="F637" s="6" t="str">
        <x:v>2021-12-02</x:v>
      </x:c>
      <x:c r="G637" s="6" t="str">
        <x:v>Company technical disclosure</x:v>
      </x:c>
      <x:c r="H637" s="6" t="str">
        <x:v>Mineralisation mechanism and permanence explanation.</x:v>
      </x:c>
      <x:c r="I637" s="6" t="str">
        <x:v>https://www.carboncure.com/blog/climate-corner/carbon-utilization-with-carboncure-concrete-a-permanent-solution/</x:v>
      </x:c>
    </x:row>
    <x:row r="638" ht="15" hidden="0" customHeight="1">
      <x:c r="A638" s="12" t="n">
        <x:v>43</x:v>
      </x:c>
      <x:c r="B638" s="6" t="str">
        <x:v>Low-carbon cement and concrete</x:v>
      </x:c>
      <x:c r="C638" s="6" t="str">
        <x:v>c43d</x:v>
      </x:c>
      <x:c r="D638" s="6" t="str">
        <x:v>CarbonCure technical and company news</x:v>
      </x:c>
      <x:c r="E638" s="6" t="str">
        <x:v>CarbonCure</x:v>
      </x:c>
      <x:c r="F638" s="6" t="str">
        <x:v>2026-06-11</x:v>
      </x:c>
      <x:c r="G638" s="6" t="str">
        <x:v>Company disclosure</x:v>
      </x:c>
      <x:c r="H638" s="6" t="str">
        <x:v>2026 research update on early strength and mineralisation; current activity.</x:v>
      </x:c>
      <x:c r="I638" s="6" t="str">
        <x:v>https://www.carboncure.com/news/</x:v>
      </x:c>
    </x:row>
    <x:row r="639" ht="15" hidden="0" customHeight="1">
      <x:c r="A639" s="12" t="n">
        <x:v>43</x:v>
      </x:c>
      <x:c r="B639" s="6" t="str">
        <x:v>Low-carbon cement and concrete</x:v>
      </x:c>
      <x:c r="C639" s="6" t="str">
        <x:v>c43co1</x:v>
      </x:c>
      <x:c r="D639" s="6" t="str">
        <x:v>Holcim: official company information</x:v>
      </x:c>
      <x:c r="E639" s="6" t="str">
        <x:v>Holcim</x:v>
      </x:c>
      <x:c r="F639" s="6" t="str"/>
      <x:c r="G639" s="6" t="str">
        <x:v>Company disclosure</x:v>
      </x:c>
      <x:c r="H639" s="6" t="str">
        <x:v>Lower-clinker cement and concrete; Americas business separated into Amrize in 2025.</x:v>
      </x:c>
      <x:c r="I639" s="6" t="str">
        <x:v>https://www.holcim.com/</x:v>
      </x:c>
    </x:row>
    <x:row r="640" ht="15" hidden="0" customHeight="1">
      <x:c r="A640" s="12" t="n">
        <x:v>43</x:v>
      </x:c>
      <x:c r="B640" s="6" t="str">
        <x:v>Low-carbon cement and concrete</x:v>
      </x:c>
      <x:c r="C640" s="6" t="str">
        <x:v>c43co2</x:v>
      </x:c>
      <x:c r="D640" s="6" t="str">
        <x:v>Heidelberg Materials: official company information</x:v>
      </x:c>
      <x:c r="E640" s="6" t="str">
        <x:v>Heidelberg Materials</x:v>
      </x:c>
      <x:c r="F640" s="6" t="str"/>
      <x:c r="G640" s="6" t="str">
        <x:v>Company disclosure</x:v>
      </x:c>
      <x:c r="H640" s="6" t="str">
        <x:v>Blended cements, low-carbon products and cement CCS integration.</x:v>
      </x:c>
      <x:c r="I640" s="6" t="str">
        <x:v>https://www.heidelbergmaterials.com/</x:v>
      </x:c>
    </x:row>
    <x:row r="641" ht="15" hidden="0" customHeight="1">
      <x:c r="A641" s="12" t="n">
        <x:v>43</x:v>
      </x:c>
      <x:c r="B641" s="6" t="str">
        <x:v>Low-carbon cement and concrete</x:v>
      </x:c>
      <x:c r="C641" s="6" t="str">
        <x:v>c43co3</x:v>
      </x:c>
      <x:c r="D641" s="6" t="str">
        <x:v>Cemex: official company information</x:v>
      </x:c>
      <x:c r="E641" s="6" t="str">
        <x:v>Cemex</x:v>
      </x:c>
      <x:c r="F641" s="6" t="str"/>
      <x:c r="G641" s="6" t="str">
        <x:v>Company disclosure</x:v>
      </x:c>
      <x:c r="H641" s="6" t="str">
        <x:v>Lower-carbon concrete and cement products through a large existing production network.</x:v>
      </x:c>
      <x:c r="I641" s="6" t="str">
        <x:v>https://www.cemex.com/</x:v>
      </x:c>
    </x:row>
    <x:row r="642" ht="15" hidden="0" customHeight="1">
      <x:c r="A642" s="12" t="n">
        <x:v>43</x:v>
      </x:c>
      <x:c r="B642" s="6" t="str">
        <x:v>Low-carbon cement and concrete</x:v>
      </x:c>
      <x:c r="C642" s="6" t="str">
        <x:v>c43co4</x:v>
      </x:c>
      <x:c r="D642" s="6" t="str">
        <x:v>CRH: official company information</x:v>
      </x:c>
      <x:c r="E642" s="6" t="str">
        <x:v>CRH</x:v>
      </x:c>
      <x:c r="F642" s="6" t="str"/>
      <x:c r="G642" s="6" t="str">
        <x:v>Company disclosure</x:v>
      </x:c>
      <x:c r="H642" s="6" t="str">
        <x:v>Cement, aggregates and concrete supplier implementing lower-carbon materials.</x:v>
      </x:c>
      <x:c r="I642" s="6" t="str">
        <x:v>https://www.crh.com/</x:v>
      </x:c>
    </x:row>
    <x:row r="643" ht="15" hidden="0" customHeight="1">
      <x:c r="A643" s="12" t="n">
        <x:v>43</x:v>
      </x:c>
      <x:c r="B643" s="6" t="str">
        <x:v>Low-carbon cement and concrete</x:v>
      </x:c>
      <x:c r="C643" s="6" t="str">
        <x:v>c43co5</x:v>
      </x:c>
      <x:c r="D643" s="6" t="str">
        <x:v>Amrize: official company information</x:v>
      </x:c>
      <x:c r="E643" s="6" t="str">
        <x:v>Amrize</x:v>
      </x:c>
      <x:c r="F643" s="6" t="str"/>
      <x:c r="G643" s="6" t="str">
        <x:v>Company disclosure</x:v>
      </x:c>
      <x:c r="H643" s="6" t="str">
        <x:v>North American building materials group separated from Holcim; concrete and cement deployment channel.</x:v>
      </x:c>
      <x:c r="I643" s="6" t="str">
        <x:v>https://www.amrize.com/</x:v>
      </x:c>
    </x:row>
    <x:row r="644" ht="15" hidden="0" customHeight="1">
      <x:c r="A644" s="12" t="n">
        <x:v>43</x:v>
      </x:c>
      <x:c r="B644" s="6" t="str">
        <x:v>Low-carbon cement and concrete</x:v>
      </x:c>
      <x:c r="C644" s="6" t="str">
        <x:v>c43co6</x:v>
      </x:c>
      <x:c r="D644" s="6" t="str">
        <x:v>Saint-Gobain: official company information</x:v>
      </x:c>
      <x:c r="E644" s="6" t="str">
        <x:v>Saint-Gobain</x:v>
      </x:c>
      <x:c r="F644" s="6" t="str"/>
      <x:c r="G644" s="6" t="str">
        <x:v>Company disclosure</x:v>
      </x:c>
      <x:c r="H644" s="6" t="str">
        <x:v>Chryso admixtures and construction chemicals that help qualify lower-clinker mixes.</x:v>
      </x:c>
      <x:c r="I644" s="6" t="str">
        <x:v>https://www.saint-gobain.com/</x:v>
      </x:c>
    </x:row>
    <x:row r="645" ht="15" hidden="0" customHeight="1">
      <x:c r="A645" s="12" t="n">
        <x:v>43</x:v>
      </x:c>
      <x:c r="B645" s="6" t="str">
        <x:v>Low-carbon cement and concrete</x:v>
      </x:c>
      <x:c r="C645" s="6" t="str">
        <x:v>c43co7</x:v>
      </x:c>
      <x:c r="D645" s="6" t="str">
        <x:v>Sika: official company information</x:v>
      </x:c>
      <x:c r="E645" s="6" t="str">
        <x:v>Sika</x:v>
      </x:c>
      <x:c r="F645" s="6" t="str"/>
      <x:c r="G645" s="6" t="str">
        <x:v>Company disclosure</x:v>
      </x:c>
      <x:c r="H645" s="6" t="str">
        <x:v>Admixtures and construction chemistry for lower-carbon concrete performance.</x:v>
      </x:c>
      <x:c r="I645" s="6" t="str">
        <x:v>https://www.sika.com/</x:v>
      </x:c>
    </x:row>
    <x:row r="646" ht="15" hidden="0" customHeight="1">
      <x:c r="A646" s="12" t="n">
        <x:v>43</x:v>
      </x:c>
      <x:c r="B646" s="6" t="str">
        <x:v>Low-carbon cement and concrete</x:v>
      </x:c>
      <x:c r="C646" s="6" t="str">
        <x:v>c43co8</x:v>
      </x:c>
      <x:c r="D646" s="6" t="str">
        <x:v>CarbonCure Technologies: official company information</x:v>
      </x:c>
      <x:c r="E646" s="6" t="str">
        <x:v>CarbonCure Technologies</x:v>
      </x:c>
      <x:c r="F646" s="6" t="str"/>
      <x:c r="G646" s="6" t="str">
        <x:v>Company disclosure</x:v>
      </x:c>
      <x:c r="H646" s="6" t="str">
        <x:v>CO₂ mineralisation technology integrated with concrete production.</x:v>
      </x:c>
      <x:c r="I646" s="6" t="str">
        <x:v>https://www.carboncure.com/</x:v>
      </x:c>
    </x:row>
    <x:row r="647" ht="15" hidden="0" customHeight="1">
      <x:c r="A647" s="12" t="n">
        <x:v>43</x:v>
      </x:c>
      <x:c r="B647" s="6" t="str">
        <x:v>Low-carbon cement and concrete</x:v>
      </x:c>
      <x:c r="C647" s="6" t="str">
        <x:v>c43co9</x:v>
      </x:c>
      <x:c r="D647" s="6" t="str">
        <x:v>Brimstone: official company information</x:v>
      </x:c>
      <x:c r="E647" s="6" t="str">
        <x:v>Brimstone</x:v>
      </x:c>
      <x:c r="F647" s="6" t="str"/>
      <x:c r="G647" s="6" t="str">
        <x:v>Company disclosure</x:v>
      </x:c>
      <x:c r="H647" s="6" t="str">
        <x:v>Alternative cement manufacturing process; scaling and qualification risks remain.</x:v>
      </x:c>
      <x:c r="I647" s="6" t="str">
        <x:v>https://www.brimstone.com/</x:v>
      </x:c>
    </x:row>
    <x:row r="648" ht="15" hidden="0" customHeight="1">
      <x:c r="A648" s="12" t="n">
        <x:v>43</x:v>
      </x:c>
      <x:c r="B648" s="6" t="str">
        <x:v>Low-carbon cement and concrete</x:v>
      </x:c>
      <x:c r="C648" s="6" t="str">
        <x:v>c43co10</x:v>
      </x:c>
      <x:c r="D648" s="6" t="str">
        <x:v>Ecocem: official company information</x:v>
      </x:c>
      <x:c r="E648" s="6" t="str">
        <x:v>Ecocem</x:v>
      </x:c>
      <x:c r="F648" s="6" t="str"/>
      <x:c r="G648" s="6" t="str">
        <x:v>Company disclosure</x:v>
      </x:c>
      <x:c r="H648" s="6" t="str">
        <x:v>Low-clinker cement technology and supplementary cementitious materials.</x:v>
      </x:c>
      <x:c r="I648" s="6" t="str">
        <x:v>https://www.ecocemglobal.com/</x:v>
      </x:c>
    </x:row>
    <x:row r="649" ht="15" hidden="0" customHeight="1">
      <x:c r="A649" s="12" t="n">
        <x:v>43</x:v>
      </x:c>
      <x:c r="B649" s="6" t="str">
        <x:v>Low-carbon cement and concrete</x:v>
      </x:c>
      <x:c r="C649" s="6" t="str">
        <x:v>c43co11</x:v>
      </x:c>
      <x:c r="D649" s="6" t="str">
        <x:v>Fortera: official company information</x:v>
      </x:c>
      <x:c r="E649" s="6" t="str">
        <x:v>Fortera</x:v>
      </x:c>
      <x:c r="F649" s="6" t="str"/>
      <x:c r="G649" s="6" t="str">
        <x:v>Company disclosure</x:v>
      </x:c>
      <x:c r="H649" s="6" t="str">
        <x:v>Cement decarbonisation process and reactive calcium-carbonate materials.</x:v>
      </x:c>
      <x:c r="I649" s="6" t="str">
        <x:v>https://forteraglobal.com/</x:v>
      </x:c>
    </x:row>
    <x:row r="650" ht="15" hidden="0" customHeight="1">
      <x:c r="A650" s="12" t="n">
        <x:v>43</x:v>
      </x:c>
      <x:c r="B650" s="6" t="str">
        <x:v>Low-carbon cement and concrete</x:v>
      </x:c>
      <x:c r="C650" s="6" t="str">
        <x:v>c43co12</x:v>
      </x:c>
      <x:c r="D650" s="6" t="str">
        <x:v>Paebbl: official company information</x:v>
      </x:c>
      <x:c r="E650" s="6" t="str">
        <x:v>Paebbl</x:v>
      </x:c>
      <x:c r="F650" s="6" t="str"/>
      <x:c r="G650" s="6" t="str">
        <x:v>Company disclosure</x:v>
      </x:c>
      <x:c r="H650" s="6" t="str">
        <x:v>CO₂-mineralised construction materials; early commercial scale-up.</x:v>
      </x:c>
      <x:c r="I650" s="6" t="str">
        <x:v>https://paebbl.com/</x:v>
      </x:c>
    </x:row>
    <x:row r="651" ht="15" hidden="0" customHeight="1">
      <x:c r="A651" s="12" t="n">
        <x:v>44</x:v>
      </x:c>
      <x:c r="B651" s="6" t="str">
        <x:v>Sustainable aviation fuels</x:v>
      </x:c>
      <x:c r="C651" s="6" t="str">
        <x:v>c44a</x:v>
      </x:c>
      <x:c r="D651" s="6" t="str">
        <x:v>Disappointingly Slow Growth in SAF Production</x:v>
      </x:c>
      <x:c r="E651" s="6" t="str">
        <x:v>IATA</x:v>
      </x:c>
      <x:c r="F651" s="6" t="str">
        <x:v>2024-12-10</x:v>
      </x:c>
      <x:c r="G651" s="6" t="str">
        <x:v>Primary research</x:v>
      </x:c>
      <x:c r="H651" s="6" t="str">
        <x:v>2023 production 0.5 Mt; 2024 production 1.0 Mt.</x:v>
      </x:c>
      <x:c r="I651" s="6" t="str">
        <x:v>https://www.iata.org/en/pressroom/2024-releases/2024-12-10-03/</x:v>
      </x:c>
    </x:row>
    <x:row r="652" ht="15" hidden="0" customHeight="1">
      <x:c r="A652" s="12" t="n">
        <x:v>44</x:v>
      </x:c>
      <x:c r="B652" s="6" t="str">
        <x:v>Sustainable aviation fuels</x:v>
      </x:c>
      <x:c r="C652" s="6" t="str">
        <x:v>c44b</x:v>
      </x:c>
      <x:c r="D652" s="6" t="str">
        <x:v>SAF production growth and outlook update</x:v>
      </x:c>
      <x:c r="E652" s="6" t="str">
        <x:v>IATA</x:v>
      </x:c>
      <x:c r="F652" s="6" t="str">
        <x:v>2025-12-09</x:v>
      </x:c>
      <x:c r="G652" s="6" t="str">
        <x:v>Primary research</x:v>
      </x:c>
      <x:c r="H652" s="6" t="str">
        <x:v>Revised 2025 production estimate 1.9 Mt and 2026 forecast 2.4 Mt.</x:v>
      </x:c>
      <x:c r="I652" s="6" t="str">
        <x:v>https://www.iata.org/en/pressroom/2025-releases/2025-12-09-04</x:v>
      </x:c>
    </x:row>
    <x:row r="653" ht="15" hidden="0" customHeight="1">
      <x:c r="A653" s="12" t="n">
        <x:v>44</x:v>
      </x:c>
      <x:c r="B653" s="6" t="str">
        <x:v>Sustainable aviation fuels</x:v>
      </x:c>
      <x:c r="C653" s="6" t="str">
        <x:v>c44c</x:v>
      </x:c>
      <x:c r="D653" s="6" t="str">
        <x:v>Sustainable Aviation Fuel programme</x:v>
      </x:c>
      <x:c r="E653" s="6" t="str">
        <x:v>IATA</x:v>
      </x:c>
      <x:c r="F653" s="6" t="str"/>
      <x:c r="G653" s="6" t="str">
        <x:v>Primary research</x:v>
      </x:c>
      <x:c r="H653" s="6" t="str">
        <x:v>Current 2026 forecast 2.4 Mt and fuel-share context.</x:v>
      </x:c>
      <x:c r="I653" s="6" t="str">
        <x:v>https://www.iata.org/en/programs/sustainability/sustainable-aviation-fuel-saf/</x:v>
      </x:c>
    </x:row>
    <x:row r="654" ht="15" hidden="0" customHeight="1">
      <x:c r="A654" s="12" t="n">
        <x:v>44</x:v>
      </x:c>
      <x:c r="B654" s="6" t="str">
        <x:v>Sustainable aviation fuels</x:v>
      </x:c>
      <x:c r="C654" s="6" t="str">
        <x:v>c44d</x:v>
      </x:c>
      <x:c r="D654" s="6" t="str">
        <x:v>ReFuelEU aviation</x:v>
      </x:c>
      <x:c r="E654" s="6" t="str">
        <x:v>European Commission</x:v>
      </x:c>
      <x:c r="F654" s="6" t="str"/>
      <x:c r="G654" s="6" t="str">
        <x:v>Primary research</x:v>
      </x:c>
      <x:c r="H654" s="6" t="str">
        <x:v>Scope of EU requirements; 2025 2% share and applicable regulation.</x:v>
      </x:c>
      <x:c r="I654" s="6" t="str">
        <x:v>https://transport.ec.europa.eu/transport-modes/air/environment/refueleu-aviation_en</x:v>
      </x:c>
    </x:row>
    <x:row r="655" ht="15" hidden="0" customHeight="1">
      <x:c r="A655" s="12" t="n">
        <x:v>44</x:v>
      </x:c>
      <x:c r="B655" s="6" t="str">
        <x:v>Sustainable aviation fuels</x:v>
      </x:c>
      <x:c r="C655" s="6" t="str">
        <x:v>c44e</x:v>
      </x:c>
      <x:c r="D655" s="6" t="str">
        <x:v>Regulation (EU) 2023/2405 on ensuring a level playing field for sustainable air transport</x:v>
      </x:c>
      <x:c r="E655" s="6" t="str">
        <x:v>European Union</x:v>
      </x:c>
      <x:c r="F655" s="6" t="str">
        <x:v>2023-10-18</x:v>
      </x:c>
      <x:c r="G655" s="6" t="str">
        <x:v>Primary regulation</x:v>
      </x:c>
      <x:c r="H655" s="6" t="str">
        <x:v>Annex I minimum SAF shares: 6% in 2030, 20% in 2035; statutory requirements, not production forecasts.</x:v>
      </x:c>
      <x:c r="I655" s="6" t="str">
        <x:v>https://eur-lex.europa.eu/eli/reg/2023/2405/oj/eng</x:v>
      </x:c>
    </x:row>
    <x:row r="656" ht="15" hidden="0" customHeight="1">
      <x:c r="A656" s="12" t="n">
        <x:v>44</x:v>
      </x:c>
      <x:c r="B656" s="6" t="str">
        <x:v>Sustainable aviation fuels</x:v>
      </x:c>
      <x:c r="C656" s="6" t="str">
        <x:v>c44co1</x:v>
      </x:c>
      <x:c r="D656" s="6" t="str">
        <x:v>Neste: official company information</x:v>
      </x:c>
      <x:c r="E656" s="6" t="str">
        <x:v>Neste</x:v>
      </x:c>
      <x:c r="F656" s="6" t="str"/>
      <x:c r="G656" s="6" t="str">
        <x:v>Company disclosure</x:v>
      </x:c>
      <x:c r="H656" s="6" t="str">
        <x:v>Renewable-fuel producer with commercial SAF production and feedstock sourcing.</x:v>
      </x:c>
      <x:c r="I656" s="6" t="str">
        <x:v>https://www.neste.com/</x:v>
      </x:c>
    </x:row>
    <x:row r="657" ht="15" hidden="0" customHeight="1">
      <x:c r="A657" s="12" t="n">
        <x:v>44</x:v>
      </x:c>
      <x:c r="B657" s="6" t="str">
        <x:v>Sustainable aviation fuels</x:v>
      </x:c>
      <x:c r="C657" s="6" t="str">
        <x:v>c44co2</x:v>
      </x:c>
      <x:c r="D657" s="6" t="str">
        <x:v>TotalEnergies: official company information</x:v>
      </x:c>
      <x:c r="E657" s="6" t="str">
        <x:v>TotalEnergies</x:v>
      </x:c>
      <x:c r="F657" s="6" t="str"/>
      <x:c r="G657" s="6" t="str">
        <x:v>Company disclosure</x:v>
      </x:c>
      <x:c r="H657" s="6" t="str">
        <x:v>Refinery conversion, SAF supply and offtake; diversified energy exposure.</x:v>
      </x:c>
      <x:c r="I657" s="6" t="str">
        <x:v>https://totalenergies.com/</x:v>
      </x:c>
    </x:row>
    <x:row r="658" ht="15" hidden="0" customHeight="1">
      <x:c r="A658" s="12" t="n">
        <x:v>44</x:v>
      </x:c>
      <x:c r="B658" s="6" t="str">
        <x:v>Sustainable aviation fuels</x:v>
      </x:c>
      <x:c r="C658" s="6" t="str">
        <x:v>c44co3</x:v>
      </x:c>
      <x:c r="D658" s="6" t="str">
        <x:v>Valero Energy: official company information</x:v>
      </x:c>
      <x:c r="E658" s="6" t="str">
        <x:v>Valero Energy</x:v>
      </x:c>
      <x:c r="F658" s="6" t="str"/>
      <x:c r="G658" s="6" t="str">
        <x:v>Company disclosure</x:v>
      </x:c>
      <x:c r="H658" s="6" t="str">
        <x:v>SAF exposure through Diamond Green Diesel joint venture.</x:v>
      </x:c>
      <x:c r="I658" s="6" t="str">
        <x:v>https://www.valero.com/</x:v>
      </x:c>
    </x:row>
    <x:row r="659" ht="15" hidden="0" customHeight="1">
      <x:c r="A659" s="12" t="n">
        <x:v>44</x:v>
      </x:c>
      <x:c r="B659" s="6" t="str">
        <x:v>Sustainable aviation fuels</x:v>
      </x:c>
      <x:c r="C659" s="6" t="str">
        <x:v>c44co4</x:v>
      </x:c>
      <x:c r="D659" s="6" t="str">
        <x:v>Darling Ingredients: official company information</x:v>
      </x:c>
      <x:c r="E659" s="6" t="str">
        <x:v>Darling Ingredients</x:v>
      </x:c>
      <x:c r="F659" s="6" t="str"/>
      <x:c r="G659" s="6" t="str">
        <x:v>Company disclosure</x:v>
      </x:c>
      <x:c r="H659" s="6" t="str">
        <x:v>Feedstocks and Diamond Green Diesel joint-venture production exposure.</x:v>
      </x:c>
      <x:c r="I659" s="6" t="str">
        <x:v>https://www.darlingii.com/</x:v>
      </x:c>
    </x:row>
    <x:row r="660" ht="15" hidden="0" customHeight="1">
      <x:c r="A660" s="12" t="n">
        <x:v>44</x:v>
      </x:c>
      <x:c r="B660" s="6" t="str">
        <x:v>Sustainable aviation fuels</x:v>
      </x:c>
      <x:c r="C660" s="6" t="str">
        <x:v>c44co5</x:v>
      </x:c>
      <x:c r="D660" s="6" t="str">
        <x:v>Honeywell: official company information</x:v>
      </x:c>
      <x:c r="E660" s="6" t="str">
        <x:v>Honeywell</x:v>
      </x:c>
      <x:c r="F660" s="6" t="str"/>
      <x:c r="G660" s="6" t="str">
        <x:v>Company disclosure</x:v>
      </x:c>
      <x:c r="H660" s="6" t="str">
        <x:v>UOP process technology and licensing for renewable jet-fuel pathways.</x:v>
      </x:c>
      <x:c r="I660" s="6" t="str">
        <x:v>https://www.honeywell.com/</x:v>
      </x:c>
    </x:row>
    <x:row r="661" ht="15" hidden="0" customHeight="1">
      <x:c r="A661" s="12" t="n">
        <x:v>44</x:v>
      </x:c>
      <x:c r="B661" s="6" t="str">
        <x:v>Sustainable aviation fuels</x:v>
      </x:c>
      <x:c r="C661" s="6" t="str">
        <x:v>c44co6</x:v>
      </x:c>
      <x:c r="D661" s="6" t="str">
        <x:v>Gevo: official company information</x:v>
      </x:c>
      <x:c r="E661" s="6" t="str">
        <x:v>Gevo</x:v>
      </x:c>
      <x:c r="F661" s="6" t="str"/>
      <x:c r="G661" s="6" t="str">
        <x:v>Company disclosure</x:v>
      </x:c>
      <x:c r="H661" s="6" t="str">
        <x:v>Low-carbon fuels and SAF project development; project and financing risk remains.</x:v>
      </x:c>
      <x:c r="I661" s="6" t="str">
        <x:v>https://gevo.com/</x:v>
      </x:c>
    </x:row>
    <x:row r="662" ht="15" hidden="0" customHeight="1">
      <x:c r="A662" s="12" t="n">
        <x:v>44</x:v>
      </x:c>
      <x:c r="B662" s="6" t="str">
        <x:v>Sustainable aviation fuels</x:v>
      </x:c>
      <x:c r="C662" s="6" t="str">
        <x:v>c44co7</x:v>
      </x:c>
      <x:c r="D662" s="6" t="str">
        <x:v>Topsoe: official company information</x:v>
      </x:c>
      <x:c r="E662" s="6" t="str">
        <x:v>Topsoe</x:v>
      </x:c>
      <x:c r="F662" s="6" t="str"/>
      <x:c r="G662" s="6" t="str">
        <x:v>Company disclosure</x:v>
      </x:c>
      <x:c r="H662" s="6" t="str">
        <x:v>Catalysts and process technology for bio-based and synthetic SAF.</x:v>
      </x:c>
      <x:c r="I662" s="6" t="str">
        <x:v>https://www.topsoe.com/</x:v>
      </x:c>
    </x:row>
    <x:row r="663" ht="15" hidden="0" customHeight="1">
      <x:c r="A663" s="12" t="n">
        <x:v>44</x:v>
      </x:c>
      <x:c r="B663" s="6" t="str">
        <x:v>Sustainable aviation fuels</x:v>
      </x:c>
      <x:c r="C663" s="6" t="str">
        <x:v>c44co8</x:v>
      </x:c>
      <x:c r="D663" s="6" t="str">
        <x:v>LanzaJet: official company information</x:v>
      </x:c>
      <x:c r="E663" s="6" t="str">
        <x:v>LanzaJet</x:v>
      </x:c>
      <x:c r="F663" s="6" t="str"/>
      <x:c r="G663" s="6" t="str">
        <x:v>Company disclosure</x:v>
      </x:c>
      <x:c r="H663" s="6" t="str">
        <x:v>Alcohol-to-jet technology and commercial project development.</x:v>
      </x:c>
      <x:c r="I663" s="6" t="str">
        <x:v>https://www.lanzajet.com/</x:v>
      </x:c>
    </x:row>
    <x:row r="664" ht="15" hidden="0" customHeight="1">
      <x:c r="A664" s="12" t="n">
        <x:v>44</x:v>
      </x:c>
      <x:c r="B664" s="6" t="str">
        <x:v>Sustainable aviation fuels</x:v>
      </x:c>
      <x:c r="C664" s="6" t="str">
        <x:v>c44co9</x:v>
      </x:c>
      <x:c r="D664" s="6" t="str">
        <x:v>World Energy: official company information</x:v>
      </x:c>
      <x:c r="E664" s="6" t="str">
        <x:v>World Energy</x:v>
      </x:c>
      <x:c r="F664" s="6" t="str"/>
      <x:c r="G664" s="6" t="str">
        <x:v>Company disclosure</x:v>
      </x:c>
      <x:c r="H664" s="6" t="str">
        <x:v>Renewable fuel and SAF production and supply.</x:v>
      </x:c>
      <x:c r="I664" s="6" t="str">
        <x:v>https://www.worldenergy.net/</x:v>
      </x:c>
    </x:row>
    <x:row r="665" ht="15" hidden="0" customHeight="1">
      <x:c r="A665" s="12" t="n">
        <x:v>44</x:v>
      </x:c>
      <x:c r="B665" s="6" t="str">
        <x:v>Sustainable aviation fuels</x:v>
      </x:c>
      <x:c r="C665" s="6" t="str">
        <x:v>c44co10</x:v>
      </x:c>
      <x:c r="D665" s="6" t="str">
        <x:v>SkyNRG: official company information</x:v>
      </x:c>
      <x:c r="E665" s="6" t="str">
        <x:v>SkyNRG</x:v>
      </x:c>
      <x:c r="F665" s="6" t="str"/>
      <x:c r="G665" s="6" t="str">
        <x:v>Company disclosure</x:v>
      </x:c>
      <x:c r="H665" s="6" t="str">
        <x:v>SAF supply, project development and corporate procurement programmes.</x:v>
      </x:c>
      <x:c r="I665" s="6" t="str">
        <x:v>https://skynrg.com/</x:v>
      </x:c>
    </x:row>
    <x:row r="666" ht="15" hidden="0" customHeight="1">
      <x:c r="A666" s="12" t="n">
        <x:v>44</x:v>
      </x:c>
      <x:c r="B666" s="6" t="str">
        <x:v>Sustainable aviation fuels</x:v>
      </x:c>
      <x:c r="C666" s="6" t="str">
        <x:v>c44co11</x:v>
      </x:c>
      <x:c r="D666" s="6" t="str">
        <x:v>Twelve: official company information</x:v>
      </x:c>
      <x:c r="E666" s="6" t="str">
        <x:v>Twelve</x:v>
      </x:c>
      <x:c r="F666" s="6" t="str"/>
      <x:c r="G666" s="6" t="str">
        <x:v>Company disclosure</x:v>
      </x:c>
      <x:c r="H666" s="6" t="str">
        <x:v>CO₂-to-fuels technology and synthetic fuel project development; earlier-stage pathway.</x:v>
      </x:c>
      <x:c r="I666" s="6" t="str">
        <x:v>https://www.twelve.co/</x:v>
      </x:c>
    </x:row>
    <x:row r="667" ht="15" hidden="0" customHeight="1">
      <x:c r="A667" s="12" t="n">
        <x:v>45</x:v>
      </x:c>
      <x:c r="B667" s="6" t="str">
        <x:v>Additive manufacturing for end-use production</x:v>
      </x:c>
      <x:c r="C667" s="6" t="str">
        <x:v>c45a</x:v>
      </x:c>
      <x:c r="D667" s="6" t="str">
        <x:v>Wohlers Report 2024 Shows Metal Additive Manufacturing Growth</x:v>
      </x:c>
      <x:c r="E667" s="6" t="str">
        <x:v>Wohlers Associates / ASTM International</x:v>
      </x:c>
      <x:c r="F667" s="6" t="str">
        <x:v>2024-04-02</x:v>
      </x:c>
      <x:c r="G667" s="6" t="str">
        <x:v>Primary research</x:v>
      </x:c>
      <x:c r="H667" s="6" t="str">
        <x:v>2023 market $20.035 billion; 2022 and 2023 metal system sales; qualification context.</x:v>
      </x:c>
      <x:c r="I667" s="6" t="str">
        <x:v>https://wohlersassociates.com/news/wohlers-report-2024-shows-metal-am-growth-in-new-report/</x:v>
      </x:c>
    </x:row>
    <x:row r="668" ht="15" hidden="0" customHeight="1">
      <x:c r="A668" s="12" t="n">
        <x:v>45</x:v>
      </x:c>
      <x:c r="B668" s="6" t="str">
        <x:v>Additive manufacturing for end-use production</x:v>
      </x:c>
      <x:c r="C668" s="6" t="str">
        <x:v>c45b</x:v>
      </x:c>
      <x:c r="D668" s="6" t="str">
        <x:v>New Wohlers Report 2026 Values Additive Manufacturing Market at $24.2B</x:v>
      </x:c>
      <x:c r="E668" s="6" t="str">
        <x:v>Wohlers Associates / ASTM International</x:v>
      </x:c>
      <x:c r="F668" s="6" t="str">
        <x:v>2026-02-17</x:v>
      </x:c>
      <x:c r="G668" s="6" t="str">
        <x:v>Primary research</x:v>
      </x:c>
      <x:c r="H668" s="6" t="str">
        <x:v>2025 revenue $24.2 billion, up 10.9%; services and utilisation trends.</x:v>
      </x:c>
      <x:c r="I668" s="6" t="str">
        <x:v>https://wohlersassociates.com/press-releases/new-wohlers-report-2026-values-additive-manufacturing-market-at-24-2b/</x:v>
      </x:c>
    </x:row>
    <x:row r="669" ht="15" hidden="0" customHeight="1">
      <x:c r="A669" s="12" t="n">
        <x:v>45</x:v>
      </x:c>
      <x:c r="B669" s="6" t="str">
        <x:v>Additive manufacturing for end-use production</x:v>
      </x:c>
      <x:c r="C669" s="6" t="str">
        <x:v>c45c</x:v>
      </x:c>
      <x:c r="D669" s="6" t="str">
        <x:v>Wohlers Report 2022 Finds Strong Industry-Wide Growth</x:v>
      </x:c>
      <x:c r="E669" s="6" t="str">
        <x:v>Wohlers Associates / ASTM International</x:v>
      </x:c>
      <x:c r="F669" s="6" t="str">
        <x:v>2022-03-15</x:v>
      </x:c>
      <x:c r="G669" s="6" t="str">
        <x:v>Primary research</x:v>
      </x:c>
      <x:c r="H669" s="6" t="str">
        <x:v>2021 industry revenue grew 19.5%; all-AM scope.</x:v>
      </x:c>
      <x:c r="I669" s="6" t="str">
        <x:v>https://wohlersassociates.com/press-releases/wohlers-report-2022-finds-strong-industry-wide-growth/</x:v>
      </x:c>
    </x:row>
    <x:row r="670" ht="15" hidden="0" customHeight="1">
      <x:c r="A670" s="12" t="n">
        <x:v>45</x:v>
      </x:c>
      <x:c r="B670" s="6" t="str">
        <x:v>Additive manufacturing for end-use production</x:v>
      </x:c>
      <x:c r="C670" s="6" t="str">
        <x:v>c45co1</x:v>
      </x:c>
      <x:c r="D670" s="6" t="str">
        <x:v>HP: official company information</x:v>
      </x:c>
      <x:c r="E670" s="6" t="str">
        <x:v>HP</x:v>
      </x:c>
      <x:c r="F670" s="6" t="str"/>
      <x:c r="G670" s="6" t="str">
        <x:v>Company disclosure</x:v>
      </x:c>
      <x:c r="H670" s="6" t="str">
        <x:v>Polymer and metal additive-manufacturing systems and production services ecosystem.</x:v>
      </x:c>
      <x:c r="I670" s="6" t="str">
        <x:v>https://www.hp.com/us-en/printers/3d-printers.html</x:v>
      </x:c>
    </x:row>
    <x:row r="671" ht="15" hidden="0" customHeight="1">
      <x:c r="A671" s="12" t="n">
        <x:v>45</x:v>
      </x:c>
      <x:c r="B671" s="6" t="str">
        <x:v>Additive manufacturing for end-use production</x:v>
      </x:c>
      <x:c r="C671" s="6" t="str">
        <x:v>c45co2</x:v>
      </x:c>
      <x:c r="D671" s="6" t="str">
        <x:v>3D Systems: official company information</x:v>
      </x:c>
      <x:c r="E671" s="6" t="str">
        <x:v>3D Systems</x:v>
      </x:c>
      <x:c r="F671" s="6" t="str"/>
      <x:c r="G671" s="6" t="str">
        <x:v>Company disclosure</x:v>
      </x:c>
      <x:c r="H671" s="6" t="str">
        <x:v>Industrial and healthcare additive systems, materials and services.</x:v>
      </x:c>
      <x:c r="I671" s="6" t="str">
        <x:v>https://www.3dsystems.com/</x:v>
      </x:c>
    </x:row>
    <x:row r="672" ht="15" hidden="0" customHeight="1">
      <x:c r="A672" s="12" t="n">
        <x:v>45</x:v>
      </x:c>
      <x:c r="B672" s="6" t="str">
        <x:v>Additive manufacturing for end-use production</x:v>
      </x:c>
      <x:c r="C672" s="6" t="str">
        <x:v>c45co3</x:v>
      </x:c>
      <x:c r="D672" s="6" t="str">
        <x:v>Stratasys: official company information</x:v>
      </x:c>
      <x:c r="E672" s="6" t="str">
        <x:v>Stratasys</x:v>
      </x:c>
      <x:c r="F672" s="6" t="str"/>
      <x:c r="G672" s="6" t="str">
        <x:v>Company disclosure</x:v>
      </x:c>
      <x:c r="H672" s="6" t="str">
        <x:v>Polymer printing systems, materials and manufacturing applications.</x:v>
      </x:c>
      <x:c r="I672" s="6" t="str">
        <x:v>https://www.stratasys.com/</x:v>
      </x:c>
    </x:row>
    <x:row r="673" ht="15" hidden="0" customHeight="1">
      <x:c r="A673" s="12" t="n">
        <x:v>45</x:v>
      </x:c>
      <x:c r="B673" s="6" t="str">
        <x:v>Additive manufacturing for end-use production</x:v>
      </x:c>
      <x:c r="C673" s="6" t="str">
        <x:v>c45co4</x:v>
      </x:c>
      <x:c r="D673" s="6" t="str">
        <x:v>Materialise: official company information</x:v>
      </x:c>
      <x:c r="E673" s="6" t="str">
        <x:v>Materialise</x:v>
      </x:c>
      <x:c r="F673" s="6" t="str"/>
      <x:c r="G673" s="6" t="str">
        <x:v>Company disclosure</x:v>
      </x:c>
      <x:c r="H673" s="6" t="str">
        <x:v>AM software, medical applications and manufacturing services.</x:v>
      </x:c>
      <x:c r="I673" s="6" t="str">
        <x:v>https://www.materialise.com/</x:v>
      </x:c>
    </x:row>
    <x:row r="674" ht="15" hidden="0" customHeight="1">
      <x:c r="A674" s="12" t="n">
        <x:v>45</x:v>
      </x:c>
      <x:c r="B674" s="6" t="str">
        <x:v>Additive manufacturing for end-use production</x:v>
      </x:c>
      <x:c r="C674" s="6" t="str">
        <x:v>c45co5</x:v>
      </x:c>
      <x:c r="D674" s="6" t="str">
        <x:v>Renishaw: official company information</x:v>
      </x:c>
      <x:c r="E674" s="6" t="str">
        <x:v>Renishaw</x:v>
      </x:c>
      <x:c r="F674" s="6" t="str"/>
      <x:c r="G674" s="6" t="str">
        <x:v>Company disclosure</x:v>
      </x:c>
      <x:c r="H674" s="6" t="str">
        <x:v>Metal additive systems and metrology for production qualification.</x:v>
      </x:c>
      <x:c r="I674" s="6" t="str">
        <x:v>https://www.renishaw.com/</x:v>
      </x:c>
    </x:row>
    <x:row r="675" ht="15" hidden="0" customHeight="1">
      <x:c r="A675" s="12" t="n">
        <x:v>45</x:v>
      </x:c>
      <x:c r="B675" s="6" t="str">
        <x:v>Additive manufacturing for end-use production</x:v>
      </x:c>
      <x:c r="C675" s="6" t="str">
        <x:v>c45co6</x:v>
      </x:c>
      <x:c r="D675" s="6" t="str">
        <x:v>Nikon / Nikon SLM Solutions: official company information</x:v>
      </x:c>
      <x:c r="E675" s="6" t="str">
        <x:v>Nikon / Nikon SLM Solutions</x:v>
      </x:c>
      <x:c r="F675" s="6" t="str"/>
      <x:c r="G675" s="6" t="str">
        <x:v>Company disclosure</x:v>
      </x:c>
      <x:c r="H675" s="6" t="str">
        <x:v>Nikon SLM Solutions supplies metal powder-bed-fusion systems; parent Nikon is the listed exposure.</x:v>
      </x:c>
      <x:c r="I675" s="6" t="str">
        <x:v>https://www.nikon-slm-solutions.com/</x:v>
      </x:c>
    </x:row>
    <x:row r="676" ht="15" hidden="0" customHeight="1">
      <x:c r="A676" s="12" t="n">
        <x:v>45</x:v>
      </x:c>
      <x:c r="B676" s="6" t="str">
        <x:v>Additive manufacturing for end-use production</x:v>
      </x:c>
      <x:c r="C676" s="6" t="str">
        <x:v>c45co7</x:v>
      </x:c>
      <x:c r="D676" s="6" t="str">
        <x:v>Xometry: official company information</x:v>
      </x:c>
      <x:c r="E676" s="6" t="str">
        <x:v>Xometry</x:v>
      </x:c>
      <x:c r="F676" s="6" t="str"/>
      <x:c r="G676" s="6" t="str">
        <x:v>Company disclosure</x:v>
      </x:c>
      <x:c r="H676" s="6" t="str">
        <x:v>Manufacturing marketplace including additive parts; exposure also includes many conventional processes.</x:v>
      </x:c>
      <x:c r="I676" s="6" t="str">
        <x:v>https://www.xometry.com/</x:v>
      </x:c>
    </x:row>
    <x:row r="677" ht="15" hidden="0" customHeight="1">
      <x:c r="A677" s="12" t="n">
        <x:v>45</x:v>
      </x:c>
      <x:c r="B677" s="6" t="str">
        <x:v>Additive manufacturing for end-use production</x:v>
      </x:c>
      <x:c r="C677" s="6" t="str">
        <x:v>c45co8</x:v>
      </x:c>
      <x:c r="D677" s="6" t="str">
        <x:v>EOS: official company information</x:v>
      </x:c>
      <x:c r="E677" s="6" t="str">
        <x:v>EOS</x:v>
      </x:c>
      <x:c r="F677" s="6" t="str"/>
      <x:c r="G677" s="6" t="str">
        <x:v>Company disclosure</x:v>
      </x:c>
      <x:c r="H677" s="6" t="str">
        <x:v>Industrial polymer and metal additive systems, materials and process expertise.</x:v>
      </x:c>
      <x:c r="I677" s="6" t="str">
        <x:v>https://www.eos.info/</x:v>
      </x:c>
    </x:row>
    <x:row r="678" ht="15" hidden="0" customHeight="1">
      <x:c r="A678" s="12" t="n">
        <x:v>45</x:v>
      </x:c>
      <x:c r="B678" s="6" t="str">
        <x:v>Additive manufacturing for end-use production</x:v>
      </x:c>
      <x:c r="C678" s="6" t="str">
        <x:v>c45co9</x:v>
      </x:c>
      <x:c r="D678" s="6" t="str">
        <x:v>Carbon: official company information</x:v>
      </x:c>
      <x:c r="E678" s="6" t="str">
        <x:v>Carbon</x:v>
      </x:c>
      <x:c r="F678" s="6" t="str"/>
      <x:c r="G678" s="6" t="str">
        <x:v>Company disclosure</x:v>
      </x:c>
      <x:c r="H678" s="6" t="str">
        <x:v>Resin additive-production platform, materials and production partnerships.</x:v>
      </x:c>
      <x:c r="I678" s="6" t="str">
        <x:v>https://www.carbon3d.com/</x:v>
      </x:c>
    </x:row>
    <x:row r="679" ht="15" hidden="0" customHeight="1">
      <x:c r="A679" s="12" t="n">
        <x:v>45</x:v>
      </x:c>
      <x:c r="B679" s="6" t="str">
        <x:v>Additive manufacturing for end-use production</x:v>
      </x:c>
      <x:c r="C679" s="6" t="str">
        <x:v>c45co10</x:v>
      </x:c>
      <x:c r="D679" s="6" t="str">
        <x:v>Formlabs: official company information</x:v>
      </x:c>
      <x:c r="E679" s="6" t="str">
        <x:v>Formlabs</x:v>
      </x:c>
      <x:c r="F679" s="6" t="str"/>
      <x:c r="G679" s="6" t="str">
        <x:v>Company disclosure</x:v>
      </x:c>
      <x:c r="H679" s="6" t="str">
        <x:v>Professional polymer printers and materials; some applications are end-use, others prototyping.</x:v>
      </x:c>
      <x:c r="I679" s="6" t="str">
        <x:v>https://formlabs.com/</x:v>
      </x:c>
    </x:row>
    <x:row r="680" ht="15" hidden="0" customHeight="1">
      <x:c r="A680" s="12" t="n">
        <x:v>46</x:v>
      </x:c>
      <x:c r="B680" s="6" t="str">
        <x:v>Verifiable digital identity wallets</x:v>
      </x:c>
      <x:c r="C680" s="6" t="str">
        <x:v>c46a</x:v>
      </x:c>
      <x:c r="D680" s="6" t="str">
        <x:v>IT-Wallet documents become available offline</x:v>
      </x:c>
      <x:c r="E680" s="6" t="str">
        <x:v>Italian Department for Digital Transformation</x:v>
      </x:c>
      <x:c r="F680" s="6" t="str">
        <x:v>2025-06-04</x:v>
      </x:c>
      <x:c r="G680" s="6" t="str">
        <x:v>Primary research</x:v>
      </x:c>
      <x:c r="H680" s="6" t="str">
        <x:v>As of 3 June 2025, more than 5.3 million unique users since December launch.</x:v>
      </x:c>
      <x:c r="I680" s="6" t="str">
        <x:v>https://innovazione.gov.it/notizie/articoli/it-wallet-patente-tessera-sanitaria-e-carta-europea-della-disabilita-ora-disponibili-anche-offline/</x:v>
      </x:c>
    </x:row>
    <x:row r="681" ht="15" hidden="0" customHeight="1">
      <x:c r="A681" s="12" t="n">
        <x:v>46</x:v>
      </x:c>
      <x:c r="B681" s="6" t="str">
        <x:v>Verifiable digital identity wallets</x:v>
      </x:c>
      <x:c r="C681" s="6" t="str">
        <x:v>c46b</x:v>
      </x:c>
      <x:c r="D681" s="6" t="str">
        <x:v>IT-Wallet exceeds 10 million activations on App IO</x:v>
      </x:c>
      <x:c r="E681" s="6" t="str">
        <x:v>Italian Department for Digital Transformation</x:v>
      </x:c>
      <x:c r="F681" s="6" t="str">
        <x:v>2026-02-17</x:v>
      </x:c>
      <x:c r="G681" s="6" t="str">
        <x:v>Primary research</x:v>
      </x:c>
      <x:c r="H681" s="6" t="str">
        <x:v>More than 10 million activations and 17.3 million documents; national service scope.</x:v>
      </x:c>
      <x:c r="I681" s="6" t="str">
        <x:v>https://innovazione.gov.it/notizie/articoli/it-wallet-supera-quota-10-milioni-di-attivazioni-su-app-io-17-3-milioni-di-documenti-gia-caricati/</x:v>
      </x:c>
    </x:row>
    <x:row r="682" ht="15" hidden="0" customHeight="1">
      <x:c r="A682" s="12" t="n">
        <x:v>46</x:v>
      </x:c>
      <x:c r="B682" s="6" t="str">
        <x:v>Verifiable digital identity wallets</x:v>
      </x:c>
      <x:c r="C682" s="6" t="str">
        <x:v>c46c</x:v>
      </x:c>
      <x:c r="D682" s="6" t="str">
        <x:v>European Digital Identity</x:v>
      </x:c>
      <x:c r="E682" s="6" t="str">
        <x:v>European Commission</x:v>
      </x:c>
      <x:c r="F682" s="6" t="str"/>
      <x:c r="G682" s="6" t="str">
        <x:v>Primary research</x:v>
      </x:c>
      <x:c r="H682" s="6" t="str">
        <x:v>Framework timeline and end-2026 member-state wallet availability obligation.</x:v>
      </x:c>
      <x:c r="I682" s="6" t="str">
        <x:v>https://commission.europa.eu/topics/digital-economy-and-society/european-digital-identity_en</x:v>
      </x:c>
    </x:row>
    <x:row r="683" ht="15" hidden="0" customHeight="1">
      <x:c r="A683" s="12" t="n">
        <x:v>46</x:v>
      </x:c>
      <x:c r="B683" s="6" t="str">
        <x:v>Verifiable digital identity wallets</x:v>
      </x:c>
      <x:c r="C683" s="6" t="str">
        <x:v>c46d</x:v>
      </x:c>
      <x:c r="D683" s="6" t="str">
        <x:v>What are the Large Scale Pilot Projects?</x:v>
      </x:c>
      <x:c r="E683" s="6" t="str">
        <x:v>European Commission</x:v>
      </x:c>
      <x:c r="F683" s="6" t="str"/>
      <x:c r="G683" s="6" t="str">
        <x:v>Primary research</x:v>
      </x:c>
      <x:c r="H683" s="6" t="str">
        <x:v>Four initial large-scale pilots began in April 2023; interoperability testing.</x:v>
      </x:c>
      <x:c r="I683" s="6" t="str">
        <x:v>https://ec.europa.eu/digital-building-blocks/sites/spaces/EUDIGITALIDENTITYWALLET/pages/694487808/What+are+the+Large+Scale+Pilot+Projects</x:v>
      </x:c>
    </x:row>
    <x:row r="684" ht="15" hidden="0" customHeight="1">
      <x:c r="A684" s="12" t="n">
        <x:v>46</x:v>
      </x:c>
      <x:c r="B684" s="6" t="str">
        <x:v>Verifiable digital identity wallets</x:v>
      </x:c>
      <x:c r="C684" s="6" t="str">
        <x:v>c46e</x:v>
      </x:c>
      <x:c r="D684" s="6" t="str">
        <x:v>Entry into force of the Digital Identity Regulation</x:v>
      </x:c>
      <x:c r="E684" s="6" t="str">
        <x:v>European Commission</x:v>
      </x:c>
      <x:c r="F684" s="6" t="str">
        <x:v>2024-05-21</x:v>
      </x:c>
      <x:c r="G684" s="6" t="str">
        <x:v>Primary research</x:v>
      </x:c>
      <x:c r="H684" s="6" t="str">
        <x:v>Regulation entered into force 20 May 2024.</x:v>
      </x:c>
      <x:c r="I684" s="6" t="str">
        <x:v>https://digital-strategy.ec.europa.eu/en/news/entry-force-digital-identity-regulation</x:v>
      </x:c>
    </x:row>
    <x:row r="685" ht="15" hidden="0" customHeight="1">
      <x:c r="A685" s="12" t="n">
        <x:v>46</x:v>
      </x:c>
      <x:c r="B685" s="6" t="str">
        <x:v>Verifiable digital identity wallets</x:v>
      </x:c>
      <x:c r="C685" s="6" t="str">
        <x:v>c46f</x:v>
      </x:c>
      <x:c r="D685" s="6" t="str">
        <x:v>IT-Wallet: three digital documents on IO for all citizens</x:v>
      </x:c>
      <x:c r="E685" s="6" t="str">
        <x:v>PagoPA</x:v>
      </x:c>
      <x:c r="F685" s="6" t="str">
        <x:v>2024-12-04</x:v>
      </x:c>
      <x:c r="G685" s="6" t="str">
        <x:v>Primary research</x:v>
      </x:c>
      <x:c r="H685" s="6" t="str">
        <x:v>Initial national service general availability.</x:v>
      </x:c>
      <x:c r="I685" s="6" t="str">
        <x:v>https://www.pagopa.it/it/media/comunicati-stampa/it-wallet-tre-documenti-digitali-su-app-io-per-tutti-i-cittadini/</x:v>
      </x:c>
    </x:row>
    <x:row r="686" ht="15" hidden="0" customHeight="1">
      <x:c r="A686" s="12" t="n">
        <x:v>46</x:v>
      </x:c>
      <x:c r="B686" s="6" t="str">
        <x:v>Verifiable digital identity wallets</x:v>
      </x:c>
      <x:c r="C686" s="6" t="str">
        <x:v>c46co1</x:v>
      </x:c>
      <x:c r="D686" s="6" t="str">
        <x:v>Apple: official company information</x:v>
      </x:c>
      <x:c r="E686" s="6" t="str">
        <x:v>Apple</x:v>
      </x:c>
      <x:c r="F686" s="6" t="str"/>
      <x:c r="G686" s="6" t="str">
        <x:v>Company disclosure</x:v>
      </x:c>
      <x:c r="H686" s="6" t="str">
        <x:v>Wallet and device security ecosystem; government-ID availability varies by jurisdiction.</x:v>
      </x:c>
      <x:c r="I686" s="6" t="str">
        <x:v>https://www.apple.com/wallet/</x:v>
      </x:c>
    </x:row>
    <x:row r="687" ht="15" hidden="0" customHeight="1">
      <x:c r="A687" s="12" t="n">
        <x:v>46</x:v>
      </x:c>
      <x:c r="B687" s="6" t="str">
        <x:v>Verifiable digital identity wallets</x:v>
      </x:c>
      <x:c r="C687" s="6" t="str">
        <x:v>c46co2</x:v>
      </x:c>
      <x:c r="D687" s="6" t="str">
        <x:v>Alphabet / Google: official company information</x:v>
      </x:c>
      <x:c r="E687" s="6" t="str">
        <x:v>Alphabet / Google</x:v>
      </x:c>
      <x:c r="F687" s="6" t="str"/>
      <x:c r="G687" s="6" t="str">
        <x:v>Company disclosure</x:v>
      </x:c>
      <x:c r="H687" s="6" t="str">
        <x:v>Google Wallet, Android identity interfaces and credential presentation.</x:v>
      </x:c>
      <x:c r="I687" s="6" t="str">
        <x:v>https://wallet.google/</x:v>
      </x:c>
    </x:row>
    <x:row r="688" ht="15" hidden="0" customHeight="1">
      <x:c r="A688" s="12" t="n">
        <x:v>46</x:v>
      </x:c>
      <x:c r="B688" s="6" t="str">
        <x:v>Verifiable digital identity wallets</x:v>
      </x:c>
      <x:c r="C688" s="6" t="str">
        <x:v>c46co3</x:v>
      </x:c>
      <x:c r="D688" s="6" t="str">
        <x:v>Microsoft: official company information</x:v>
      </x:c>
      <x:c r="E688" s="6" t="str">
        <x:v>Microsoft</x:v>
      </x:c>
      <x:c r="F688" s="6" t="str"/>
      <x:c r="G688" s="6" t="str">
        <x:v>Company disclosure</x:v>
      </x:c>
      <x:c r="H688" s="6" t="str">
        <x:v>Entra Verified ID and enterprise credential verification infrastructure.</x:v>
      </x:c>
      <x:c r="I688" s="6" t="str">
        <x:v>https://www.microsoft.com/en-us/security/business/identity-access/microsoft-entra-verified-id</x:v>
      </x:c>
    </x:row>
    <x:row r="689" ht="15" hidden="0" customHeight="1">
      <x:c r="A689" s="12" t="n">
        <x:v>46</x:v>
      </x:c>
      <x:c r="B689" s="6" t="str">
        <x:v>Verifiable digital identity wallets</x:v>
      </x:c>
      <x:c r="C689" s="6" t="str">
        <x:v>c46co4</x:v>
      </x:c>
      <x:c r="D689" s="6" t="str">
        <x:v>Thales: official company information</x:v>
      </x:c>
      <x:c r="E689" s="6" t="str">
        <x:v>Thales</x:v>
      </x:c>
      <x:c r="F689" s="6" t="str"/>
      <x:c r="G689" s="6" t="str">
        <x:v>Company disclosure</x:v>
      </x:c>
      <x:c r="H689" s="6" t="str">
        <x:v>Government identity, digital credentials and wallet infrastructure.</x:v>
      </x:c>
      <x:c r="I689" s="6" t="str">
        <x:v>https://www.thalesgroup.com/</x:v>
      </x:c>
    </x:row>
    <x:row r="690" ht="15" hidden="0" customHeight="1">
      <x:c r="A690" s="12" t="n">
        <x:v>46</x:v>
      </x:c>
      <x:c r="B690" s="6" t="str">
        <x:v>Verifiable digital identity wallets</x:v>
      </x:c>
      <x:c r="C690" s="6" t="str">
        <x:v>c46co5</x:v>
      </x:c>
      <x:c r="D690" s="6" t="str">
        <x:v>ASSA ABLOY / HID: official company information</x:v>
      </x:c>
      <x:c r="E690" s="6" t="str">
        <x:v>ASSA ABLOY / HID</x:v>
      </x:c>
      <x:c r="F690" s="6" t="str"/>
      <x:c r="G690" s="6" t="str">
        <x:v>Company disclosure</x:v>
      </x:c>
      <x:c r="H690" s="6" t="str">
        <x:v>HID identity and credential systems; parent-listed exposure to issuing and verifying credentials.</x:v>
      </x:c>
      <x:c r="I690" s="6" t="str">
        <x:v>https://www.hidglobal.com/</x:v>
      </x:c>
    </x:row>
    <x:row r="691" ht="15" hidden="0" customHeight="1">
      <x:c r="A691" s="12" t="n">
        <x:v>46</x:v>
      </x:c>
      <x:c r="B691" s="6" t="str">
        <x:v>Verifiable digital identity wallets</x:v>
      </x:c>
      <x:c r="C691" s="6" t="str">
        <x:v>c46co6</x:v>
      </x:c>
      <x:c r="D691" s="6" t="str">
        <x:v>Orell Füssli / Procivis: official company information</x:v>
      </x:c>
      <x:c r="E691" s="6" t="str">
        <x:v>Orell Füssli / Procivis</x:v>
      </x:c>
      <x:c r="F691" s="6" t="str"/>
      <x:c r="G691" s="6" t="str">
        <x:v>Company disclosure</x:v>
      </x:c>
      <x:c r="H691" s="6" t="str">
        <x:v>Procivis wallet and credential infrastructure, owned by Orell Füssli.</x:v>
      </x:c>
      <x:c r="I691" s="6" t="str">
        <x:v>https://www.procivis.ch/about-us</x:v>
      </x:c>
    </x:row>
    <x:row r="692" ht="15" hidden="0" customHeight="1">
      <x:c r="A692" s="12" t="n">
        <x:v>46</x:v>
      </x:c>
      <x:c r="B692" s="6" t="str">
        <x:v>Verifiable digital identity wallets</x:v>
      </x:c>
      <x:c r="C692" s="6" t="str">
        <x:v>c46co7</x:v>
      </x:c>
      <x:c r="D692" s="6" t="str">
        <x:v>Giesecke+Devrient: official company information</x:v>
      </x:c>
      <x:c r="E692" s="6" t="str">
        <x:v>Giesecke+Devrient</x:v>
      </x:c>
      <x:c r="F692" s="6" t="str"/>
      <x:c r="G692" s="6" t="str">
        <x:v>Company disclosure</x:v>
      </x:c>
      <x:c r="H692" s="6" t="str">
        <x:v>Digital identity, secure credentials and wallet-related infrastructure.</x:v>
      </x:c>
      <x:c r="I692" s="6" t="str">
        <x:v>https://www.gi-de.com/</x:v>
      </x:c>
    </x:row>
    <x:row r="693" ht="15" hidden="0" customHeight="1">
      <x:c r="A693" s="12" t="n">
        <x:v>46</x:v>
      </x:c>
      <x:c r="B693" s="6" t="str">
        <x:v>Verifiable digital identity wallets</x:v>
      </x:c>
      <x:c r="C693" s="6" t="str">
        <x:v>c46co8</x:v>
      </x:c>
      <x:c r="D693" s="6" t="str">
        <x:v>IDEMIA: official company information</x:v>
      </x:c>
      <x:c r="E693" s="6" t="str">
        <x:v>IDEMIA</x:v>
      </x:c>
      <x:c r="F693" s="6" t="str"/>
      <x:c r="G693" s="6" t="str">
        <x:v>Company disclosure</x:v>
      </x:c>
      <x:c r="H693" s="6" t="str">
        <x:v>Government and enterprise identity technology; solutions vary by business unit.</x:v>
      </x:c>
      <x:c r="I693" s="6" t="str">
        <x:v>https://www.idemia.com/</x:v>
      </x:c>
    </x:row>
    <x:row r="694" ht="15" hidden="0" customHeight="1">
      <x:c r="A694" s="12" t="n">
        <x:v>46</x:v>
      </x:c>
      <x:c r="B694" s="6" t="str">
        <x:v>Verifiable digital identity wallets</x:v>
      </x:c>
      <x:c r="C694" s="6" t="str">
        <x:v>c46co9</x:v>
      </x:c>
      <x:c r="D694" s="6" t="str">
        <x:v>Signicat: official company information</x:v>
      </x:c>
      <x:c r="E694" s="6" t="str">
        <x:v>Signicat</x:v>
      </x:c>
      <x:c r="F694" s="6" t="str"/>
      <x:c r="G694" s="6" t="str">
        <x:v>Company disclosure</x:v>
      </x:c>
      <x:c r="H694" s="6" t="str">
        <x:v>Identity orchestration, authentication and digital-credential integration.</x:v>
      </x:c>
      <x:c r="I694" s="6" t="str">
        <x:v>https://www.signicat.com/</x:v>
      </x:c>
    </x:row>
    <x:row r="695" ht="15" hidden="0" customHeight="1">
      <x:c r="A695" s="12" t="n">
        <x:v>46</x:v>
      </x:c>
      <x:c r="B695" s="6" t="str">
        <x:v>Verifiable digital identity wallets</x:v>
      </x:c>
      <x:c r="C695" s="6" t="str">
        <x:v>c46co10</x:v>
      </x:c>
      <x:c r="D695" s="6" t="str">
        <x:v>SpruceID: official company information</x:v>
      </x:c>
      <x:c r="E695" s="6" t="str">
        <x:v>SpruceID</x:v>
      </x:c>
      <x:c r="F695" s="6" t="str"/>
      <x:c r="G695" s="6" t="str">
        <x:v>Company disclosure</x:v>
      </x:c>
      <x:c r="H695" s="6" t="str">
        <x:v>Verifiable credential and digital identity wallet technology.</x:v>
      </x:c>
      <x:c r="I695" s="6" t="str">
        <x:v>https://www.spruceid.com/</x:v>
      </x:c>
    </x:row>
    <x:row r="696" ht="15" hidden="0" customHeight="1">
      <x:c r="A696" s="12" t="n">
        <x:v>47</x:v>
      </x:c>
      <x:c r="B696" s="6" t="str">
        <x:v>Tokenized real-world assets</x:v>
      </x:c>
      <x:c r="C696" s="6" t="str">
        <x:v>c47a</x:v>
      </x:c>
      <x:c r="D696" s="6" t="str">
        <x:v>RWA Report 2026</x:v>
      </x:c>
      <x:c r="E696" s="6" t="str">
        <x:v>CoinGecko</x:v>
      </x:c>
      <x:c r="F696" s="6" t="str">
        <x:v>2026-05-13</x:v>
      </x:c>
      <x:c r="G696" s="6" t="str">
        <x:v>Primary market-data research</x:v>
      </x:c>
      <x:c r="H696" s="6" t="str">
        <x:v>Defined non-stablecoin RWA market $5.42 billion at start 2025 to $19.32 billion 31 March 2026.</x:v>
      </x:c>
      <x:c r="I696" s="6" t="str">
        <x:v>https://www.coingecko.com/research/publications/rwa-report-2026</x:v>
      </x:c>
    </x:row>
    <x:row r="697" ht="15" hidden="0" customHeight="1">
      <x:c r="A697" s="12" t="n">
        <x:v>47</x:v>
      </x:c>
      <x:c r="B697" s="6" t="str">
        <x:v>Tokenized real-world assets</x:v>
      </x:c>
      <x:c r="C697" s="6" t="str">
        <x:v>c47b</x:v>
      </x:c>
      <x:c r="D697" s="6" t="str">
        <x:v>Tokenization 2030: Wall Street On-Chain</x:v>
      </x:c>
      <x:c r="E697" s="6" t="str">
        <x:v>Citi Institute</x:v>
      </x:c>
      <x:c r="F697" s="6" t="str">
        <x:v>2026-06-01</x:v>
      </x:c>
      <x:c r="G697" s="6" t="str">
        <x:v>Primary research</x:v>
      </x:c>
      <x:c r="H697" s="6" t="str">
        <x:v>2030 base $5.5 trillion, bear $2.7 trillion, bull $8.2 trillion; broad asset forecast, not historical dataset continuation.</x:v>
      </x:c>
      <x:c r="I697" s="6" t="str">
        <x:v>https://www.citigroup.com/global/insights/tokenization-2030</x:v>
      </x:c>
    </x:row>
    <x:row r="698" ht="15" hidden="0" customHeight="1">
      <x:c r="A698" s="12" t="n">
        <x:v>47</x:v>
      </x:c>
      <x:c r="B698" s="6" t="str">
        <x:v>Tokenized real-world assets</x:v>
      </x:c>
      <x:c r="C698" s="6" t="str">
        <x:v>c47c</x:v>
      </x:c>
      <x:c r="D698" s="6" t="str">
        <x:v>From ripples to waves: the transformational power of tokenizing assets</x:v>
      </x:c>
      <x:c r="E698" s="6" t="str">
        <x:v>McKinsey</x:v>
      </x:c>
      <x:c r="F698" s="6" t="str">
        <x:v>2024-06-20</x:v>
      </x:c>
      <x:c r="G698" s="6" t="str">
        <x:v>Primary research</x:v>
      </x:c>
      <x:c r="H698" s="6" t="str">
        <x:v>Conditional roughly $2 trillion 2030 estimate excluding cryptocurrencies and stablecoins; different methodology and vintage from Citi.</x:v>
      </x:c>
      <x:c r="I698" s="6" t="str">
        <x:v>https://www.mckinsey.com/industries/financial-services/our-insights/from-ripples-to-waves-the-transformational-power-of-tokenizing-assets</x:v>
      </x:c>
    </x:row>
    <x:row r="699" ht="15" hidden="0" customHeight="1">
      <x:c r="A699" s="12" t="n">
        <x:v>47</x:v>
      </x:c>
      <x:c r="B699" s="6" t="str">
        <x:v>Tokenized real-world assets</x:v>
      </x:c>
      <x:c r="C699" s="6" t="str">
        <x:v>c47d</x:v>
      </x:c>
      <x:c r="D699" s="6" t="str">
        <x:v>Securitize Completes Business Combination with Cantor Equity Partners II</x:v>
      </x:c>
      <x:c r="E699" s="6" t="str">
        <x:v>Securitize / Nasdaq press release</x:v>
      </x:c>
      <x:c r="F699" s="6" t="str">
        <x:v>2026-07-01</x:v>
      </x:c>
      <x:c r="G699" s="6" t="str">
        <x:v>Company disclosure</x:v>
      </x:c>
      <x:c r="H699" s="6" t="str">
        <x:v>Completed public listing; NYSE SECZ begins trading 2 July 2026.</x:v>
      </x:c>
      <x:c r="I699" s="6" t="str">
        <x:v>https://www.nasdaq.com/press-release/securitize-completes-business-combination-cantor-equity-partners-ii-2026-07-01</x:v>
      </x:c>
    </x:row>
    <x:row r="700" ht="15" hidden="0" customHeight="1">
      <x:c r="A700" s="12" t="n">
        <x:v>47</x:v>
      </x:c>
      <x:c r="B700" s="6" t="str">
        <x:v>Tokenized real-world assets</x:v>
      </x:c>
      <x:c r="C700" s="6" t="str">
        <x:v>c47e</x:v>
      </x:c>
      <x:c r="D700" s="6" t="str">
        <x:v>Apex Group acquires majority stake in Tokeny</x:v>
      </x:c>
      <x:c r="E700" s="6" t="str">
        <x:v>Tokeny</x:v>
      </x:c>
      <x:c r="F700" s="6" t="str"/>
      <x:c r="G700" s="6" t="str">
        <x:v>Company disclosure</x:v>
      </x:c>
      <x:c r="H700" s="6" t="str">
        <x:v>Tokeny private subsidiary/majority-owned status.</x:v>
      </x:c>
      <x:c r="I700" s="6" t="str">
        <x:v>https://tokeny.com/apex-group-acquires-majority-stake-in-tokeny-to-catalyze-widespread-industry-tokenization-adoption/</x:v>
      </x:c>
    </x:row>
    <x:row r="701" ht="15" hidden="0" customHeight="1">
      <x:c r="A701" s="12" t="n">
        <x:v>47</x:v>
      </x:c>
      <x:c r="B701" s="6" t="str">
        <x:v>Tokenized real-world assets</x:v>
      </x:c>
      <x:c r="C701" s="6" t="str">
        <x:v>c47co1</x:v>
      </x:c>
      <x:c r="D701" s="6" t="str">
        <x:v>BlackRock: official company information</x:v>
      </x:c>
      <x:c r="E701" s="6" t="str">
        <x:v>BlackRock</x:v>
      </x:c>
      <x:c r="F701" s="6" t="str"/>
      <x:c r="G701" s="6" t="str">
        <x:v>Company disclosure</x:v>
      </x:c>
      <x:c r="H701" s="6" t="str">
        <x:v>Tokenized fund management and institutional distribution; exposure small relative to total assets managed.</x:v>
      </x:c>
      <x:c r="I701" s="6" t="str">
        <x:v>https://www.blackrock.com/</x:v>
      </x:c>
    </x:row>
    <x:row r="702" ht="15" hidden="0" customHeight="1">
      <x:c r="A702" s="12" t="n">
        <x:v>47</x:v>
      </x:c>
      <x:c r="B702" s="6" t="str">
        <x:v>Tokenized real-world assets</x:v>
      </x:c>
      <x:c r="C702" s="6" t="str">
        <x:v>c47co2</x:v>
      </x:c>
      <x:c r="D702" s="6" t="str">
        <x:v>Franklin Resources: official company information</x:v>
      </x:c>
      <x:c r="E702" s="6" t="str">
        <x:v>Franklin Resources</x:v>
      </x:c>
      <x:c r="F702" s="6" t="str"/>
      <x:c r="G702" s="6" t="str">
        <x:v>Company disclosure</x:v>
      </x:c>
      <x:c r="H702" s="6" t="str">
        <x:v>Franklin Templeton tokenized money-fund and digital-asset infrastructure.</x:v>
      </x:c>
      <x:c r="I702" s="6" t="str">
        <x:v>https://www.franklintempleton.com/</x:v>
      </x:c>
    </x:row>
    <x:row r="703" ht="15" hidden="0" customHeight="1">
      <x:c r="A703" s="12" t="n">
        <x:v>47</x:v>
      </x:c>
      <x:c r="B703" s="6" t="str">
        <x:v>Tokenized real-world assets</x:v>
      </x:c>
      <x:c r="C703" s="6" t="str">
        <x:v>c47co3</x:v>
      </x:c>
      <x:c r="D703" s="6" t="str">
        <x:v>WisdomTree: official company information</x:v>
      </x:c>
      <x:c r="E703" s="6" t="str">
        <x:v>WisdomTree</x:v>
      </x:c>
      <x:c r="F703" s="6" t="str"/>
      <x:c r="G703" s="6" t="str">
        <x:v>Company disclosure</x:v>
      </x:c>
      <x:c r="H703" s="6" t="str">
        <x:v>Digital funds, tokenized assets and distribution platforms.</x:v>
      </x:c>
      <x:c r="I703" s="6" t="str">
        <x:v>https://www.wisdomtree.com/</x:v>
      </x:c>
    </x:row>
    <x:row r="704" ht="15" hidden="0" customHeight="1">
      <x:c r="A704" s="12" t="n">
        <x:v>47</x:v>
      </x:c>
      <x:c r="B704" s="6" t="str">
        <x:v>Tokenized real-world assets</x:v>
      </x:c>
      <x:c r="C704" s="6" t="str">
        <x:v>c47co4</x:v>
      </x:c>
      <x:c r="D704" s="6" t="str">
        <x:v>JPMorgan Chase: official company information</x:v>
      </x:c>
      <x:c r="E704" s="6" t="str">
        <x:v>JPMorgan Chase</x:v>
      </x:c>
      <x:c r="F704" s="6" t="str"/>
      <x:c r="G704" s="6" t="str">
        <x:v>Company disclosure</x:v>
      </x:c>
      <x:c r="H704" s="6" t="str">
        <x:v>Institutional tokenization, collateral and bank-ledger infrastructure.</x:v>
      </x:c>
      <x:c r="I704" s="6" t="str">
        <x:v>https://www.jpmorgan.com/kinexys</x:v>
      </x:c>
    </x:row>
    <x:row r="705" ht="15" hidden="0" customHeight="1">
      <x:c r="A705" s="12" t="n">
        <x:v>47</x:v>
      </x:c>
      <x:c r="B705" s="6" t="str">
        <x:v>Tokenized real-world assets</x:v>
      </x:c>
      <x:c r="C705" s="6" t="str">
        <x:v>c47co5</x:v>
      </x:c>
      <x:c r="D705" s="6" t="str">
        <x:v>BNY: official company information</x:v>
      </x:c>
      <x:c r="E705" s="6" t="str">
        <x:v>BNY</x:v>
      </x:c>
      <x:c r="F705" s="6" t="str"/>
      <x:c r="G705" s="6" t="str">
        <x:v>Company disclosure</x:v>
      </x:c>
      <x:c r="H705" s="6" t="str">
        <x:v>Custody, fund services and digital-asset infrastructure; enabling exposure.</x:v>
      </x:c>
      <x:c r="I705" s="6" t="str">
        <x:v>https://www.bny.com/</x:v>
      </x:c>
    </x:row>
    <x:row r="706" ht="15" hidden="0" customHeight="1">
      <x:c r="A706" s="12" t="n">
        <x:v>47</x:v>
      </x:c>
      <x:c r="B706" s="6" t="str">
        <x:v>Tokenized real-world assets</x:v>
      </x:c>
      <x:c r="C706" s="6" t="str">
        <x:v>c47co6</x:v>
      </x:c>
      <x:c r="D706" s="6" t="str">
        <x:v>Broadridge Financial Solutions: official company information</x:v>
      </x:c>
      <x:c r="E706" s="6" t="str">
        <x:v>Broadridge Financial Solutions</x:v>
      </x:c>
      <x:c r="F706" s="6" t="str"/>
      <x:c r="G706" s="6" t="str">
        <x:v>Company disclosure</x:v>
      </x:c>
      <x:c r="H706" s="6" t="str">
        <x:v>Distributed-ledger repo and post-trade processing infrastructure.</x:v>
      </x:c>
      <x:c r="I706" s="6" t="str">
        <x:v>https://www.broadridge.com/</x:v>
      </x:c>
    </x:row>
    <x:row r="707" ht="15" hidden="0" customHeight="1">
      <x:c r="A707" s="12" t="n">
        <x:v>47</x:v>
      </x:c>
      <x:c r="B707" s="6" t="str">
        <x:v>Tokenized real-world assets</x:v>
      </x:c>
      <x:c r="C707" s="6" t="str">
        <x:v>c47co7</x:v>
      </x:c>
      <x:c r="D707" s="6" t="str">
        <x:v>Securitize: official company information</x:v>
      </x:c>
      <x:c r="E707" s="6" t="str">
        <x:v>Securitize</x:v>
      </x:c>
      <x:c r="F707" s="6" t="str"/>
      <x:c r="G707" s="6" t="str">
        <x:v>Company disclosure</x:v>
      </x:c>
      <x:c r="H707" s="6" t="str">
        <x:v>Tokenized securities issuance, transfer-agent and distribution technology; public since July 2026.</x:v>
      </x:c>
      <x:c r="I707" s="6" t="str">
        <x:v>https://securitize.io/</x:v>
      </x:c>
    </x:row>
    <x:row r="708" ht="15" hidden="0" customHeight="1">
      <x:c r="A708" s="12" t="n">
        <x:v>47</x:v>
      </x:c>
      <x:c r="B708" s="6" t="str">
        <x:v>Tokenized real-world assets</x:v>
      </x:c>
      <x:c r="C708" s="6" t="str">
        <x:v>c47co8</x:v>
      </x:c>
      <x:c r="D708" s="6" t="str">
        <x:v>Hamilton Lane: official company information</x:v>
      </x:c>
      <x:c r="E708" s="6" t="str">
        <x:v>Hamilton Lane</x:v>
      </x:c>
      <x:c r="F708" s="6" t="str"/>
      <x:c r="G708" s="6" t="str">
        <x:v>Company disclosure</x:v>
      </x:c>
      <x:c r="H708" s="6" t="str">
        <x:v>Alternative investment products distributed through tokenized access channels.</x:v>
      </x:c>
      <x:c r="I708" s="6" t="str">
        <x:v>https://www.hamiltonlane.com/</x:v>
      </x:c>
    </x:row>
    <x:row r="709" ht="15" hidden="0" customHeight="1">
      <x:c r="A709" s="12" t="n">
        <x:v>47</x:v>
      </x:c>
      <x:c r="B709" s="6" t="str">
        <x:v>Tokenized real-world assets</x:v>
      </x:c>
      <x:c r="C709" s="6" t="str">
        <x:v>c47co9</x:v>
      </x:c>
      <x:c r="D709" s="6" t="str">
        <x:v>Ondo Finance: official company information</x:v>
      </x:c>
      <x:c r="E709" s="6" t="str">
        <x:v>Ondo Finance</x:v>
      </x:c>
      <x:c r="F709" s="6" t="str"/>
      <x:c r="G709" s="6" t="str">
        <x:v>Company disclosure</x:v>
      </x:c>
      <x:c r="H709" s="6" t="str">
        <x:v>Tokenized Treasury and asset products; ONDO token is not publicly listed company equity.</x:v>
      </x:c>
      <x:c r="I709" s="6" t="str">
        <x:v>https://ondo.finance/</x:v>
      </x:c>
    </x:row>
    <x:row r="710" ht="15" hidden="0" customHeight="1">
      <x:c r="A710" s="12" t="n">
        <x:v>47</x:v>
      </x:c>
      <x:c r="B710" s="6" t="str">
        <x:v>Tokenized real-world assets</x:v>
      </x:c>
      <x:c r="C710" s="6" t="str">
        <x:v>c47co10</x:v>
      </x:c>
      <x:c r="D710" s="6" t="str">
        <x:v>Digital Asset: official company information</x:v>
      </x:c>
      <x:c r="E710" s="6" t="str">
        <x:v>Digital Asset</x:v>
      </x:c>
      <x:c r="F710" s="6" t="str"/>
      <x:c r="G710" s="6" t="str">
        <x:v>Company disclosure</x:v>
      </x:c>
      <x:c r="H710" s="6" t="str">
        <x:v>Institutional ledger and smart-contract infrastructure, including the Canton ecosystem.</x:v>
      </x:c>
      <x:c r="I710" s="6" t="str">
        <x:v>https://www.digitalasset.com/</x:v>
      </x:c>
    </x:row>
    <x:row r="711" ht="15" hidden="0" customHeight="1">
      <x:c r="A711" s="12" t="n">
        <x:v>47</x:v>
      </x:c>
      <x:c r="B711" s="6" t="str">
        <x:v>Tokenized real-world assets</x:v>
      </x:c>
      <x:c r="C711" s="6" t="str">
        <x:v>c47co11</x:v>
      </x:c>
      <x:c r="D711" s="6" t="str">
        <x:v>Tokeny / Apex Group: official company information</x:v>
      </x:c>
      <x:c r="E711" s="6" t="str">
        <x:v>Tokeny / Apex Group</x:v>
      </x:c>
      <x:c r="F711" s="6" t="str"/>
      <x:c r="G711" s="6" t="str">
        <x:v>Company disclosure</x:v>
      </x:c>
      <x:c r="H711" s="6" t="str">
        <x:v>Tokenization infrastructure; majority-owned by privately held Apex Group.</x:v>
      </x:c>
      <x:c r="I711" s="6" t="str">
        <x:v>https://tokeny.com/</x:v>
      </x:c>
    </x:row>
    <x:row r="712" ht="15" hidden="0" customHeight="1">
      <x:c r="A712" s="12" t="n">
        <x:v>47</x:v>
      </x:c>
      <x:c r="B712" s="6" t="str">
        <x:v>Tokenized real-world assets</x:v>
      </x:c>
      <x:c r="C712" s="6" t="str">
        <x:v>c47co12</x:v>
      </x:c>
      <x:c r="D712" s="6" t="str">
        <x:v>Fireblocks: official company information</x:v>
      </x:c>
      <x:c r="E712" s="6" t="str">
        <x:v>Fireblocks</x:v>
      </x:c>
      <x:c r="F712" s="6" t="str"/>
      <x:c r="G712" s="6" t="str">
        <x:v>Company disclosure</x:v>
      </x:c>
      <x:c r="H712" s="6" t="str">
        <x:v>Digital-asset custody and transaction infrastructure used by token issuers and institutions.</x:v>
      </x:c>
      <x:c r="I712" s="6" t="str">
        <x:v>https://www.fireblocks.com/</x:v>
      </x:c>
    </x:row>
    <x:row r="713" ht="15" hidden="0" customHeight="1">
      <x:c r="A713" s="12" t="n">
        <x:v>48</x:v>
      </x:c>
      <x:c r="B713" s="6" t="str">
        <x:v>Regulated stablecoin payment rails</x:v>
      </x:c>
      <x:c r="C713" s="6" t="str">
        <x:v>c48a</x:v>
      </x:c>
      <x:c r="D713" s="6" t="str">
        <x:v>Circle 2025 prospectus: operating indicators</x:v>
      </x:c>
      <x:c r="E713" s="6" t="str">
        <x:v>Circle / SEC</x:v>
      </x:c>
      <x:c r="F713" s="6" t="str">
        <x:v>2025-08-15</x:v>
      </x:c>
      <x:c r="G713" s="6" t="str">
        <x:v>SEC filing</x:v>
      </x:c>
      <x:c r="H713" s="6" t="str">
        <x:v>USDC year-end circulation 2022 $44.554 billion and 2023 $24.412 billion.</x:v>
      </x:c>
      <x:c r="I713" s="6" t="str">
        <x:v>https://www.sec.gov/Archives/edgar/data/1876042/000119312525181916/d839239d424b4.htm</x:v>
      </x:c>
    </x:row>
    <x:row r="714" ht="15" hidden="0" customHeight="1">
      <x:c r="A714" s="12" t="n">
        <x:v>48</x:v>
      </x:c>
      <x:c r="B714" s="6" t="str">
        <x:v>Regulated stablecoin payment rails</x:v>
      </x:c>
      <x:c r="C714" s="6" t="str">
        <x:v>c48b</x:v>
      </x:c>
      <x:c r="D714" s="6" t="str">
        <x:v>Circle 2025 Form 10-K</x:v>
      </x:c>
      <x:c r="E714" s="6" t="str">
        <x:v>Circle / SEC</x:v>
      </x:c>
      <x:c r="F714" s="6" t="str"/>
      <x:c r="G714" s="6" t="str">
        <x:v>SEC filing</x:v>
      </x:c>
      <x:c r="H714" s="6" t="str">
        <x:v>2024 $43.857 billion and 2025 $75.266 billion USDC circulation; reserve-income and platform definitions.</x:v>
      </x:c>
      <x:c r="I714" s="6" t="str">
        <x:v>https://www.sec.gov/Archives/edgar/data/1876042/000187604226000062/crcl-20251231.htm</x:v>
      </x:c>
    </x:row>
    <x:row r="715" ht="15" hidden="0" customHeight="1">
      <x:c r="A715" s="12" t="n">
        <x:v>48</x:v>
      </x:c>
      <x:c r="B715" s="6" t="str">
        <x:v>Regulated stablecoin payment rails</x:v>
      </x:c>
      <x:c r="C715" s="6" t="str">
        <x:v>c48c</x:v>
      </x:c>
      <x:c r="D715" s="6" t="str">
        <x:v>Circle Reports Second Quarter 2026 Results</x:v>
      </x:c>
      <x:c r="E715" s="6" t="str">
        <x:v>Circle</x:v>
      </x:c>
      <x:c r="F715" s="6" t="str">
        <x:v>2026-08-05</x:v>
      </x:c>
      <x:c r="G715" s="6" t="str">
        <x:v>Company disclosure</x:v>
      </x:c>
      <x:c r="H715" s="6" t="str">
        <x:v>June 2026 USDC circulation $73.3 billion, up 19% year-on-year; stock not payments.</x:v>
      </x:c>
      <x:c r="I715" s="6" t="str">
        <x:v>https://www.circle.com/pressroom/circle-reports-second-quarter-2026-results</x:v>
      </x:c>
    </x:row>
    <x:row r="716" ht="15" hidden="0" customHeight="1">
      <x:c r="A716" s="12" t="n">
        <x:v>48</x:v>
      </x:c>
      <x:c r="B716" s="6" t="str">
        <x:v>Regulated stablecoin payment rails</x:v>
      </x:c>
      <x:c r="C716" s="6" t="str">
        <x:v>c48d</x:v>
      </x:c>
      <x:c r="D716" s="6" t="str">
        <x:v>Fiserv Digital Asset Platform Goes Live</x:v>
      </x:c>
      <x:c r="E716" s="6" t="str">
        <x:v>Fiserv</x:v>
      </x:c>
      <x:c r="F716" s="6" t="str">
        <x:v>2026-10-01</x:v>
      </x:c>
      <x:c r="G716" s="6" t="str">
        <x:v>Company disclosure</x:v>
      </x:c>
      <x:c r="H716" s="6" t="str">
        <x:v>Live financial-institution infrastructure and current Nasdaq:FISV status.</x:v>
      </x:c>
      <x:c r="I716" s="6" t="str">
        <x:v>https://investors.fiserv.com/news-releases/news-release-details/fiserv-digital-asset-platform-goes-live-financial-institution</x:v>
      </x:c>
    </x:row>
    <x:row r="717" ht="15" hidden="0" customHeight="1">
      <x:c r="A717" s="12" t="n">
        <x:v>48</x:v>
      </x:c>
      <x:c r="B717" s="6" t="str">
        <x:v>Regulated stablecoin payment rails</x:v>
      </x:c>
      <x:c r="C717" s="6" t="str">
        <x:v>c48e</x:v>
      </x:c>
      <x:c r="D717" s="6" t="str">
        <x:v>Stablecoins 2030: Web3 to Wall Street</x:v>
      </x:c>
      <x:c r="E717" s="6" t="str">
        <x:v>Citi Institute</x:v>
      </x:c>
      <x:c r="F717" s="6" t="str">
        <x:v>2025-09-25</x:v>
      </x:c>
      <x:c r="G717" s="6" t="str">
        <x:v>Primary research</x:v>
      </x:c>
      <x:c r="H717" s="6" t="str">
        <x:v>2030 global stablecoin issuance base case $1.9 trillion and bull case $4 trillion; much broader than USDC and not payment volume.</x:v>
      </x:c>
      <x:c r="I717" s="6" t="str">
        <x:v>https://www.citigroup.com/global/insights/stablecoins-2030</x:v>
      </x:c>
    </x:row>
    <x:row r="718" ht="15" hidden="0" customHeight="1">
      <x:c r="A718" s="12" t="n">
        <x:v>48</x:v>
      </x:c>
      <x:c r="B718" s="6" t="str">
        <x:v>Regulated stablecoin payment rails</x:v>
      </x:c>
      <x:c r="C718" s="6" t="str">
        <x:v>c48co1</x:v>
      </x:c>
      <x:c r="D718" s="6" t="str">
        <x:v>Circle Internet Group: official company information</x:v>
      </x:c>
      <x:c r="E718" s="6" t="str">
        <x:v>Circle Internet Group</x:v>
      </x:c>
      <x:c r="F718" s="6" t="str"/>
      <x:c r="G718" s="6" t="str">
        <x:v>Company disclosure</x:v>
      </x:c>
      <x:c r="H718" s="6" t="str">
        <x:v>USDC issuance, reserve income and institutional payment/network infrastructure.</x:v>
      </x:c>
      <x:c r="I718" s="6" t="str">
        <x:v>https://www.circle.com/</x:v>
      </x:c>
    </x:row>
    <x:row r="719" ht="15" hidden="0" customHeight="1">
      <x:c r="A719" s="12" t="n">
        <x:v>48</x:v>
      </x:c>
      <x:c r="B719" s="6" t="str">
        <x:v>Regulated stablecoin payment rails</x:v>
      </x:c>
      <x:c r="C719" s="6" t="str">
        <x:v>c48co2</x:v>
      </x:c>
      <x:c r="D719" s="6" t="str">
        <x:v>Coinbase: official company information</x:v>
      </x:c>
      <x:c r="E719" s="6" t="str">
        <x:v>Coinbase</x:v>
      </x:c>
      <x:c r="F719" s="6" t="str"/>
      <x:c r="G719" s="6" t="str">
        <x:v>Company disclosure</x:v>
      </x:c>
      <x:c r="H719" s="6" t="str">
        <x:v>Stablecoin distribution, custody and transaction services; revenue-sharing exposure to USDC.</x:v>
      </x:c>
      <x:c r="I719" s="6" t="str">
        <x:v>https://www.coinbase.com/</x:v>
      </x:c>
    </x:row>
    <x:row r="720" ht="15" hidden="0" customHeight="1">
      <x:c r="A720" s="12" t="n">
        <x:v>48</x:v>
      </x:c>
      <x:c r="B720" s="6" t="str">
        <x:v>Regulated stablecoin payment rails</x:v>
      </x:c>
      <x:c r="C720" s="6" t="str">
        <x:v>c48co3</x:v>
      </x:c>
      <x:c r="D720" s="6" t="str">
        <x:v>Visa: official company information</x:v>
      </x:c>
      <x:c r="E720" s="6" t="str">
        <x:v>Visa</x:v>
      </x:c>
      <x:c r="F720" s="6" t="str"/>
      <x:c r="G720" s="6" t="str">
        <x:v>Company disclosure</x:v>
      </x:c>
      <x:c r="H720" s="6" t="str">
        <x:v>Settlement and stablecoin integration with existing payment networks; diversified exposure.</x:v>
      </x:c>
      <x:c r="I720" s="6" t="str">
        <x:v>https://usa.visa.com/</x:v>
      </x:c>
    </x:row>
    <x:row r="721" ht="15" hidden="0" customHeight="1">
      <x:c r="A721" s="12" t="n">
        <x:v>48</x:v>
      </x:c>
      <x:c r="B721" s="6" t="str">
        <x:v>Regulated stablecoin payment rails</x:v>
      </x:c>
      <x:c r="C721" s="6" t="str">
        <x:v>c48co4</x:v>
      </x:c>
      <x:c r="D721" s="6" t="str">
        <x:v>Mastercard: official company information</x:v>
      </x:c>
      <x:c r="E721" s="6" t="str">
        <x:v>Mastercard</x:v>
      </x:c>
      <x:c r="F721" s="6" t="str"/>
      <x:c r="G721" s="6" t="str">
        <x:v>Company disclosure</x:v>
      </x:c>
      <x:c r="H721" s="6" t="str">
        <x:v>Network, compliance and digital-asset payment integrations.</x:v>
      </x:c>
      <x:c r="I721" s="6" t="str">
        <x:v>https://www.mastercard.com/</x:v>
      </x:c>
    </x:row>
    <x:row r="722" ht="15" hidden="0" customHeight="1">
      <x:c r="A722" s="12" t="n">
        <x:v>48</x:v>
      </x:c>
      <x:c r="B722" s="6" t="str">
        <x:v>Regulated stablecoin payment rails</x:v>
      </x:c>
      <x:c r="C722" s="6" t="str">
        <x:v>c48co5</x:v>
      </x:c>
      <x:c r="D722" s="6" t="str">
        <x:v>PayPal: official company information</x:v>
      </x:c>
      <x:c r="E722" s="6" t="str">
        <x:v>PayPal</x:v>
      </x:c>
      <x:c r="F722" s="6" t="str"/>
      <x:c r="G722" s="6" t="str">
        <x:v>Company disclosure</x:v>
      </x:c>
      <x:c r="H722" s="6" t="str">
        <x:v>PYUSD distribution and merchant/payment integrations; issuer arrangements matter.</x:v>
      </x:c>
      <x:c r="I722" s="6" t="str">
        <x:v>https://www.paypal.com/</x:v>
      </x:c>
    </x:row>
    <x:row r="723" ht="15" hidden="0" customHeight="1">
      <x:c r="A723" s="12" t="n">
        <x:v>48</x:v>
      </x:c>
      <x:c r="B723" s="6" t="str">
        <x:v>Regulated stablecoin payment rails</x:v>
      </x:c>
      <x:c r="C723" s="6" t="str">
        <x:v>c48co6</x:v>
      </x:c>
      <x:c r="D723" s="6" t="str">
        <x:v>Fiserv: official company information</x:v>
      </x:c>
      <x:c r="E723" s="6" t="str">
        <x:v>Fiserv</x:v>
      </x:c>
      <x:c r="F723" s="6" t="str"/>
      <x:c r="G723" s="6" t="str">
        <x:v>Company disclosure</x:v>
      </x:c>
      <x:c r="H723" s="6" t="str">
        <x:v>Bank and merchant digital-asset infrastructure; current ticker FISV, not the former FI.</x:v>
      </x:c>
      <x:c r="I723" s="6" t="str">
        <x:v>https://investors.fiserv.com/</x:v>
      </x:c>
    </x:row>
    <x:row r="724" ht="15" hidden="0" customHeight="1">
      <x:c r="A724" s="12" t="n">
        <x:v>48</x:v>
      </x:c>
      <x:c r="B724" s="6" t="str">
        <x:v>Regulated stablecoin payment rails</x:v>
      </x:c>
      <x:c r="C724" s="6" t="str">
        <x:v>c48co7</x:v>
      </x:c>
      <x:c r="D724" s="6" t="str">
        <x:v>Stripe / Bridge: official company information</x:v>
      </x:c>
      <x:c r="E724" s="6" t="str">
        <x:v>Stripe / Bridge</x:v>
      </x:c>
      <x:c r="F724" s="6" t="str"/>
      <x:c r="G724" s="6" t="str">
        <x:v>Company disclosure</x:v>
      </x:c>
      <x:c r="H724" s="6" t="str">
        <x:v>Stripe-owned Bridge provides stablecoin infrastructure and payment orchestration.</x:v>
      </x:c>
      <x:c r="I724" s="6" t="str">
        <x:v>https://stripe.com/</x:v>
      </x:c>
    </x:row>
    <x:row r="725" ht="15" hidden="0" customHeight="1">
      <x:c r="A725" s="12" t="n">
        <x:v>48</x:v>
      </x:c>
      <x:c r="B725" s="6" t="str">
        <x:v>Regulated stablecoin payment rails</x:v>
      </x:c>
      <x:c r="C725" s="6" t="str">
        <x:v>c48co8</x:v>
      </x:c>
      <x:c r="D725" s="6" t="str">
        <x:v>Paxos: official company information</x:v>
      </x:c>
      <x:c r="E725" s="6" t="str">
        <x:v>Paxos</x:v>
      </x:c>
      <x:c r="F725" s="6" t="str"/>
      <x:c r="G725" s="6" t="str">
        <x:v>Company disclosure</x:v>
      </x:c>
      <x:c r="H725" s="6" t="str">
        <x:v>Regulated stablecoin issuance and infrastructure for partners.</x:v>
      </x:c>
      <x:c r="I725" s="6" t="str">
        <x:v>https://www.paxos.com/</x:v>
      </x:c>
    </x:row>
    <x:row r="726" ht="15" hidden="0" customHeight="1">
      <x:c r="A726" s="12" t="n">
        <x:v>48</x:v>
      </x:c>
      <x:c r="B726" s="6" t="str">
        <x:v>Regulated stablecoin payment rails</x:v>
      </x:c>
      <x:c r="C726" s="6" t="str">
        <x:v>c48co9</x:v>
      </x:c>
      <x:c r="D726" s="6" t="str">
        <x:v>Ripple: official company information</x:v>
      </x:c>
      <x:c r="E726" s="6" t="str">
        <x:v>Ripple</x:v>
      </x:c>
      <x:c r="F726" s="6" t="str"/>
      <x:c r="G726" s="6" t="str">
        <x:v>Company disclosure</x:v>
      </x:c>
      <x:c r="H726" s="6" t="str">
        <x:v>Institutional payment infrastructure and RLUSD stablecoin ecosystem; XRP is not company equity.</x:v>
      </x:c>
      <x:c r="I726" s="6" t="str">
        <x:v>https://ripple.com/</x:v>
      </x:c>
    </x:row>
    <x:row r="727" ht="15" hidden="0" customHeight="1">
      <x:c r="A727" s="12" t="n">
        <x:v>48</x:v>
      </x:c>
      <x:c r="B727" s="6" t="str">
        <x:v>Regulated stablecoin payment rails</x:v>
      </x:c>
      <x:c r="C727" s="6" t="str">
        <x:v>c48co10</x:v>
      </x:c>
      <x:c r="D727" s="6" t="str">
        <x:v>Fireblocks: official company information</x:v>
      </x:c>
      <x:c r="E727" s="6" t="str">
        <x:v>Fireblocks</x:v>
      </x:c>
      <x:c r="F727" s="6" t="str"/>
      <x:c r="G727" s="6" t="str">
        <x:v>Company disclosure</x:v>
      </x:c>
      <x:c r="H727" s="6" t="str">
        <x:v>Wallet, custody and transaction infrastructure for stablecoin operations.</x:v>
      </x:c>
      <x:c r="I727" s="6" t="str">
        <x:v>https://www.fireblocks.com/</x:v>
      </x:c>
    </x:row>
    <x:row r="728" ht="15" hidden="0" customHeight="1">
      <x:c r="A728" s="12" t="n">
        <x:v>49</x:v>
      </x:c>
      <x:c r="B728" s="6" t="str">
        <x:v>Earth-observation analytics</x:v>
      </x:c>
      <x:c r="C728" s="6" t="str">
        <x:v>c49a</x:v>
      </x:c>
      <x:c r="D728" s="6" t="str">
        <x:v>Planet fiscal 2022 results</x:v>
      </x:c>
      <x:c r="E728" s="6" t="str">
        <x:v>Planet / SEC</x:v>
      </x:c>
      <x:c r="F728" s="6" t="str">
        <x:v>2022-03-31</x:v>
      </x:c>
      <x:c r="G728" s="6" t="str">
        <x:v>Company filing</x:v>
      </x:c>
      <x:c r="H728" s="6" t="str">
        <x:v>FY2021 revenue $113.168 million and FY2022 $131.209 million.</x:v>
      </x:c>
      <x:c r="I728" s="6" t="str">
        <x:v>https://www.sec.gov/Archives/edgar/data/1836833/000183683322000008/exhibit991.htm</x:v>
      </x:c>
    </x:row>
    <x:row r="729" ht="15" hidden="0" customHeight="1">
      <x:c r="A729" s="12" t="n">
        <x:v>49</x:v>
      </x:c>
      <x:c r="B729" s="6" t="str">
        <x:v>Earth-observation analytics</x:v>
      </x:c>
      <x:c r="C729" s="6" t="str">
        <x:v>c49b</x:v>
      </x:c>
      <x:c r="D729" s="6" t="str">
        <x:v>Planet 2024 proxy statement: fiscal performance</x:v>
      </x:c>
      <x:c r="E729" s="6" t="str">
        <x:v>Planet / SEC</x:v>
      </x:c>
      <x:c r="F729" s="6" t="str">
        <x:v>2024-05-29</x:v>
      </x:c>
      <x:c r="G729" s="6" t="str">
        <x:v>Company filing</x:v>
      </x:c>
      <x:c r="H729" s="6" t="str">
        <x:v>FY2023 $191.3 million and FY2024 $220.7 million revenue.</x:v>
      </x:c>
      <x:c r="I729" s="6" t="str">
        <x:v>https://www.sec.gov/Archives/edgar/data/1836833/000183683324000056/pl-20240529.htm</x:v>
      </x:c>
    </x:row>
    <x:row r="730" ht="15" hidden="0" customHeight="1">
      <x:c r="A730" s="12" t="n">
        <x:v>49</x:v>
      </x:c>
      <x:c r="B730" s="6" t="str">
        <x:v>Earth-observation analytics</x:v>
      </x:c>
      <x:c r="C730" s="6" t="str">
        <x:v>c49c</x:v>
      </x:c>
      <x:c r="D730" s="6" t="str">
        <x:v>Planet Reports Fourth Quarter and Full Fiscal Year 2026 Results</x:v>
      </x:c>
      <x:c r="E730" s="6" t="str">
        <x:v>Planet</x:v>
      </x:c>
      <x:c r="F730" s="6" t="str">
        <x:v>2026-03-19</x:v>
      </x:c>
      <x:c r="G730" s="6" t="str">
        <x:v>Company disclosure</x:v>
      </x:c>
      <x:c r="H730" s="6" t="str">
        <x:v>FY2026 $307.727 million versus FY2025 $244.352 million, fiscal dates and business mix.</x:v>
      </x:c>
      <x:c r="I730" s="6" t="str">
        <x:v>https://s29.q4cdn.com/903184914/files/doc_earnings/2026/q4/earnings-result/PL-Q4-26-Press-Release.pdf</x:v>
      </x:c>
    </x:row>
    <x:row r="731" ht="15" hidden="0" customHeight="1">
      <x:c r="A731" s="12" t="n">
        <x:v>49</x:v>
      </x:c>
      <x:c r="B731" s="6" t="str">
        <x:v>Earth-observation analytics</x:v>
      </x:c>
      <x:c r="C731" s="6" t="str">
        <x:v>c49d</x:v>
      </x:c>
      <x:c r="D731" s="6" t="str">
        <x:v>Planet Second Quarter of Fiscal Year 2027 Results</x:v>
      </x:c>
      <x:c r="E731" s="6" t="str">
        <x:v>Planet</x:v>
      </x:c>
      <x:c r="F731" s="6" t="str">
        <x:v>2026-09-03</x:v>
      </x:c>
      <x:c r="G731" s="6" t="str">
        <x:v>Company disclosure</x:v>
      </x:c>
      <x:c r="H731" s="6" t="str">
        <x:v>Quarter ended July 2026 $116.1 million; latest FY2027 revenue guidance $430–441 million.</x:v>
      </x:c>
      <x:c r="I731" s="6" t="str">
        <x:v>https://investors.planet.com/financials/quarterly-results/</x:v>
      </x:c>
    </x:row>
    <x:row r="732" ht="15" hidden="0" customHeight="1">
      <x:c r="A732" s="12" t="n">
        <x:v>49</x:v>
      </x:c>
      <x:c r="B732" s="6" t="str">
        <x:v>Earth-observation analytics</x:v>
      </x:c>
      <x:c r="C732" s="6" t="str">
        <x:v>c49e</x:v>
      </x:c>
      <x:c r="D732" s="6" t="str">
        <x:v>Vantor Rebrands from Maxar Intelligence</x:v>
      </x:c>
      <x:c r="E732" s="6" t="str">
        <x:v>Vantor</x:v>
      </x:c>
      <x:c r="F732" s="6" t="str">
        <x:v>2025-10-01</x:v>
      </x:c>
      <x:c r="G732" s="6" t="str">
        <x:v>Company disclosure</x:v>
      </x:c>
      <x:c r="H732" s="6" t="str">
        <x:v>Current company name; private company, not an old Maxar public ticker.</x:v>
      </x:c>
      <x:c r="I732" s="6" t="str">
        <x:v>https://vantor.com/blog/vantor-rebrands-from-maxar-intelligence-unveils-ai-powered-platform/</x:v>
      </x:c>
    </x:row>
    <x:row r="733" ht="15" hidden="0" customHeight="1">
      <x:c r="A733" s="12" t="n">
        <x:v>49</x:v>
      </x:c>
      <x:c r="B733" s="6" t="str">
        <x:v>Earth-observation analytics</x:v>
      </x:c>
      <x:c r="C733" s="6" t="str">
        <x:v>c49f</x:v>
      </x:c>
      <x:c r="D733" s="6" t="str">
        <x:v>IonQ Completes Acquisition of Capella Space</x:v>
      </x:c>
      <x:c r="E733" s="6" t="str">
        <x:v>IonQ</x:v>
      </x:c>
      <x:c r="F733" s="6" t="str">
        <x:v>2025-07-15</x:v>
      </x:c>
      <x:c r="G733" s="6" t="str">
        <x:v>Company disclosure</x:v>
      </x:c>
      <x:c r="H733" s="6" t="str">
        <x:v>Capella Space is an IonQ subsidiary, not an independent private company.</x:v>
      </x:c>
      <x:c r="I733" s="6" t="str">
        <x:v>https://www.ionq.com/news/ionq-completes-acquisition-of-capella-space-advancing-vision-for-space-based</x:v>
      </x:c>
    </x:row>
    <x:row r="734" ht="15" hidden="0" customHeight="1">
      <x:c r="A734" s="12" t="n">
        <x:v>49</x:v>
      </x:c>
      <x:c r="B734" s="6" t="str">
        <x:v>Earth-observation analytics</x:v>
      </x:c>
      <x:c r="C734" s="6" t="str">
        <x:v>c49co1</x:v>
      </x:c>
      <x:c r="D734" s="6" t="str">
        <x:v>Planet Labs: official company information</x:v>
      </x:c>
      <x:c r="E734" s="6" t="str">
        <x:v>Planet Labs</x:v>
      </x:c>
      <x:c r="F734" s="6" t="str"/>
      <x:c r="G734" s="6" t="str">
        <x:v>Company disclosure</x:v>
      </x:c>
      <x:c r="H734" s="6" t="str">
        <x:v>Recurring satellite imagery, analytics and satellite services.</x:v>
      </x:c>
      <x:c r="I734" s="6" t="str">
        <x:v>https://www.planet.com/</x:v>
      </x:c>
    </x:row>
    <x:row r="735" ht="15" hidden="0" customHeight="1">
      <x:c r="A735" s="12" t="n">
        <x:v>49</x:v>
      </x:c>
      <x:c r="B735" s="6" t="str">
        <x:v>Earth-observation analytics</x:v>
      </x:c>
      <x:c r="C735" s="6" t="str">
        <x:v>c49co2</x:v>
      </x:c>
      <x:c r="D735" s="6" t="str">
        <x:v>BlackSky: official company information</x:v>
      </x:c>
      <x:c r="E735" s="6" t="str">
        <x:v>BlackSky</x:v>
      </x:c>
      <x:c r="F735" s="6" t="str"/>
      <x:c r="G735" s="6" t="str">
        <x:v>Company disclosure</x:v>
      </x:c>
      <x:c r="H735" s="6" t="str">
        <x:v>High-revisit imagery and intelligence/analytics subscriptions.</x:v>
      </x:c>
      <x:c r="I735" s="6" t="str">
        <x:v>https://blacksky.com/</x:v>
      </x:c>
    </x:row>
    <x:row r="736" ht="15" hidden="0" customHeight="1">
      <x:c r="A736" s="12" t="n">
        <x:v>49</x:v>
      </x:c>
      <x:c r="B736" s="6" t="str">
        <x:v>Earth-observation analytics</x:v>
      </x:c>
      <x:c r="C736" s="6" t="str">
        <x:v>c49co3</x:v>
      </x:c>
      <x:c r="D736" s="6" t="str">
        <x:v>MDA Space: official company information</x:v>
      </x:c>
      <x:c r="E736" s="6" t="str">
        <x:v>MDA Space</x:v>
      </x:c>
      <x:c r="F736" s="6" t="str"/>
      <x:c r="G736" s="6" t="str">
        <x:v>Company disclosure</x:v>
      </x:c>
      <x:c r="H736" s="6" t="str">
        <x:v>Radar geospatial services, satellites and space infrastructure; diversified exposure.</x:v>
      </x:c>
      <x:c r="I736" s="6" t="str">
        <x:v>https://mda.space/</x:v>
      </x:c>
    </x:row>
    <x:row r="737" ht="15" hidden="0" customHeight="1">
      <x:c r="A737" s="12" t="n">
        <x:v>49</x:v>
      </x:c>
      <x:c r="B737" s="6" t="str">
        <x:v>Earth-observation analytics</x:v>
      </x:c>
      <x:c r="C737" s="6" t="str">
        <x:v>c49co4</x:v>
      </x:c>
      <x:c r="D737" s="6" t="str">
        <x:v>Airbus: official company information</x:v>
      </x:c>
      <x:c r="E737" s="6" t="str">
        <x:v>Airbus</x:v>
      </x:c>
      <x:c r="F737" s="6" t="str"/>
      <x:c r="G737" s="6" t="str">
        <x:v>Company disclosure</x:v>
      </x:c>
      <x:c r="H737" s="6" t="str">
        <x:v>Optical/radar imagery and geospatial intelligence within a large aerospace group.</x:v>
      </x:c>
      <x:c r="I737" s="6" t="str">
        <x:v>https://www.airbus.com/</x:v>
      </x:c>
    </x:row>
    <x:row r="738" ht="15" hidden="0" customHeight="1">
      <x:c r="A738" s="12" t="n">
        <x:v>49</x:v>
      </x:c>
      <x:c r="B738" s="6" t="str">
        <x:v>Earth-observation analytics</x:v>
      </x:c>
      <x:c r="C738" s="6" t="str">
        <x:v>c49co5</x:v>
      </x:c>
      <x:c r="D738" s="6" t="str">
        <x:v>Thales: official company information</x:v>
      </x:c>
      <x:c r="E738" s="6" t="str">
        <x:v>Thales</x:v>
      </x:c>
      <x:c r="F738" s="6" t="str"/>
      <x:c r="G738" s="6" t="str">
        <x:v>Company disclosure</x:v>
      </x:c>
      <x:c r="H738" s="6" t="str">
        <x:v>Space and geospatial intelligence infrastructure, including joint ventures; indirect diversified exposure.</x:v>
      </x:c>
      <x:c r="I738" s="6" t="str">
        <x:v>https://www.thalesgroup.com/</x:v>
      </x:c>
    </x:row>
    <x:row r="739" ht="15" hidden="0" customHeight="1">
      <x:c r="A739" s="12" t="n">
        <x:v>49</x:v>
      </x:c>
      <x:c r="B739" s="6" t="str">
        <x:v>Earth-observation analytics</x:v>
      </x:c>
      <x:c r="C739" s="6" t="str">
        <x:v>c49co6</x:v>
      </x:c>
      <x:c r="D739" s="6" t="str">
        <x:v>IonQ / Capella Space: official company information</x:v>
      </x:c>
      <x:c r="E739" s="6" t="str">
        <x:v>IonQ / Capella Space</x:v>
      </x:c>
      <x:c r="F739" s="6" t="str"/>
      <x:c r="G739" s="6" t="str">
        <x:v>Company disclosure</x:v>
      </x:c>
      <x:c r="H739" s="6" t="str">
        <x:v>Parent-listed exposure to Capella radar Earth-observation services following its 2025 acquisition.</x:v>
      </x:c>
      <x:c r="I739" s="6" t="str">
        <x:v>https://www.capellaspace.com/</x:v>
      </x:c>
    </x:row>
    <x:row r="740" ht="15" hidden="0" customHeight="1">
      <x:c r="A740" s="12" t="n">
        <x:v>49</x:v>
      </x:c>
      <x:c r="B740" s="6" t="str">
        <x:v>Earth-observation analytics</x:v>
      </x:c>
      <x:c r="C740" s="6" t="str">
        <x:v>c49co7</x:v>
      </x:c>
      <x:c r="D740" s="6" t="str">
        <x:v>Satellogic: official company information</x:v>
      </x:c>
      <x:c r="E740" s="6" t="str">
        <x:v>Satellogic</x:v>
      </x:c>
      <x:c r="F740" s="6" t="str"/>
      <x:c r="G740" s="6" t="str">
        <x:v>Company disclosure</x:v>
      </x:c>
      <x:c r="H740" s="6" t="str">
        <x:v>Earth-observation satellite imagery and monitoring services.</x:v>
      </x:c>
      <x:c r="I740" s="6" t="str">
        <x:v>https://satellogic.com/</x:v>
      </x:c>
    </x:row>
    <x:row r="741" ht="15" hidden="0" customHeight="1">
      <x:c r="A741" s="12" t="n">
        <x:v>49</x:v>
      </x:c>
      <x:c r="B741" s="6" t="str">
        <x:v>Earth-observation analytics</x:v>
      </x:c>
      <x:c r="C741" s="6" t="str">
        <x:v>c49co8</x:v>
      </x:c>
      <x:c r="D741" s="6" t="str">
        <x:v>ICEYE: official company information</x:v>
      </x:c>
      <x:c r="E741" s="6" t="str">
        <x:v>ICEYE</x:v>
      </x:c>
      <x:c r="F741" s="6" t="str"/>
      <x:c r="G741" s="6" t="str">
        <x:v>Company disclosure</x:v>
      </x:c>
      <x:c r="H741" s="6" t="str">
        <x:v>Radar satellite data, disaster monitoring and sovereign constellation services.</x:v>
      </x:c>
      <x:c r="I741" s="6" t="str">
        <x:v>https://www.iceye.com/</x:v>
      </x:c>
    </x:row>
    <x:row r="742" ht="15" hidden="0" customHeight="1">
      <x:c r="A742" s="12" t="n">
        <x:v>49</x:v>
      </x:c>
      <x:c r="B742" s="6" t="str">
        <x:v>Earth-observation analytics</x:v>
      </x:c>
      <x:c r="C742" s="6" t="str">
        <x:v>c49co9</x:v>
      </x:c>
      <x:c r="D742" s="6" t="str">
        <x:v>Vantor: official company information</x:v>
      </x:c>
      <x:c r="E742" s="6" t="str">
        <x:v>Vantor</x:v>
      </x:c>
      <x:c r="F742" s="6" t="str"/>
      <x:c r="G742" s="6" t="str">
        <x:v>Company disclosure</x:v>
      </x:c>
      <x:c r="H742" s="6" t="str">
        <x:v>Former Maxar Intelligence; satellite imagery and geospatial analytics platform.</x:v>
      </x:c>
      <x:c r="I742" s="6" t="str">
        <x:v>https://vantor.com/</x:v>
      </x:c>
    </x:row>
    <x:row r="743" ht="15" hidden="0" customHeight="1">
      <x:c r="A743" s="12" t="n">
        <x:v>49</x:v>
      </x:c>
      <x:c r="B743" s="6" t="str">
        <x:v>Earth-observation analytics</x:v>
      </x:c>
      <x:c r="C743" s="6" t="str">
        <x:v>c49co10</x:v>
      </x:c>
      <x:c r="D743" s="6" t="str">
        <x:v>GHGSat: official company information</x:v>
      </x:c>
      <x:c r="E743" s="6" t="str">
        <x:v>GHGSat</x:v>
      </x:c>
      <x:c r="F743" s="6" t="str"/>
      <x:c r="G743" s="6" t="str">
        <x:v>Company disclosure</x:v>
      </x:c>
      <x:c r="H743" s="6" t="str">
        <x:v>Satellite-based greenhouse-gas measurement and analytics.</x:v>
      </x:c>
      <x:c r="I743" s="6" t="str">
        <x:v>https://www.ghgsat.com/</x:v>
      </x:c>
    </x:row>
    <x:row r="744" ht="15" hidden="0" customHeight="1">
      <x:c r="A744" s="12" t="n">
        <x:v>49</x:v>
      </x:c>
      <x:c r="B744" s="6" t="str">
        <x:v>Earth-observation analytics</x:v>
      </x:c>
      <x:c r="C744" s="6" t="str">
        <x:v>c49co11</x:v>
      </x:c>
      <x:c r="D744" s="6" t="str">
        <x:v>Esri: official company information</x:v>
      </x:c>
      <x:c r="E744" s="6" t="str">
        <x:v>Esri</x:v>
      </x:c>
      <x:c r="F744" s="6" t="str"/>
      <x:c r="G744" s="6" t="str">
        <x:v>Company disclosure</x:v>
      </x:c>
      <x:c r="H744" s="6" t="str">
        <x:v>Geospatial software and imagery analytics used to turn observations into workflows.</x:v>
      </x:c>
      <x:c r="I744" s="6" t="str">
        <x:v>https://www.esri.com/</x:v>
      </x:c>
    </x:row>
    <x:row r="745" ht="15" hidden="0" customHeight="1">
      <x:c r="A745" s="12" t="n">
        <x:v>49</x:v>
      </x:c>
      <x:c r="B745" s="6" t="str">
        <x:v>Earth-observation analytics</x:v>
      </x:c>
      <x:c r="C745" s="6" t="str">
        <x:v>c49co12</x:v>
      </x:c>
      <x:c r="D745" s="6" t="str">
        <x:v>Satelligence: official company information</x:v>
      </x:c>
      <x:c r="E745" s="6" t="str">
        <x:v>Satelligence</x:v>
      </x:c>
      <x:c r="F745" s="6" t="str"/>
      <x:c r="G745" s="6" t="str">
        <x:v>Company disclosure</x:v>
      </x:c>
      <x:c r="H745" s="6" t="str">
        <x:v>Satellite-based supply-chain and land-use monitoring.</x:v>
      </x:c>
      <x:c r="I745" s="6" t="str">
        <x:v>https://satelligence.com/</x:v>
      </x:c>
    </x:row>
    <x:row r="746" ht="15" hidden="0" customHeight="1">
      <x:c r="A746" s="12" t="n">
        <x:v>50</x:v>
      </x:c>
      <x:c r="B746" s="6" t="str">
        <x:v>Advanced desalination and water reuse</x:v>
      </x:c>
      <x:c r="C746" s="6" t="str">
        <x:v>c50a</x:v>
      </x:c>
      <x:c r="D746" s="6" t="str">
        <x:v>GWRS: frequently asked questions</x:v>
      </x:c>
      <x:c r="E746" s="6" t="str">
        <x:v>Orange County Water District</x:v>
      </x:c>
      <x:c r="F746" s="6" t="str"/>
      <x:c r="G746" s="6" t="str">
        <x:v>Primary research</x:v>
      </x:c>
      <x:c r="H746" s="6" t="str">
        <x:v>100 MGD 2015 expansion and 130 MGD final 2023 capacity.</x:v>
      </x:c>
      <x:c r="I746" s="6" t="str">
        <x:v>https://www.ocwd.com/gwrs/frequently-asked-questions/</x:v>
      </x:c>
    </x:row>
    <x:row r="747" ht="15" hidden="0" customHeight="1">
      <x:c r="A747" s="12" t="n">
        <x:v>50</x:v>
      </x:c>
      <x:c r="B747" s="6" t="str">
        <x:v>Advanced desalination and water reuse</x:v>
      </x:c>
      <x:c r="C747" s="6" t="str">
        <x:v>c50b</x:v>
      </x:c>
      <x:c r="D747" s="6" t="str">
        <x:v>Groundwater Replenishment System</x:v>
      </x:c>
      <x:c r="E747" s="6" t="str">
        <x:v>Orange County Water District</x:v>
      </x:c>
      <x:c r="F747" s="6" t="str"/>
      <x:c r="G747" s="6" t="str">
        <x:v>Primary research</x:v>
      </x:c>
      <x:c r="H747" s="6" t="str">
        <x:v>Current 130 MGD capacity and operating advanced potable-reuse system.</x:v>
      </x:c>
      <x:c r="I747" s="6" t="str">
        <x:v>https://www.ocwd.com/gwrs/</x:v>
      </x:c>
    </x:row>
    <x:row r="748" ht="15" hidden="0" customHeight="1">
      <x:c r="A748" s="12" t="n">
        <x:v>50</x:v>
      </x:c>
      <x:c r="B748" s="6" t="str">
        <x:v>Advanced desalination and water reuse</x:v>
      </x:c>
      <x:c r="C748" s="6" t="str">
        <x:v>c50c</x:v>
      </x:c>
      <x:c r="D748" s="6" t="str">
        <x:v>Scaling Water Reuse: A Tipping Point for Municipal and Industrial Use</x:v>
      </x:c>
      <x:c r="E748" s="6" t="str">
        <x:v>World Bank</x:v>
      </x:c>
      <x:c r="F748" s="6" t="str"/>
      <x:c r="G748" s="6" t="str">
        <x:v>Primary research</x:v>
      </x:c>
      <x:c r="H748" s="6" t="str">
        <x:v>Industrial and potable reuse could expand eightfold by 2040; conditional potential and financing requirements.</x:v>
      </x:c>
      <x:c r="I748" s="6" t="str">
        <x:v>https://documents1.worldbank.org/curated/en/099052025124041274/pdf/P506854-7d49fde0-2526-4bcc-8a85-2a7d1d294ee4.pdf</x:v>
      </x:c>
    </x:row>
    <x:row r="749" ht="15" hidden="0" customHeight="1">
      <x:c r="A749" s="12" t="n">
        <x:v>50</x:v>
      </x:c>
      <x:c r="B749" s="6" t="str">
        <x:v>Advanced desalination and water reuse</x:v>
      </x:c>
      <x:c r="C749" s="6" t="str">
        <x:v>c50d</x:v>
      </x:c>
      <x:c r="D749" s="6" t="str">
        <x:v>Gradiant announces Series E financing</x:v>
      </x:c>
      <x:c r="E749" s="6" t="str">
        <x:v>Gradiant</x:v>
      </x:c>
      <x:c r="F749" s="6" t="str">
        <x:v>2026-05-18</x:v>
      </x:c>
      <x:c r="G749" s="6" t="str">
        <x:v>Company disclosure</x:v>
      </x:c>
      <x:c r="H749" s="6" t="str">
        <x:v>Current private industrial-water company and expansion financing; not actual commissioned water output.</x:v>
      </x:c>
      <x:c r="I749" s="6" t="str">
        <x:v>https://gradiant.com/</x:v>
      </x:c>
    </x:row>
    <x:row r="750" ht="15" hidden="0" customHeight="1">
      <x:c r="A750" s="12" t="n">
        <x:v>50</x:v>
      </x:c>
      <x:c r="B750" s="6" t="str">
        <x:v>Advanced desalination and water reuse</x:v>
      </x:c>
      <x:c r="C750" s="6" t="str">
        <x:v>c50co1</x:v>
      </x:c>
      <x:c r="D750" s="6" t="str">
        <x:v>Xylem: official company information</x:v>
      </x:c>
      <x:c r="E750" s="6" t="str">
        <x:v>Xylem</x:v>
      </x:c>
      <x:c r="F750" s="6" t="str"/>
      <x:c r="G750" s="6" t="str">
        <x:v>Company disclosure</x:v>
      </x:c>
      <x:c r="H750" s="6" t="str">
        <x:v>Water treatment, pumps, monitoring and reuse systems, including integrated industrial solutions.</x:v>
      </x:c>
      <x:c r="I750" s="6" t="str">
        <x:v>https://www.xylem.com/</x:v>
      </x:c>
    </x:row>
    <x:row r="751" ht="15" hidden="0" customHeight="1">
      <x:c r="A751" s="12" t="n">
        <x:v>50</x:v>
      </x:c>
      <x:c r="B751" s="6" t="str">
        <x:v>Advanced desalination and water reuse</x:v>
      </x:c>
      <x:c r="C751" s="6" t="str">
        <x:v>c50co2</x:v>
      </x:c>
      <x:c r="D751" s="6" t="str">
        <x:v>Veolia: official company information</x:v>
      </x:c>
      <x:c r="E751" s="6" t="str">
        <x:v>Veolia</x:v>
      </x:c>
      <x:c r="F751" s="6" t="str"/>
      <x:c r="G751" s="6" t="str">
        <x:v>Company disclosure</x:v>
      </x:c>
      <x:c r="H751" s="6" t="str">
        <x:v>Water operations, reuse and desalination engineering and services.</x:v>
      </x:c>
      <x:c r="I751" s="6" t="str">
        <x:v>https://www.veolia.com/</x:v>
      </x:c>
    </x:row>
    <x:row r="752" ht="15" hidden="0" customHeight="1">
      <x:c r="A752" s="12" t="n">
        <x:v>50</x:v>
      </x:c>
      <x:c r="B752" s="6" t="str">
        <x:v>Advanced desalination and water reuse</x:v>
      </x:c>
      <x:c r="C752" s="6" t="str">
        <x:v>c50co3</x:v>
      </x:c>
      <x:c r="D752" s="6" t="str">
        <x:v>Energy Recovery: official company information</x:v>
      </x:c>
      <x:c r="E752" s="6" t="str">
        <x:v>Energy Recovery</x:v>
      </x:c>
      <x:c r="F752" s="6" t="str"/>
      <x:c r="G752" s="6" t="str">
        <x:v>Company disclosure</x:v>
      </x:c>
      <x:c r="H752" s="6" t="str">
        <x:v>Pressure exchangers that recover energy in desalination and other high-pressure processes.</x:v>
      </x:c>
      <x:c r="I752" s="6" t="str">
        <x:v>https://energyrecovery.com/</x:v>
      </x:c>
    </x:row>
    <x:row r="753" ht="15" hidden="0" customHeight="1">
      <x:c r="A753" s="12" t="n">
        <x:v>50</x:v>
      </x:c>
      <x:c r="B753" s="6" t="str">
        <x:v>Advanced desalination and water reuse</x:v>
      </x:c>
      <x:c r="C753" s="6" t="str">
        <x:v>c50co4</x:v>
      </x:c>
      <x:c r="D753" s="6" t="str">
        <x:v>Pentair: official company information</x:v>
      </x:c>
      <x:c r="E753" s="6" t="str">
        <x:v>Pentair</x:v>
      </x:c>
      <x:c r="F753" s="6" t="str"/>
      <x:c r="G753" s="6" t="str">
        <x:v>Company disclosure</x:v>
      </x:c>
      <x:c r="H753" s="6" t="str">
        <x:v>Water filtration and treatment equipment; exposure spans many water applications.</x:v>
      </x:c>
      <x:c r="I753" s="6" t="str">
        <x:v>https://www.pentair.com/</x:v>
      </x:c>
    </x:row>
    <x:row r="754" ht="15" hidden="0" customHeight="1">
      <x:c r="A754" s="12" t="n">
        <x:v>50</x:v>
      </x:c>
      <x:c r="B754" s="6" t="str">
        <x:v>Advanced desalination and water reuse</x:v>
      </x:c>
      <x:c r="C754" s="6" t="str">
        <x:v>c50co5</x:v>
      </x:c>
      <x:c r="D754" s="6" t="str">
        <x:v>DuPont: official company information</x:v>
      </x:c>
      <x:c r="E754" s="6" t="str">
        <x:v>DuPont</x:v>
      </x:c>
      <x:c r="F754" s="6" t="str"/>
      <x:c r="G754" s="6" t="str">
        <x:v>Company disclosure</x:v>
      </x:c>
      <x:c r="H754" s="6" t="str">
        <x:v>Water separation membranes and treatment materials; broader industrial exposure.</x:v>
      </x:c>
      <x:c r="I754" s="6" t="str">
        <x:v>https://www.dupont.com/water.html</x:v>
      </x:c>
    </x:row>
    <x:row r="755" ht="15" hidden="0" customHeight="1">
      <x:c r="A755" s="12" t="n">
        <x:v>50</x:v>
      </x:c>
      <x:c r="B755" s="6" t="str">
        <x:v>Advanced desalination and water reuse</x:v>
      </x:c>
      <x:c r="C755" s="6" t="str">
        <x:v>c50co6</x:v>
      </x:c>
      <x:c r="D755" s="6" t="str">
        <x:v>Toray Industries: official company information</x:v>
      </x:c>
      <x:c r="E755" s="6" t="str">
        <x:v>Toray Industries</x:v>
      </x:c>
      <x:c r="F755" s="6" t="str"/>
      <x:c r="G755" s="6" t="str">
        <x:v>Company disclosure</x:v>
      </x:c>
      <x:c r="H755" s="6" t="str">
        <x:v>Reverse-osmosis membranes and water-treatment materials.</x:v>
      </x:c>
      <x:c r="I755" s="6" t="str">
        <x:v>https://www.toray.com/</x:v>
      </x:c>
    </x:row>
    <x:row r="756" ht="15" hidden="0" customHeight="1">
      <x:c r="A756" s="12" t="n">
        <x:v>50</x:v>
      </x:c>
      <x:c r="B756" s="6" t="str">
        <x:v>Advanced desalination and water reuse</x:v>
      </x:c>
      <x:c r="C756" s="6" t="str">
        <x:v>c50co7</x:v>
      </x:c>
      <x:c r="D756" s="6" t="str">
        <x:v>Kurita Water Industries: official company information</x:v>
      </x:c>
      <x:c r="E756" s="6" t="str">
        <x:v>Kurita Water Industries</x:v>
      </x:c>
      <x:c r="F756" s="6" t="str"/>
      <x:c r="G756" s="6" t="str">
        <x:v>Company disclosure</x:v>
      </x:c>
      <x:c r="H756" s="6" t="str">
        <x:v>Industrial water treatment, recycling and water-management services.</x:v>
      </x:c>
      <x:c r="I756" s="6" t="str">
        <x:v>https://www.kurita-water.com/</x:v>
      </x:c>
    </x:row>
    <x:row r="757" ht="15" hidden="0" customHeight="1">
      <x:c r="A757" s="12" t="n">
        <x:v>50</x:v>
      </x:c>
      <x:c r="B757" s="6" t="str">
        <x:v>Advanced desalination and water reuse</x:v>
      </x:c>
      <x:c r="C757" s="6" t="str">
        <x:v>c50co8</x:v>
      </x:c>
      <x:c r="D757" s="6" t="str">
        <x:v>Acciona: official company information</x:v>
      </x:c>
      <x:c r="E757" s="6" t="str">
        <x:v>Acciona</x:v>
      </x:c>
      <x:c r="F757" s="6" t="str"/>
      <x:c r="G757" s="6" t="str">
        <x:v>Company disclosure</x:v>
      </x:c>
      <x:c r="H757" s="6" t="str">
        <x:v>Desalination and water infrastructure development and operation.</x:v>
      </x:c>
      <x:c r="I757" s="6" t="str">
        <x:v>https://www.acciona.com/</x:v>
      </x:c>
    </x:row>
    <x:row r="758" ht="15" hidden="0" customHeight="1">
      <x:c r="A758" s="12" t="n">
        <x:v>50</x:v>
      </x:c>
      <x:c r="B758" s="6" t="str">
        <x:v>Advanced desalination and water reuse</x:v>
      </x:c>
      <x:c r="C758" s="6" t="str">
        <x:v>c50co9</x:v>
      </x:c>
      <x:c r="D758" s="6" t="str">
        <x:v>SUEZ: official company information</x:v>
      </x:c>
      <x:c r="E758" s="6" t="str">
        <x:v>SUEZ</x:v>
      </x:c>
      <x:c r="F758" s="6" t="str"/>
      <x:c r="G758" s="6" t="str">
        <x:v>Company disclosure</x:v>
      </x:c>
      <x:c r="H758" s="6" t="str">
        <x:v>Water and wastewater treatment and reuse; current privately held group, not its former listing.</x:v>
      </x:c>
      <x:c r="I758" s="6" t="str">
        <x:v>https://www.suez.com/</x:v>
      </x:c>
    </x:row>
    <x:row r="759" ht="15" hidden="0" customHeight="1">
      <x:c r="A759" s="12" t="n">
        <x:v>50</x:v>
      </x:c>
      <x:c r="B759" s="6" t="str">
        <x:v>Advanced desalination and water reuse</x:v>
      </x:c>
      <x:c r="C759" s="6" t="str">
        <x:v>c50co10</x:v>
      </x:c>
      <x:c r="D759" s="6" t="str">
        <x:v>IDE Technologies: official company information</x:v>
      </x:c>
      <x:c r="E759" s="6" t="str">
        <x:v>IDE Technologies</x:v>
      </x:c>
      <x:c r="F759" s="6" t="str"/>
      <x:c r="G759" s="6" t="str">
        <x:v>Company disclosure</x:v>
      </x:c>
      <x:c r="H759" s="6" t="str">
        <x:v>Desalination, industrial water treatment and reuse plants.</x:v>
      </x:c>
      <x:c r="I759" s="6" t="str">
        <x:v>https://ide-tech.com/</x:v>
      </x:c>
    </x:row>
    <x:row r="760" ht="15" hidden="0" customHeight="1">
      <x:c r="A760" s="12" t="n">
        <x:v>50</x:v>
      </x:c>
      <x:c r="B760" s="6" t="str">
        <x:v>Advanced desalination and water reuse</x:v>
      </x:c>
      <x:c r="C760" s="6" t="str">
        <x:v>c50co11</x:v>
      </x:c>
      <x:c r="D760" s="6" t="str">
        <x:v>Gradiant: official company information</x:v>
      </x:c>
      <x:c r="E760" s="6" t="str">
        <x:v>Gradiant</x:v>
      </x:c>
      <x:c r="F760" s="6" t="str"/>
      <x:c r="G760" s="6" t="str">
        <x:v>Company disclosure</x:v>
      </x:c>
      <x:c r="H760" s="6" t="str">
        <x:v>Advanced industrial water treatment, resource recovery and reuse.</x:v>
      </x:c>
      <x:c r="I760" s="6" t="str">
        <x:v>https://gradiant.com/</x:v>
      </x:c>
    </x:row>
    <x:row r="761" ht="15" hidden="0" customHeight="1">
      <x:c r="A761" s="12" t="n">
        <x:v>50</x:v>
      </x:c>
      <x:c r="B761" s="6" t="str">
        <x:v>Advanced desalination and water reuse</x:v>
      </x:c>
      <x:c r="C761" s="6" t="str">
        <x:v>c50co12</x:v>
      </x:c>
      <x:c r="D761" s="6" t="str">
        <x:v>Aquatech: official company information</x:v>
      </x:c>
      <x:c r="E761" s="6" t="str">
        <x:v>Aquatech</x:v>
      </x:c>
      <x:c r="F761" s="6" t="str"/>
      <x:c r="G761" s="6" t="str">
        <x:v>Company disclosure</x:v>
      </x:c>
      <x:c r="H761" s="6" t="str">
        <x:v>Industrial water reuse, desalination and zero-liquid-discharge systems.</x:v>
      </x:c>
      <x:c r="I761" s="6" t="str">
        <x:v>https://www.aquatech.com/</x:v>
      </x:c>
    </x:row>
  </x:sheetData>
  <x:pageMargins left="0.7" right="0.7" top="0.75" bottom="0.75" header="0.3" footer="0.3"/>
  <x:tableParts count="1">
    <x:tablePart xmlns:r="http://schemas.openxmlformats.org/officeDocument/2006/relationships" r:id="R891e833d1ec94b76"/>
  </x:tableParts>
</x:worksheet>
</file>

<file path=xl/worksheets/sheet10.xml><?xml version="1.0" encoding="utf-8"?>
<x:worksheet xmlns:x="http://schemas.openxmlformats.org/spreadsheetml/2006/main">
  <x:sheetPr>
    <x:tabColor rgb="FFA8B79C"/>
  </x:sheetPr>
  <x:sheetViews>
    <x:sheetView showGridLines="0" workbookViewId="0">
      <x:pane xSplit="1" ySplit="5" topLeftCell="B6" activePane="bottomRight" state="frozen"/>
    </x:sheetView>
  </x:sheetViews>
  <x:sheetFormatPr defaultRowHeight="15"/>
  <x:cols>
    <x:col min="1" max="1" width="30" hidden="0" customWidth="1"/>
    <x:col min="2" max="2" width="140" hidden="0" customWidth="1"/>
  </x:cols>
  <x:sheetData>
    <x:row r="1" ht="15" hidden="0" customHeight="1">
      <x:c r="A1" s="2"/>
      <x:c r="B1" s="2"/>
    </x:row>
    <x:row r="2" ht="28" hidden="0" customHeight="1">
      <x:c r="A2" s="3" t="str">
        <x:v>Definitions and interpretation</x:v>
      </x:c>
      <x:c r="B2" s="2"/>
    </x:row>
    <x:row r="3" ht="25" hidden="0" customHeight="1">
      <x:c r="A3" s="4" t="str">
        <x:v>Use this method with the source-specific limitations. A dated snapshot should be refreshed before relying on a time-sensitive company or market status.</x:v>
      </x:c>
      <x:c r="B3" s="2"/>
    </x:row>
    <x:row r="4" ht="15" hidden="0" customHeight="1">
      <x:c r="A4" s="2"/>
      <x:c r="B4" s="2"/>
    </x:row>
    <x:row r="5" ht="36" hidden="0" customHeight="1">
      <x:c r="A5" s="11" t="str">
        <x:v>Topic</x:v>
      </x:c>
      <x:c r="B5" s="11" t="str">
        <x:v>Definition</x:v>
      </x:c>
    </x:row>
    <x:row r="6" ht="15" hidden="0" customHeight="1">
      <x:c r="A6" s="12" t="str">
        <x:v>Cutoff</x:v>
      </x:c>
      <x:c r="B6" s="6" t="str">
        <x:v>Research available on or before 17 October 2026 UTC (16 October in Toronto). Observations keep their own measurement dates.</x:v>
      </x:c>
    </x:row>
    <x:row r="7" ht="15" hidden="0" customHeight="1">
      <x:c r="A7" s="12" t="str">
        <x:v>Selection</x:v>
      </x:c>
      <x:c r="B7" s="6" t="str">
        <x:v>An editorial landscape of 50 emerging technologies with meaningful use cases, evidence of progress and a credible route to routine use in a defined market by 2035. It is not a universal published ranking.</x:v>
      </x:c>
    </x:row>
    <x:row r="8" ht="15" hidden="0" customHeight="1">
      <x:c r="A8" s="12" t="str">
        <x:v>Mainstream</x:v>
      </x:c>
      <x:c r="B8" s="6" t="str">
        <x:v>Routine, repeatable commercial deployment in the specific market named in the profile. It does not mean universal consumer adoption or deployment in all countries.</x:v>
      </x:c>
    </x:row>
    <x:row r="9" ht="15" hidden="0" customHeight="1">
      <x:c r="A9" s="12" t="str">
        <x:v>Central year and range</x:v>
      </x:c>
      <x:c r="B9" s="6" t="str">
        <x:v>Analyst judgments unless attributed to an external forecast. The range is a plausible window, not a statistical confidence interval. Low-confidence technologies may slip beyond 2035.</x:v>
      </x:c>
    </x:row>
    <x:row r="10" ht="15" hidden="0" customHeight="1">
      <x:c r="A10" s="12" t="str">
        <x:v>Confidence</x:v>
      </x:c>
      <x:c r="B10" s="6" t="str">
        <x:v>High: established route with comparatively manageable uncertainty. Medium: meaningful adoption, economic or execution hurdles. Low: major technical, economic, supply or regulatory conditions remain.</x:v>
      </x:c>
    </x:row>
    <x:row r="11" ht="15" hidden="0" customHeight="1">
      <x:c r="A11" s="12" t="str">
        <x:v>Measured growth</x:v>
      </x:c>
      <x:c r="B11" s="6" t="str">
        <x:v>Each profile chooses an observable KPI. Company results, manufacturing capacity, research counts and adoption surveys are different proxies. The scope and limitation columns identify the difference.</x:v>
      </x:c>
    </x:row>
    <x:row r="12" ht="24" hidden="0" customHeight="1">
      <x:c r="A12" s="12" t="str">
        <x:v>Growth calculations</x:v>
      </x:c>
      <x:c r="B12" s="6" t="str">
        <x:v>Change in units = latest minus first. Total change = latest divided by first minus one, for positive comparable non-percentage endpoints. Percentage shares use percentage-point change. Missing or non-comparable data returns n.a.</x:v>
      </x:c>
    </x:row>
    <x:row r="13" ht="24" hidden="0" customHeight="1">
      <x:c r="A13" s="12" t="str">
        <x:v>Maturity scores</x:v>
      </x:c>
      <x:c r="B13" s="6" t="str">
        <x:v>The Adoption path is a separate ordinal analyst assessment. 0 Research; 1 Proof of concept; 2 Pilots; 3 Commercial niche; 4 Routine use; 5 Established. Retrospective scores summarize milestones; 2028–2035 values are scenarios.</x:v>
      </x:c>
    </x:row>
    <x:row r="14" ht="15" hidden="0" customHeight="1">
      <x:c r="A14" s="12" t="str">
        <x:v>Numerical outlooks</x:v>
      </x:c>
      <x:c r="B14" s="6" t="str">
        <x:v>Externally sourced forecasts, committed capacity, targets and announced pipelines retain their exact classification. They should not be treated as operating assets or combined across different scope and units.</x:v>
      </x:c>
    </x:row>
    <x:row r="15" ht="24" hidden="0" customHeight="1">
      <x:c r="A15" s="12" t="str">
        <x:v>News activity</x:v>
      </x:c>
      <x:c r="B15" s="6" t="str">
        <x:v>At least ten website domains are mapped to each trend. A website can cover many trends. Activity dates link to a real recent publication or dated page where established. Coverage can be broad rather than a dedicated subtopic feed.</x:v>
      </x:c>
    </x:row>
    <x:row r="16" ht="15" hidden="0" customHeight="1">
      <x:c r="A16" s="12" t="str">
        <x:v>Company map</x:v>
      </x:c>
      <x:c r="B16" s="6" t="str">
        <x:v>Leading examples across development, infrastructure, manufacturing and adoption. It is not an exhaustive universe or stock ranking. Subsidiary and parent exposure are distinguished where material.</x:v>
      </x:c>
    </x:row>
    <x:row r="17" ht="24" hidden="0" customHeight="1">
      <x:c r="A17" s="12" t="str">
        <x:v>Updating</x:v>
      </x:c>
      <x:c r="B17" s="6" t="str">
        <x:v>Refresh reported KPIs quarterly using unchanged definitions; retain source dates. Reassess the adoption window using customers, deployed output, economics, clinical evidence, standards and operating constraints.</x:v>
      </x:c>
    </x:row>
    <x:row r="18" ht="15" hidden="0" customHeight="1">
      <x:c r="A18" s="12" t="str">
        <x:v>Site</x:v>
      </x:c>
      <x:c r="B18" s="6" t="str">
        <x:v>https://technology-atlas-2035.m-aali9.chatgpt.site</x:v>
      </x:c>
    </x:row>
    <x:row r="19" ht="15" hidden="0" customHeight="1">
      <x:c r="A19" s="12" t="str">
        <x:v>Research context</x:v>
      </x:c>
      <x:c r="B19" s="6" t="str">
        <x:v>McKinsey Technology Trends Outlook 2026: https://www.mckinsey.com/capabilities/tech-and-ai/our-insights/the-top-trends-in-tech</x:v>
      </x:c>
    </x:row>
    <x:row r="20" ht="15" hidden="0" customHeight="1">
      <x:c r="A20" s="12" t="str">
        <x:v>Research context</x:v>
      </x:c>
      <x:c r="B20" s="6" t="str">
        <x:v>IEA Key Questions on Energy and AI (2026): https://www.iea.org/reports/key-questions-on-energy-and-ai</x:v>
      </x:c>
    </x:row>
  </x:sheetData>
  <x:pageMargins left="0.7" right="0.7" top="0.75" bottom="0.75" header="0.3" footer="0.3"/>
  <x:tableParts count="1">
    <x:tablePart xmlns:r="http://schemas.openxmlformats.org/officeDocument/2006/relationships" r:id="Rb285c97cf02348b5"/>
  </x:tableParts>
</x:worksheet>
</file>